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観点表" sheetId="1" state="visible" r:id="rId1"/>
    <sheet name="サマリ" sheetId="2" state="visible" r:id="rId2"/>
    <sheet name="テストデータ" sheetId="3" state="visible" r:id="rId3"/>
    <sheet name="対象概要" sheetId="4" state="visible" r:id="rId4"/>
  </sheets>
  <definedNames>
    <definedName name="_xlnm._FilterDatabase" localSheetId="0" hidden="1">'観点表'!$A$4:$Q$45</definedName>
    <definedName name="_xlnm.Print_Titles" localSheetId="0">'観点表'!$4:$4</definedName>
    <definedName name="_xlnm._FilterDatabase" localSheetId="2" hidden="1">'テストデータ'!$A$4:$F$45</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Meiryo UI"/>
      <b val="1"/>
      <sz val="14"/>
    </font>
    <font>
      <name val="Meiryo UI"/>
      <i val="1"/>
      <color rgb="00595959"/>
      <sz val="9"/>
    </font>
    <font>
      <name val="Meiryo UI"/>
      <b val="1"/>
      <color rgb="00FFFFFF"/>
      <sz val="10"/>
    </font>
    <font>
      <name val="Meiryo UI"/>
      <sz val="10"/>
    </font>
    <font>
      <name val="Meiryo UI"/>
      <b val="1"/>
      <sz val="10"/>
    </font>
  </fonts>
  <fills count="6">
    <fill>
      <patternFill/>
    </fill>
    <fill>
      <patternFill patternType="gray125"/>
    </fill>
    <fill>
      <patternFill patternType="solid">
        <fgColor rgb="001F4E78"/>
      </patternFill>
    </fill>
    <fill>
      <patternFill patternType="solid">
        <fgColor rgb="00FFF2CC"/>
      </patternFill>
    </fill>
    <fill>
      <patternFill patternType="solid">
        <fgColor rgb="00DDEBF7"/>
      </patternFill>
    </fill>
    <fill>
      <patternFill patternType="solid">
        <fgColor rgb="00F8CBAD"/>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3" borderId="1" applyAlignment="1" pivotButton="0" quotePrefix="0" xfId="0">
      <alignment horizontal="center" vertical="top"/>
    </xf>
    <xf numFmtId="0" fontId="4" fillId="3" borderId="1" applyAlignment="1" pivotButton="0" quotePrefix="0" xfId="0">
      <alignment horizontal="left" vertical="top" wrapText="1"/>
    </xf>
    <xf numFmtId="0" fontId="5" fillId="4" borderId="0" pivotButton="0" quotePrefix="0" xfId="0"/>
    <xf numFmtId="0" fontId="0" fillId="4" borderId="0" pivotButton="0" quotePrefix="0" xfId="0"/>
    <xf numFmtId="0" fontId="4" fillId="0" borderId="1" pivotButton="0" quotePrefix="0" xfId="0"/>
    <xf numFmtId="164" fontId="4" fillId="0" borderId="1" pivotButton="0" quotePrefix="0" xfId="0"/>
    <xf numFmtId="0" fontId="3" fillId="2" borderId="1" applyAlignment="1" pivotButton="0" quotePrefix="0" xfId="0">
      <alignment horizontal="center"/>
    </xf>
    <xf numFmtId="0" fontId="4" fillId="5" borderId="1" applyAlignment="1" pivotButton="0" quotePrefix="0" xfId="0">
      <alignment vertical="top" wrapText="1"/>
    </xf>
    <xf numFmtId="0" fontId="5" fillId="0" borderId="0" pivotButton="0" quotePrefix="0" xfId="0"/>
    <xf numFmtId="0" fontId="4" fillId="0" borderId="0" pivotButton="0" quotePrefix="0" xfId="0"/>
    <xf numFmtId="0" fontId="3" fillId="2" borderId="1" pivotButton="0" quotePrefix="0" xfId="0"/>
    <xf numFmtId="0" fontId="4" fillId="0" borderId="1"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dxfs count="3">
    <dxf>
      <fill>
        <patternFill patternType="solid">
          <fgColor rgb="00F8CBAD"/>
        </patternFill>
      </fill>
    </dxf>
    <dxf>
      <fill>
        <patternFill patternType="solid">
          <fgColor rgb="00E2EFDA"/>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4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8" customWidth="1" min="3" max="3"/>
    <col width="9" customWidth="1" min="4" max="4"/>
    <col width="11" customWidth="1" min="5" max="5"/>
    <col width="30" customWidth="1" min="6" max="6"/>
    <col width="32" customWidth="1" min="7" max="7"/>
    <col width="32" customWidth="1" min="8" max="8"/>
    <col width="13" customWidth="1" min="9" max="9"/>
    <col width="22" customWidth="1" min="10" max="10"/>
    <col width="30" customWidth="1" min="11" max="11"/>
    <col width="26" customWidth="1" min="12" max="12"/>
    <col width="30" customWidth="1" min="13" max="13"/>
    <col width="10" customWidth="1" min="14" max="14"/>
    <col width="11" customWidth="1" min="15" max="15"/>
    <col width="10" customWidth="1" min="16" max="16"/>
    <col width="30" customWidth="1" min="17" max="17"/>
  </cols>
  <sheetData>
    <row r="1">
      <c r="A1" s="1" t="inlineStr">
        <is>
          <t>テスト観点表: 管理サーバーの共通（adminServer・context・middleware）</t>
        </is>
      </c>
    </row>
    <row r="2">
      <c r="A2" s="2" t="inlineStr">
        <is>
          <t>黄色の列（実施結果・実施日・確認者・備考）を記入してください。観点やテストデータを修正した場合は import_test_matrix.py で JSON に取り込めます。</t>
        </is>
      </c>
    </row>
    <row r="4" ht="28" customHeight="1">
      <c r="A4" s="3" t="inlineStr">
        <is>
          <t>No</t>
        </is>
      </c>
      <c r="B4" s="3" t="inlineStr">
        <is>
          <t>ID</t>
        </is>
      </c>
      <c r="C4" s="3" t="inlineStr">
        <is>
          <t>対象</t>
        </is>
      </c>
      <c r="D4" s="3" t="inlineStr">
        <is>
          <t>分類</t>
        </is>
      </c>
      <c r="E4" s="3" t="inlineStr">
        <is>
          <t>技法</t>
        </is>
      </c>
      <c r="F4" s="3" t="inlineStr">
        <is>
          <t>観点</t>
        </is>
      </c>
      <c r="G4" s="3" t="inlineStr">
        <is>
          <t>入力・前提条件</t>
        </is>
      </c>
      <c r="H4" s="3" t="inlineStr">
        <is>
          <t>期待結果</t>
        </is>
      </c>
      <c r="I4" s="3" t="inlineStr">
        <is>
          <t>網羅する分岐</t>
        </is>
      </c>
      <c r="J4" s="3" t="inlineStr">
        <is>
          <t>モック</t>
        </is>
      </c>
      <c r="K4" s="3" t="inlineStr">
        <is>
          <t>テストデータ（具体値）</t>
        </is>
      </c>
      <c r="L4" s="3" t="inlineStr">
        <is>
          <t>データ参照</t>
        </is>
      </c>
      <c r="M4" s="3" t="inlineStr">
        <is>
          <t>テスト関数名</t>
        </is>
      </c>
      <c r="N4" s="3" t="inlineStr">
        <is>
          <t>実施結果</t>
        </is>
      </c>
      <c r="O4" s="3" t="inlineStr">
        <is>
          <t>実施日</t>
        </is>
      </c>
      <c r="P4" s="3" t="inlineStr">
        <is>
          <t>確認者</t>
        </is>
      </c>
      <c r="Q4" s="3" t="inlineStr">
        <is>
          <t>備考</t>
        </is>
      </c>
    </row>
    <row r="5">
      <c r="A5" s="4" t="n">
        <v>1</v>
      </c>
      <c r="B5" s="4" t="inlineStr">
        <is>
          <t>TC-NOUS52_DEV-17</t>
        </is>
      </c>
      <c r="C5" s="5" t="inlineStr">
        <is>
          <t>assertLocalBind / startAdminServer</t>
        </is>
      </c>
      <c r="D5" s="4" t="inlineStr">
        <is>
          <t>異常系</t>
        </is>
      </c>
      <c r="E5" s="4" t="inlineStr">
        <is>
          <t>開発者テスト</t>
        </is>
      </c>
      <c r="F5" s="5" t="inlineStr">
        <is>
          <t>127.0.0.1 以外のアドレスでは起動しない</t>
        </is>
      </c>
      <c r="G5" s="5" t="inlineStr">
        <is>
          <t>前提：なし
入力：テストコードのとおり</t>
        </is>
      </c>
      <c r="H5" s="5" t="inlineStr">
        <is>
          <t>127.0.0.1 以外のアドレスでは起動しない</t>
        </is>
      </c>
      <c r="I5" s="5" t="inlineStr">
        <is>
          <t>B1-T, B1-F</t>
        </is>
      </c>
      <c r="J5" s="5" t="inlineStr">
        <is>
          <t>なし</t>
        </is>
      </c>
      <c r="K5" s="5" t="inlineStr"/>
      <c r="L5" s="5" t="inlineStr"/>
      <c r="M5" s="5" t="inlineStr">
        <is>
          <t>TC-NOUS52_DEV-17 127.0.0.1 以外のアドレスでは起動しない</t>
        </is>
      </c>
      <c r="N5" s="6" t="inlineStr">
        <is>
          <t>未実施</t>
        </is>
      </c>
      <c r="O5" s="6" t="inlineStr"/>
      <c r="P5" s="6" t="inlineStr"/>
      <c r="Q5" s="7" t="inlineStr">
        <is>
          <t>既存テスト：実装時のテスト（NOUS-52）</t>
        </is>
      </c>
    </row>
    <row r="6">
      <c r="A6" s="4" t="n">
        <v>2</v>
      </c>
      <c r="B6" s="4" t="inlineStr">
        <is>
          <t>TC-NOUS52_DEV-18</t>
        </is>
      </c>
      <c r="C6" s="5" t="inlineStr">
        <is>
          <t>createAdminApp（adminApiGuard）</t>
        </is>
      </c>
      <c r="D6" s="4" t="inlineStr">
        <is>
          <t>異常系</t>
        </is>
      </c>
      <c r="E6" s="4" t="inlineStr">
        <is>
          <t>開発者テスト</t>
        </is>
      </c>
      <c r="F6" s="5" t="inlineStr">
        <is>
          <t>/admin/api 以下はセッションがなければ 401</t>
        </is>
      </c>
      <c r="G6" s="5" t="inlineStr">
        <is>
          <t>前提：なし
入力：テストコードのとおり</t>
        </is>
      </c>
      <c r="H6" s="5" t="inlineStr">
        <is>
          <t>/admin/api 以下はセッションがなければ 401</t>
        </is>
      </c>
      <c r="I6" s="5" t="inlineStr">
        <is>
          <t>B2-F, B19-T</t>
        </is>
      </c>
      <c r="J6" s="5" t="inlineStr">
        <is>
          <t>一時 DB（createTestDb）、FakeClock（TEST_NOW = 2026-10-20T00:00:00.000Z）</t>
        </is>
      </c>
      <c r="K6" s="5" t="inlineStr"/>
      <c r="L6" s="5" t="inlineStr"/>
      <c r="M6" s="5" t="inlineStr">
        <is>
          <t>TC-NOUS52_DEV-18 /admin/api 以下はセッションがなければ 401</t>
        </is>
      </c>
      <c r="N6" s="6" t="inlineStr">
        <is>
          <t>未実施</t>
        </is>
      </c>
      <c r="O6" s="6" t="inlineStr"/>
      <c r="P6" s="6" t="inlineStr"/>
      <c r="Q6" s="7" t="inlineStr">
        <is>
          <t>既存テスト：実装時のテスト（NOUS-52）</t>
        </is>
      </c>
    </row>
    <row r="7">
      <c r="A7" s="4" t="n">
        <v>3</v>
      </c>
      <c r="B7" s="4" t="inlineStr">
        <is>
          <t>TC-NOUS52_DEV-19</t>
        </is>
      </c>
      <c r="C7" s="5" t="inlineStr">
        <is>
          <t>createAdminApp（adminApiGuard）</t>
        </is>
      </c>
      <c r="D7" s="4" t="inlineStr">
        <is>
          <t>異常系</t>
        </is>
      </c>
      <c r="E7" s="4" t="inlineStr">
        <is>
          <t>開発者テスト</t>
        </is>
      </c>
      <c r="F7" s="5" t="inlineStr">
        <is>
          <t>変更の要求はセッションに加えて CSRF を確かめる</t>
        </is>
      </c>
      <c r="G7" s="5" t="inlineStr">
        <is>
          <t>前提：なし
入力：テストコードのとおり</t>
        </is>
      </c>
      <c r="H7" s="5" t="inlineStr">
        <is>
          <t>変更の要求はセッションに加えて CSRF を確かめる</t>
        </is>
      </c>
      <c r="I7" s="5" t="inlineStr">
        <is>
          <t>B2-F, B9-F, B10-T, B10-F</t>
        </is>
      </c>
      <c r="J7" s="5" t="inlineStr">
        <is>
          <t>一時 DB（createTestDb）、FakeClock（TEST_NOW = 2026-10-20T00:00:00.000Z）</t>
        </is>
      </c>
      <c r="K7" s="5" t="inlineStr"/>
      <c r="L7" s="5" t="inlineStr"/>
      <c r="M7" s="5" t="inlineStr">
        <is>
          <t>TC-NOUS52_DEV-19 変更の要求はセッションに加えて CSRF を確かめる</t>
        </is>
      </c>
      <c r="N7" s="6" t="inlineStr">
        <is>
          <t>未実施</t>
        </is>
      </c>
      <c r="O7" s="6" t="inlineStr"/>
      <c r="P7" s="6" t="inlineStr"/>
      <c r="Q7" s="7" t="inlineStr">
        <is>
          <t>既存テスト：実装時のテスト（NOUS-52）</t>
        </is>
      </c>
    </row>
    <row r="8">
      <c r="A8" s="4" t="n">
        <v>4</v>
      </c>
      <c r="B8" s="4" t="inlineStr">
        <is>
          <t>TC-NOUS52_DEV-20</t>
        </is>
      </c>
      <c r="C8" s="5" t="inlineStr">
        <is>
          <t>createAdminApp（PUBLIC_ROUTES）</t>
        </is>
      </c>
      <c r="D8" s="4" t="inlineStr">
        <is>
          <t>正常系</t>
        </is>
      </c>
      <c r="E8" s="4" t="inlineStr">
        <is>
          <t>開発者テスト</t>
        </is>
      </c>
      <c r="F8" s="5" t="inlineStr">
        <is>
          <t>login と GET /session は requireAdminSession・requireCsrf を通さない</t>
        </is>
      </c>
      <c r="G8" s="5" t="inlineStr">
        <is>
          <t>前提：なし
入力：テストコードのとおり</t>
        </is>
      </c>
      <c r="H8" s="5" t="inlineStr">
        <is>
          <t>login と GET /session は requireAdminSession・requireCsrf を通さない</t>
        </is>
      </c>
      <c r="I8" s="5" t="inlineStr">
        <is>
          <t>B2-T</t>
        </is>
      </c>
      <c r="J8" s="5" t="inlineStr">
        <is>
          <t>一時 DB（createTestDb）、FakeClock（TEST_NOW = 2026-10-20T00:00:00.000Z）</t>
        </is>
      </c>
      <c r="K8" s="5" t="inlineStr"/>
      <c r="L8" s="5" t="inlineStr"/>
      <c r="M8" s="5" t="inlineStr">
        <is>
          <t>TC-NOUS52_DEV-20 login と GET /session は requireAdminSession・requireCsrf を通さない</t>
        </is>
      </c>
      <c r="N8" s="6" t="inlineStr">
        <is>
          <t>未実施</t>
        </is>
      </c>
      <c r="O8" s="6" t="inlineStr"/>
      <c r="P8" s="6" t="inlineStr"/>
      <c r="Q8" s="7" t="inlineStr">
        <is>
          <t>既存テスト：実装時のテスト（NOUS-52）</t>
        </is>
      </c>
    </row>
    <row r="9">
      <c r="A9" s="4" t="n">
        <v>5</v>
      </c>
      <c r="B9" s="4" t="inlineStr">
        <is>
          <t>TC-NOUS52_DEV-21</t>
        </is>
      </c>
      <c r="C9" s="5" t="inlineStr">
        <is>
          <t>startAdminServer（期限切れの削除）</t>
        </is>
      </c>
      <c r="D9" s="4" t="inlineStr">
        <is>
          <t>正常系</t>
        </is>
      </c>
      <c r="E9" s="4" t="inlineStr">
        <is>
          <t>開発者テスト</t>
        </is>
      </c>
      <c r="F9" s="5" t="inlineStr">
        <is>
          <t>起動時に期限切れのセッションを消し、60 分ごとに消し直す</t>
        </is>
      </c>
      <c r="G9" s="5" t="inlineStr">
        <is>
          <t>前提：なし
入力：テストコードのとおり</t>
        </is>
      </c>
      <c r="H9" s="5" t="inlineStr">
        <is>
          <t>起動時に期限切れのセッションを消し、60 分ごとに消し直す</t>
        </is>
      </c>
      <c r="I9" s="5" t="inlineStr">
        <is>
          <t>B6-T, B7-T, B8-F</t>
        </is>
      </c>
      <c r="J9" s="5" t="inlineStr">
        <is>
          <t>一時 DB（createTestDb）、FakeClock（TEST_NOW = 2026-10-20T00:00:00.000Z）</t>
        </is>
      </c>
      <c r="K9" s="5" t="inlineStr"/>
      <c r="L9" s="5" t="inlineStr"/>
      <c r="M9" s="5" t="inlineStr">
        <is>
          <t>TC-NOUS52_DEV-21 起動時に期限切れのセッションを消し、60 分ごとに消し直す</t>
        </is>
      </c>
      <c r="N9" s="6" t="inlineStr">
        <is>
          <t>未実施</t>
        </is>
      </c>
      <c r="O9" s="6" t="inlineStr"/>
      <c r="P9" s="6" t="inlineStr"/>
      <c r="Q9" s="7" t="inlineStr">
        <is>
          <t>既存テスト：実装時のテスト（NOUS-52）</t>
        </is>
      </c>
    </row>
    <row r="10">
      <c r="A10" s="4" t="n">
        <v>6</v>
      </c>
      <c r="B10" s="4" t="inlineStr">
        <is>
          <t>TC-NOUS52_DEV-22</t>
        </is>
      </c>
      <c r="C10" s="5" t="inlineStr">
        <is>
          <t>createAdminApp（静的ファイル）</t>
        </is>
      </c>
      <c r="D10" s="4" t="inlineStr">
        <is>
          <t>正常系</t>
        </is>
      </c>
      <c r="E10" s="4" t="inlineStr">
        <is>
          <t>開発者テスト</t>
        </is>
      </c>
      <c r="F10" s="5" t="inlineStr">
        <is>
          <t>画面の静的ファイルを配り、画面の URL では index.html を返す</t>
        </is>
      </c>
      <c r="G10" s="5" t="inlineStr">
        <is>
          <t>前提：なし
入力：テストコードのとおり</t>
        </is>
      </c>
      <c r="H10" s="5" t="inlineStr">
        <is>
          <t>画面の静的ファイルを配り、画面の URL では index.html を返す</t>
        </is>
      </c>
      <c r="I10" s="5" t="inlineStr">
        <is>
          <t>B3-F, B4-T, B5-T, B5-F</t>
        </is>
      </c>
      <c r="J10" s="5" t="inlineStr">
        <is>
          <t>一時ディレクトリ（mkdtemp）、一時 DB（createTestDb）、FakeClock（TEST_NOW = 2026-10-20T00:00:00.000Z）</t>
        </is>
      </c>
      <c r="K10" s="5" t="inlineStr"/>
      <c r="L10" s="5" t="inlineStr"/>
      <c r="M10" s="5" t="inlineStr">
        <is>
          <t>TC-NOUS52_DEV-22 画面の静的ファイルを配り、画面の URL では index.html を返す</t>
        </is>
      </c>
      <c r="N10" s="6" t="inlineStr">
        <is>
          <t>未実施</t>
        </is>
      </c>
      <c r="O10" s="6" t="inlineStr"/>
      <c r="P10" s="6" t="inlineStr"/>
      <c r="Q10" s="7" t="inlineStr">
        <is>
          <t>既存テスト：実装時のテスト（NOUS-52）</t>
        </is>
      </c>
    </row>
    <row r="11">
      <c r="A11" s="4" t="n">
        <v>7</v>
      </c>
      <c r="B11" s="4" t="inlineStr">
        <is>
          <t>TC-NOUS52_DEV-06</t>
        </is>
      </c>
      <c r="C11" s="5" t="inlineStr">
        <is>
          <t>requireCsrf</t>
        </is>
      </c>
      <c r="D11" s="4" t="inlineStr">
        <is>
          <t>正常系</t>
        </is>
      </c>
      <c r="E11" s="4" t="inlineStr">
        <is>
          <t>開発者テスト</t>
        </is>
      </c>
      <c r="F11" s="5" t="inlineStr">
        <is>
          <t>GET は X-CSRF-Token なしで通る</t>
        </is>
      </c>
      <c r="G11" s="5" t="inlineStr">
        <is>
          <t>前提：なし
入力：テストコードのとおり</t>
        </is>
      </c>
      <c r="H11" s="5" t="inlineStr">
        <is>
          <t>GET は X-CSRF-Token なしで通る</t>
        </is>
      </c>
      <c r="I11" s="5" t="inlineStr">
        <is>
          <t>B9-T</t>
        </is>
      </c>
      <c r="J11" s="5" t="inlineStr">
        <is>
          <t>なし</t>
        </is>
      </c>
      <c r="K11" s="5" t="inlineStr"/>
      <c r="L11" s="5" t="inlineStr"/>
      <c r="M11" s="5" t="inlineStr">
        <is>
          <t>TC-NOUS52_DEV-06 GET は X-CSRF-Token なしで通る</t>
        </is>
      </c>
      <c r="N11" s="6" t="inlineStr">
        <is>
          <t>未実施</t>
        </is>
      </c>
      <c r="O11" s="6" t="inlineStr"/>
      <c r="P11" s="6" t="inlineStr"/>
      <c r="Q11" s="7" t="inlineStr">
        <is>
          <t>既存テスト：実装時のテスト（NOUS-52）</t>
        </is>
      </c>
    </row>
    <row r="12">
      <c r="A12" s="4" t="n">
        <v>8</v>
      </c>
      <c r="B12" s="4" t="inlineStr">
        <is>
          <t>TC-NOUS52_DEV-07</t>
        </is>
      </c>
      <c r="C12" s="5" t="inlineStr">
        <is>
          <t>requireCsrf</t>
        </is>
      </c>
      <c r="D12" s="4" t="inlineStr">
        <is>
          <t>正常系</t>
        </is>
      </c>
      <c r="E12" s="4" t="inlineStr">
        <is>
          <t>開発者テスト</t>
        </is>
      </c>
      <c r="F12" s="5" t="inlineStr">
        <is>
          <t>POST・PUT・DELETE は一致するトークンで通る</t>
        </is>
      </c>
      <c r="G12" s="5" t="inlineStr">
        <is>
          <t>前提：なし
入力：テストコードのとおり</t>
        </is>
      </c>
      <c r="H12" s="5" t="inlineStr">
        <is>
          <t>POST・PUT・DELETE は一致するトークンで通る</t>
        </is>
      </c>
      <c r="I12" s="5" t="inlineStr">
        <is>
          <t>B9-F, B10-F</t>
        </is>
      </c>
      <c r="J12" s="5" t="inlineStr">
        <is>
          <t>なし</t>
        </is>
      </c>
      <c r="K12" s="5" t="inlineStr"/>
      <c r="L12" s="5" t="inlineStr"/>
      <c r="M12" s="5" t="inlineStr">
        <is>
          <t>TC-NOUS52_DEV-07 POST・PUT・DELETE は一致するトークンで通る</t>
        </is>
      </c>
      <c r="N12" s="6" t="inlineStr">
        <is>
          <t>未実施</t>
        </is>
      </c>
      <c r="O12" s="6" t="inlineStr"/>
      <c r="P12" s="6" t="inlineStr"/>
      <c r="Q12" s="7" t="inlineStr">
        <is>
          <t>既存テスト：実装時のテスト（NOUS-52）</t>
        </is>
      </c>
    </row>
    <row r="13">
      <c r="A13" s="4" t="n">
        <v>9</v>
      </c>
      <c r="B13" s="4" t="inlineStr">
        <is>
          <t>TC-NOUS52_DEV-08</t>
        </is>
      </c>
      <c r="C13" s="5" t="inlineStr">
        <is>
          <t>requireCsrf</t>
        </is>
      </c>
      <c r="D13" s="4" t="inlineStr">
        <is>
          <t>異常系</t>
        </is>
      </c>
      <c r="E13" s="4" t="inlineStr">
        <is>
          <t>開発者テスト</t>
        </is>
      </c>
      <c r="F13" s="5" t="inlineStr">
        <is>
          <t>トークンがない・違うなら 403 CSRF_INVALID</t>
        </is>
      </c>
      <c r="G13" s="5" t="inlineStr">
        <is>
          <t>前提：なし
入力：テストコードのとおり</t>
        </is>
      </c>
      <c r="H13" s="5" t="inlineStr">
        <is>
          <t>トークンがない・違うなら 403 CSRF_INVALID</t>
        </is>
      </c>
      <c r="I13" s="5" t="inlineStr">
        <is>
          <t>B10-T</t>
        </is>
      </c>
      <c r="J13" s="5" t="inlineStr">
        <is>
          <t>なし</t>
        </is>
      </c>
      <c r="K13" s="5" t="inlineStr"/>
      <c r="L13" s="5" t="inlineStr"/>
      <c r="M13" s="5" t="inlineStr">
        <is>
          <t>TC-NOUS52_DEV-08 トークンがない・違うなら 403 CSRF_INVALID</t>
        </is>
      </c>
      <c r="N13" s="6" t="inlineStr">
        <is>
          <t>未実施</t>
        </is>
      </c>
      <c r="O13" s="6" t="inlineStr"/>
      <c r="P13" s="6" t="inlineStr"/>
      <c r="Q13" s="7" t="inlineStr">
        <is>
          <t>既存テスト：実装時のテスト（NOUS-52）</t>
        </is>
      </c>
    </row>
    <row r="14">
      <c r="A14" s="4" t="n">
        <v>10</v>
      </c>
      <c r="B14" s="4" t="inlineStr">
        <is>
          <t>TC-NOUS52_DEV-09</t>
        </is>
      </c>
      <c r="C14" s="5" t="inlineStr">
        <is>
          <t>errorHandler</t>
        </is>
      </c>
      <c r="D14" s="4" t="inlineStr">
        <is>
          <t>正常系</t>
        </is>
      </c>
      <c r="E14" s="4" t="inlineStr">
        <is>
          <t>開発者テスト</t>
        </is>
      </c>
      <c r="F14" s="5" t="inlineStr">
        <is>
          <t>AppError を status と code・message・fields の本文で返す</t>
        </is>
      </c>
      <c r="G14" s="5" t="inlineStr">
        <is>
          <t>前提：なし
入力：テストコードのとおり</t>
        </is>
      </c>
      <c r="H14" s="5" t="inlineStr">
        <is>
          <t>AppError を status と code・message・fields の本文で返す</t>
        </is>
      </c>
      <c r="I14" s="5" t="inlineStr">
        <is>
          <t>B11-T</t>
        </is>
      </c>
      <c r="J14" s="5" t="inlineStr">
        <is>
          <t>なし</t>
        </is>
      </c>
      <c r="K14" s="5" t="inlineStr"/>
      <c r="L14" s="5" t="inlineStr"/>
      <c r="M14" s="5" t="inlineStr">
        <is>
          <t>TC-NOUS52_DEV-09 AppError を status と code・message・fields の本文で返す</t>
        </is>
      </c>
      <c r="N14" s="6" t="inlineStr">
        <is>
          <t>未実施</t>
        </is>
      </c>
      <c r="O14" s="6" t="inlineStr"/>
      <c r="P14" s="6" t="inlineStr"/>
      <c r="Q14" s="7" t="inlineStr">
        <is>
          <t>既存テスト：実装時のテスト（NOUS-52）</t>
        </is>
      </c>
    </row>
    <row r="15">
      <c r="A15" s="4" t="n">
        <v>11</v>
      </c>
      <c r="B15" s="4" t="inlineStr">
        <is>
          <t>TC-NOUS52_DEV-10</t>
        </is>
      </c>
      <c r="C15" s="5" t="inlineStr">
        <is>
          <t>errorHandler / zodFields</t>
        </is>
      </c>
      <c r="D15" s="4" t="inlineStr">
        <is>
          <t>異常系</t>
        </is>
      </c>
      <c r="E15" s="4" t="inlineStr">
        <is>
          <t>開発者テスト</t>
        </is>
      </c>
      <c r="F15" s="5" t="inlineStr">
        <is>
          <t>ZodError を 400 VALIDATION_ERROR と項目ごとのメッセージにする</t>
        </is>
      </c>
      <c r="G15" s="5" t="inlineStr">
        <is>
          <t>前提：なし
入力：テストコードのとおり</t>
        </is>
      </c>
      <c r="H15" s="5" t="inlineStr">
        <is>
          <t>ZodError を 400 VALIDATION_ERROR と項目ごとのメッセージにする</t>
        </is>
      </c>
      <c r="I15" s="5" t="inlineStr">
        <is>
          <t>B11-F, B12-T, B17-F, B18-F</t>
        </is>
      </c>
      <c r="J15" s="5" t="inlineStr">
        <is>
          <t>なし</t>
        </is>
      </c>
      <c r="K15" s="5" t="inlineStr"/>
      <c r="L15" s="5" t="inlineStr"/>
      <c r="M15" s="5" t="inlineStr">
        <is>
          <t>TC-NOUS52_DEV-10 ZodError を 400 VALIDATION_ERROR と項目ごとのメッセージにする</t>
        </is>
      </c>
      <c r="N15" s="6" t="inlineStr">
        <is>
          <t>未実施</t>
        </is>
      </c>
      <c r="O15" s="6" t="inlineStr"/>
      <c r="P15" s="6" t="inlineStr"/>
      <c r="Q15" s="7" t="inlineStr">
        <is>
          <t>既存テスト：実装時のテスト（NOUS-52）</t>
        </is>
      </c>
    </row>
    <row r="16">
      <c r="A16" s="4" t="n">
        <v>12</v>
      </c>
      <c r="B16" s="4" t="inlineStr">
        <is>
          <t>TC-NOUS52_DEV-11</t>
        </is>
      </c>
      <c r="C16" s="5" t="inlineStr">
        <is>
          <t>errorHandler</t>
        </is>
      </c>
      <c r="D16" s="4" t="inlineStr">
        <is>
          <t>異常系</t>
        </is>
      </c>
      <c r="E16" s="4" t="inlineStr">
        <is>
          <t>開発者テスト</t>
        </is>
      </c>
      <c r="F16" s="5" t="inlineStr">
        <is>
          <t>想定外の例外は 500 INTERNAL_ERROR の固定の文言で返し、スタックはログだけに出す</t>
        </is>
      </c>
      <c r="G16" s="5" t="inlineStr">
        <is>
          <t>前提：なし
入力：テストコードのとおり</t>
        </is>
      </c>
      <c r="H16" s="5" t="inlineStr">
        <is>
          <t>想定外の例外は 500 INTERNAL_ERROR の固定の文言で返し、スタックはログだけに出す</t>
        </is>
      </c>
      <c r="I16" s="5" t="inlineStr">
        <is>
          <t>B12-F, B13-F</t>
        </is>
      </c>
      <c r="J16" s="5" t="inlineStr">
        <is>
          <t>なし</t>
        </is>
      </c>
      <c r="K16" s="5" t="inlineStr"/>
      <c r="L16" s="5" t="inlineStr"/>
      <c r="M16" s="5" t="inlineStr">
        <is>
          <t>TC-NOUS52_DEV-11 想定外の例外は 500 INTERNAL_ERROR の固定の文言で返し、スタックはログだけに出す</t>
        </is>
      </c>
      <c r="N16" s="6" t="inlineStr">
        <is>
          <t>未実施</t>
        </is>
      </c>
      <c r="O16" s="6" t="inlineStr"/>
      <c r="P16" s="6" t="inlineStr"/>
      <c r="Q16" s="7" t="inlineStr">
        <is>
          <t>既存テスト：実装時のテスト（NOUS-52）</t>
        </is>
      </c>
    </row>
    <row r="17">
      <c r="A17" s="4" t="n">
        <v>13</v>
      </c>
      <c r="B17" s="4" t="inlineStr">
        <is>
          <t>TC-NOUS52_DEV-12</t>
        </is>
      </c>
      <c r="C17" s="5" t="inlineStr">
        <is>
          <t>toAppError</t>
        </is>
      </c>
      <c r="D17" s="4" t="inlineStr">
        <is>
          <t>異常系</t>
        </is>
      </c>
      <c r="E17" s="4" t="inlineStr">
        <is>
          <t>開発者テスト</t>
        </is>
      </c>
      <c r="F17" s="5" t="inlineStr">
        <is>
          <t>SqliteError の UNIQUE の違反は SQL の文を出さずに 409 CONFLICT にする</t>
        </is>
      </c>
      <c r="G17" s="5" t="inlineStr">
        <is>
          <t>前提：なし
入力：テストコードのとおり</t>
        </is>
      </c>
      <c r="H17" s="5" t="inlineStr">
        <is>
          <t>SqliteError の UNIQUE の違反は SQL の文を出さずに 409 CONFLICT にする</t>
        </is>
      </c>
      <c r="I17" s="5" t="inlineStr">
        <is>
          <t>B13-T, B14-T, B15-T</t>
        </is>
      </c>
      <c r="J17" s="5" t="inlineStr">
        <is>
          <t>一時 DB（createTestDb）</t>
        </is>
      </c>
      <c r="K17" s="5" t="inlineStr"/>
      <c r="L17" s="5" t="inlineStr"/>
      <c r="M17" s="5" t="inlineStr">
        <is>
          <t>TC-NOUS52_DEV-12 SqliteError の UNIQUE の違反は SQL の文を出さずに 409 CONFLICT にする</t>
        </is>
      </c>
      <c r="N17" s="6" t="inlineStr">
        <is>
          <t>未実施</t>
        </is>
      </c>
      <c r="O17" s="6" t="inlineStr"/>
      <c r="P17" s="6" t="inlineStr"/>
      <c r="Q17" s="7" t="inlineStr">
        <is>
          <t>既存テスト：実装時のテスト（NOUS-52）</t>
        </is>
      </c>
    </row>
    <row r="18">
      <c r="A18" s="4" t="n">
        <v>14</v>
      </c>
      <c r="B18" s="4" t="inlineStr">
        <is>
          <t>TC-NOUS52_DEV-23</t>
        </is>
      </c>
      <c r="C18" s="5" t="inlineStr">
        <is>
          <t>toAppError</t>
        </is>
      </c>
      <c r="D18" s="4" t="inlineStr">
        <is>
          <t>異常系</t>
        </is>
      </c>
      <c r="E18" s="4" t="inlineStr">
        <is>
          <t>開発者テスト</t>
        </is>
      </c>
      <c r="F18" s="5" t="inlineStr">
        <is>
          <t>UNIQUE 以外の SqliteError（CHECK の違反）は 500 INTERNAL_ERROR にする</t>
        </is>
      </c>
      <c r="G18" s="5" t="inlineStr">
        <is>
          <t>前提：なし
入力：テストコードのとおり</t>
        </is>
      </c>
      <c r="H18" s="5" t="inlineStr">
        <is>
          <t>UNIQUE 以外の SqliteError（CHECK の違反）は 500 INTERNAL_ERROR にする</t>
        </is>
      </c>
      <c r="I18" s="5" t="inlineStr">
        <is>
          <t>B13-T, B14-F</t>
        </is>
      </c>
      <c r="J18" s="5" t="inlineStr">
        <is>
          <t>一時 DB（createTestDb）</t>
        </is>
      </c>
      <c r="K18" s="5" t="inlineStr"/>
      <c r="L18" s="5" t="inlineStr"/>
      <c r="M18" s="5" t="inlineStr">
        <is>
          <t>TC-NOUS52_DEV-23 UNIQUE 以外の SqliteError（CHECK の違反）は 500 INTERNAL_ERROR にする</t>
        </is>
      </c>
      <c r="N18" s="6" t="inlineStr">
        <is>
          <t>未実施</t>
        </is>
      </c>
      <c r="O18" s="6" t="inlineStr"/>
      <c r="P18" s="6" t="inlineStr"/>
      <c r="Q18" s="7" t="inlineStr">
        <is>
          <t>既存テスト：実装時のテスト（NOUS-52）</t>
        </is>
      </c>
    </row>
    <row r="19">
      <c r="A19" s="4" t="n">
        <v>15</v>
      </c>
      <c r="B19" s="4" t="inlineStr">
        <is>
          <t>TC-NOUS52_DEV-01</t>
        </is>
      </c>
      <c r="C19" s="5" t="inlineStr">
        <is>
          <t>requireAdminSession</t>
        </is>
      </c>
      <c r="D19" s="4" t="inlineStr">
        <is>
          <t>正常系</t>
        </is>
      </c>
      <c r="E19" s="4" t="inlineStr">
        <is>
          <t>開発者テスト</t>
        </is>
      </c>
      <c r="F19" s="5" t="inlineStr">
        <is>
          <t>有効なセッションの Cookie で通り、c.var.admin に管理者が入る</t>
        </is>
      </c>
      <c r="G19" s="5" t="inlineStr">
        <is>
          <t>前提：なし
入力：テストコードのとおり</t>
        </is>
      </c>
      <c r="H19" s="5" t="inlineStr">
        <is>
          <t>有効なセッションの Cookie で通り、c.var.admin に管理者が入る</t>
        </is>
      </c>
      <c r="I19" s="5" t="inlineStr">
        <is>
          <t>B19-F, B20-F</t>
        </is>
      </c>
      <c r="J19" s="5" t="inlineStr">
        <is>
          <t>一時 DB（createTestDb）、FakeClock（TEST_NOW = 2026-10-20T00:00:00.000Z）</t>
        </is>
      </c>
      <c r="K19" s="5" t="inlineStr"/>
      <c r="L19" s="5" t="inlineStr"/>
      <c r="M19" s="5" t="inlineStr">
        <is>
          <t>TC-NOUS52_DEV-01 有効なセッションの Cookie で通り、c.var.admin に管理者が入る</t>
        </is>
      </c>
      <c r="N19" s="6" t="inlineStr">
        <is>
          <t>未実施</t>
        </is>
      </c>
      <c r="O19" s="6" t="inlineStr"/>
      <c r="P19" s="6" t="inlineStr"/>
      <c r="Q19" s="7" t="inlineStr">
        <is>
          <t>既存テスト：実装時のテスト（NOUS-52）</t>
        </is>
      </c>
    </row>
    <row r="20">
      <c r="A20" s="4" t="n">
        <v>16</v>
      </c>
      <c r="B20" s="4" t="inlineStr">
        <is>
          <t>TC-NOUS52_DEV-02</t>
        </is>
      </c>
      <c r="C20" s="5" t="inlineStr">
        <is>
          <t>requireAdminSession</t>
        </is>
      </c>
      <c r="D20" s="4" t="inlineStr">
        <is>
          <t>異常系</t>
        </is>
      </c>
      <c r="E20" s="4" t="inlineStr">
        <is>
          <t>開発者テスト</t>
        </is>
      </c>
      <c r="F20" s="5" t="inlineStr">
        <is>
          <t>Cookie がない・知らない値なら 401 ADMIN_UNAUTHORIZED</t>
        </is>
      </c>
      <c r="G20" s="5" t="inlineStr">
        <is>
          <t>前提：なし
入力：テストコードのとおり</t>
        </is>
      </c>
      <c r="H20" s="5" t="inlineStr">
        <is>
          <t>Cookie がない・知らない値なら 401 ADMIN_UNAUTHORIZED</t>
        </is>
      </c>
      <c r="I20" s="5" t="inlineStr">
        <is>
          <t>B19-T, B20-T</t>
        </is>
      </c>
      <c r="J20" s="5" t="inlineStr">
        <is>
          <t>一時 DB（createTestDb）、FakeClock（TEST_NOW = 2026-10-20T00:00:00.000Z）</t>
        </is>
      </c>
      <c r="K20" s="5" t="inlineStr"/>
      <c r="L20" s="5" t="inlineStr"/>
      <c r="M20" s="5" t="inlineStr">
        <is>
          <t>TC-NOUS52_DEV-02 Cookie がない・知らない値なら 401 ADMIN_UNAUTHORIZED</t>
        </is>
      </c>
      <c r="N20" s="6" t="inlineStr">
        <is>
          <t>未実施</t>
        </is>
      </c>
      <c r="O20" s="6" t="inlineStr"/>
      <c r="P20" s="6" t="inlineStr"/>
      <c r="Q20" s="7" t="inlineStr">
        <is>
          <t>既存テスト：実装時のテスト（NOUS-52）</t>
        </is>
      </c>
    </row>
    <row r="21">
      <c r="A21" s="4" t="n">
        <v>17</v>
      </c>
      <c r="B21" s="4" t="inlineStr">
        <is>
          <t>TC-NOUS52_DEV-03</t>
        </is>
      </c>
      <c r="C21" s="5" t="inlineStr">
        <is>
          <t>requireAdminSession（touchSession）</t>
        </is>
      </c>
      <c r="D21" s="4" t="inlineStr">
        <is>
          <t>正常系</t>
        </is>
      </c>
      <c r="E21" s="4" t="inlineStr">
        <is>
          <t>開発者テスト</t>
        </is>
      </c>
      <c r="F21" s="5" t="inlineStr">
        <is>
          <t>最終操作を更新する</t>
        </is>
      </c>
      <c r="G21" s="5" t="inlineStr">
        <is>
          <t>前提：なし
入力：テストコードのとおり</t>
        </is>
      </c>
      <c r="H21" s="5" t="inlineStr">
        <is>
          <t>最終操作を更新する</t>
        </is>
      </c>
      <c r="I21" s="5" t="inlineStr">
        <is>
          <t>B20-F</t>
        </is>
      </c>
      <c r="J21" s="5" t="inlineStr">
        <is>
          <t>一時 DB（createTestDb）、FakeClock（TEST_NOW = 2026-10-20T00:00:00.000Z）</t>
        </is>
      </c>
      <c r="K21" s="5" t="inlineStr"/>
      <c r="L21" s="5" t="inlineStr"/>
      <c r="M21" s="5" t="inlineStr">
        <is>
          <t>TC-NOUS52_DEV-03 最終操作を更新する</t>
        </is>
      </c>
      <c r="N21" s="6" t="inlineStr">
        <is>
          <t>未実施</t>
        </is>
      </c>
      <c r="O21" s="6" t="inlineStr"/>
      <c r="P21" s="6" t="inlineStr"/>
      <c r="Q21" s="7" t="inlineStr">
        <is>
          <t>既存テスト：実装時のテスト（NOUS-52）</t>
        </is>
      </c>
    </row>
    <row r="22">
      <c r="A22" s="4" t="n">
        <v>18</v>
      </c>
      <c r="B22" s="4" t="inlineStr">
        <is>
          <t>TC-NOUS52_DEV-04</t>
        </is>
      </c>
      <c r="C22" s="5" t="inlineStr">
        <is>
          <t>findActiveSession</t>
        </is>
      </c>
      <c r="D22" s="4" t="inlineStr">
        <is>
          <t>異常系</t>
        </is>
      </c>
      <c r="E22" s="4" t="inlineStr">
        <is>
          <t>開発者テスト</t>
        </is>
      </c>
      <c r="F22" s="5" t="inlineStr">
        <is>
          <t>作成から 8 時間・最終操作から 60 分を過ぎたセッションは無効</t>
        </is>
      </c>
      <c r="G22" s="5" t="inlineStr">
        <is>
          <t>前提：なし
入力：テストコードのとおり</t>
        </is>
      </c>
      <c r="H22" s="5" t="inlineStr">
        <is>
          <t>作成から 8 時間・最終操作から 60 分を過ぎたセッションは無効</t>
        </is>
      </c>
      <c r="I22" s="5" t="inlineStr"/>
      <c r="J22" s="5" t="inlineStr">
        <is>
          <t>一時 DB（createTestDb）</t>
        </is>
      </c>
      <c r="K22" s="5" t="inlineStr"/>
      <c r="L22" s="5" t="inlineStr"/>
      <c r="M22" s="5" t="inlineStr">
        <is>
          <t>TC-NOUS52_DEV-04 作成から 8 時間・最終操作から 60 分を過ぎたセッションは無効</t>
        </is>
      </c>
      <c r="N22" s="6" t="inlineStr">
        <is>
          <t>未実施</t>
        </is>
      </c>
      <c r="O22" s="6" t="inlineStr"/>
      <c r="P22" s="6" t="inlineStr"/>
      <c r="Q22" s="7" t="inlineStr">
        <is>
          <t>既存テスト：実装時のテスト（NOUS-52）</t>
        </is>
      </c>
    </row>
    <row r="23">
      <c r="A23" s="4" t="n">
        <v>19</v>
      </c>
      <c r="B23" s="4" t="inlineStr">
        <is>
          <t>TC-NOUS52_DEV-05</t>
        </is>
      </c>
      <c r="C23" s="5" t="inlineStr">
        <is>
          <t>deleteExpiredSessions</t>
        </is>
      </c>
      <c r="D23" s="4" t="inlineStr">
        <is>
          <t>正常系</t>
        </is>
      </c>
      <c r="E23" s="4" t="inlineStr">
        <is>
          <t>開発者テスト</t>
        </is>
      </c>
      <c r="F23" s="5" t="inlineStr">
        <is>
          <t>deleteExpiredSessions が失効したものだけを消す</t>
        </is>
      </c>
      <c r="G23" s="5" t="inlineStr">
        <is>
          <t>前提：なし
入力：テストコードのとおり</t>
        </is>
      </c>
      <c r="H23" s="5" t="inlineStr">
        <is>
          <t>deleteExpiredSessions が失効したものだけを消す</t>
        </is>
      </c>
      <c r="I23" s="5" t="inlineStr"/>
      <c r="J23" s="5" t="inlineStr">
        <is>
          <t>一時 DB（createTestDb）、FakeClock（TEST_NOW = 2026-10-20T00:00:00.000Z）</t>
        </is>
      </c>
      <c r="K23" s="5" t="inlineStr"/>
      <c r="L23" s="5" t="inlineStr"/>
      <c r="M23" s="5" t="inlineStr">
        <is>
          <t>TC-NOUS52_DEV-05 deleteExpiredSessions が失効したものだけを消す</t>
        </is>
      </c>
      <c r="N23" s="6" t="inlineStr">
        <is>
          <t>未実施</t>
        </is>
      </c>
      <c r="O23" s="6" t="inlineStr"/>
      <c r="P23" s="6" t="inlineStr"/>
      <c r="Q23" s="7" t="inlineStr">
        <is>
          <t>既存テスト：実装時のテスト（NOUS-52）</t>
        </is>
      </c>
    </row>
    <row r="24">
      <c r="A24" s="4" t="n">
        <v>20</v>
      </c>
      <c r="B24" s="4" t="inlineStr">
        <is>
          <t>TC-UT_ADM-001</t>
        </is>
      </c>
      <c r="C24" s="5" t="inlineStr">
        <is>
          <t>assertLocalBind</t>
        </is>
      </c>
      <c r="D24" s="4" t="inlineStr">
        <is>
          <t>異常系</t>
        </is>
      </c>
      <c r="E24" s="4" t="inlineStr">
        <is>
          <t>同値分割</t>
        </is>
      </c>
      <c r="F24" s="5" t="inlineStr">
        <is>
          <t>assertLocalBind は 127.0.0.1 以外を AdminBindError にし、指定のアドレスを文言に入れる</t>
        </is>
      </c>
      <c r="G24" s="5" t="inlineStr">
        <is>
          <t>前提：なし
入力：host = localhost、0.0.0.0、::1、127.0.0.2、空文字</t>
        </is>
      </c>
      <c r="H24" s="5" t="inlineStr">
        <is>
          <t>どれも AdminBindError。文言に「（指定: &lt;host&gt;）」</t>
        </is>
      </c>
      <c r="I24" s="5" t="inlineStr">
        <is>
          <t>B1-T</t>
        </is>
      </c>
      <c r="J24" s="5" t="inlineStr">
        <is>
          <t>なし</t>
        </is>
      </c>
      <c r="K24" s="5" t="inlineStr"/>
      <c r="L24" s="5" t="inlineStr"/>
      <c r="M24" s="5" t="inlineStr">
        <is>
          <t>TC-UT_ADM-001 assertLocalBind は 127.0.0.1 以外を AdminBindError にし、指定のアドレスを文言に入れる</t>
        </is>
      </c>
      <c r="N24" s="6" t="inlineStr">
        <is>
          <t>未実施</t>
        </is>
      </c>
      <c r="O24" s="6" t="inlineStr"/>
      <c r="P24" s="6" t="inlineStr"/>
      <c r="Q24" s="7" t="inlineStr">
        <is>
          <t>既存テスト：一部 TC-NOUS52_DEV-17（0.0.0.0 だけ）</t>
        </is>
      </c>
    </row>
    <row r="25">
      <c r="A25" s="4" t="n">
        <v>21</v>
      </c>
      <c r="B25" s="4" t="inlineStr">
        <is>
          <t>TC-UT_ADM-002</t>
        </is>
      </c>
      <c r="C25" s="5" t="inlineStr">
        <is>
          <t>startAdminServer</t>
        </is>
      </c>
      <c r="D25" s="4" t="inlineStr">
        <is>
          <t>異常系</t>
        </is>
      </c>
      <c r="E25" s="4" t="inlineStr">
        <is>
          <t>分岐網羅</t>
        </is>
      </c>
      <c r="F25" s="5" t="inlineStr">
        <is>
          <t>127.0.0.1 以外を渡すと、期限切れのセッションの削除も定期の削除も始めずに止まる</t>
        </is>
      </c>
      <c r="G25" s="5" t="inlineStr">
        <is>
          <t>前提：作成から 2 時間たったセッション 1 件
入力：host = 0.0.0.0</t>
        </is>
      </c>
      <c r="H25" s="5" t="inlineStr">
        <is>
          <t>AdminBindError で止まり、セッションは消さず、定期の削除のタイマーも張らない（listen の前に止める）</t>
        </is>
      </c>
      <c r="I25" s="5" t="inlineStr">
        <is>
          <t>B1-T, B6-F</t>
        </is>
      </c>
      <c r="J25" s="5" t="inlineStr">
        <is>
          <t>一時 DB（createTestDb）、FakeClock（TEST_NOW = 2026-10-20T00:00:00.000Z）</t>
        </is>
      </c>
      <c r="K25" s="5" t="inlineStr"/>
      <c r="L25" s="5" t="inlineStr"/>
      <c r="M25" s="5" t="inlineStr">
        <is>
          <t>TC-UT_ADM-002 127.0.0.1 以外を渡すと、期限切れのセッションの削除も定期の削除も始めずに止まる</t>
        </is>
      </c>
      <c r="N25" s="6" t="inlineStr">
        <is>
          <t>未実施</t>
        </is>
      </c>
      <c r="O25" s="6" t="inlineStr"/>
      <c r="P25" s="6" t="inlineStr"/>
      <c r="Q25" s="7" t="inlineStr">
        <is>
          <t>既存テスト：なし（DEV-17 は assertLocalBind だけ）</t>
        </is>
      </c>
    </row>
    <row r="26">
      <c r="A26" s="4" t="n">
        <v>22</v>
      </c>
      <c r="B26" s="4" t="inlineStr">
        <is>
          <t>TC-UT_ADM-003</t>
        </is>
      </c>
      <c r="C26" s="5" t="inlineStr">
        <is>
          <t>createAdminApp（adminApiGuard）</t>
        </is>
      </c>
      <c r="D26" s="4" t="inlineStr">
        <is>
          <t>異常系</t>
        </is>
      </c>
      <c r="E26" s="4" t="inlineStr">
        <is>
          <t>同値分割</t>
        </is>
      </c>
      <c r="F26" s="5" t="inlineStr">
        <is>
          <t>公開の道とメソッドが違えばセッションを求める</t>
        </is>
      </c>
      <c r="G26" s="5" t="inlineStr">
        <is>
          <t>前提：Cookie なし
入力：POST /session、GET /login、DELETE /session</t>
        </is>
      </c>
      <c r="H26" s="5" t="inlineStr">
        <is>
          <t>どれも 401 ADMIN_UNAUTHORIZED（公開の道はメソッドと道の組で決まる）</t>
        </is>
      </c>
      <c r="I26" s="5" t="inlineStr">
        <is>
          <t>B2-F, B19-T</t>
        </is>
      </c>
      <c r="J26" s="5" t="inlineStr">
        <is>
          <t>一時 DB（createTestDb）、FakeClock（TEST_NOW = 2026-10-20T00:00:00.000Z）</t>
        </is>
      </c>
      <c r="K26" s="5" t="inlineStr"/>
      <c r="L26" s="5" t="inlineStr"/>
      <c r="M26" s="5" t="inlineStr">
        <is>
          <t>TC-UT_ADM-003 公開の道とメソッドが違えばセッションを求める</t>
        </is>
      </c>
      <c r="N26" s="6" t="inlineStr">
        <is>
          <t>未実施</t>
        </is>
      </c>
      <c r="O26" s="6" t="inlineStr"/>
      <c r="P26" s="6" t="inlineStr"/>
      <c r="Q26" s="7" t="inlineStr">
        <is>
          <t>既存テスト：一部 TC-NOUS52_DEV-20（公開の組だけ）</t>
        </is>
      </c>
    </row>
    <row r="27">
      <c r="A27" s="4" t="n">
        <v>23</v>
      </c>
      <c r="B27" s="4" t="inlineStr">
        <is>
          <t>TC-UT_ADM-004</t>
        </is>
      </c>
      <c r="C27" s="5" t="inlineStr">
        <is>
          <t>createAdminApp（PUBLIC_ROUTES の HEAD）</t>
        </is>
      </c>
      <c r="D27" s="4" t="inlineStr">
        <is>
          <t>正常系</t>
        </is>
      </c>
      <c r="E27" s="4" t="inlineStr">
        <is>
          <t>分岐網羅</t>
        </is>
      </c>
      <c r="F27" s="5" t="inlineStr">
        <is>
          <t>HEAD /admin/api/session は CSRF を求めず、有効なセッションなら 200 を返す</t>
        </is>
      </c>
      <c r="G27" s="5" t="inlineStr">
        <is>
          <t>前提：有効なセッション
入力：HEAD /admin/api/session（X-CSRF-Token なし）</t>
        </is>
      </c>
      <c r="H27" s="5" t="inlineStr">
        <is>
          <t>200（CSRF を求めない）</t>
        </is>
      </c>
      <c r="I27" s="5" t="inlineStr">
        <is>
          <t>B2-T, B19-F, B20-F</t>
        </is>
      </c>
      <c r="J27" s="5" t="inlineStr">
        <is>
          <t>一時 DB（createTestDb）、FakeClock（TEST_NOW = 2026-10-20T00:00:00.000Z）</t>
        </is>
      </c>
      <c r="K27" s="5" t="inlineStr"/>
      <c r="L27" s="5" t="inlineStr"/>
      <c r="M27" s="5" t="inlineStr">
        <is>
          <t>TC-UT_ADM-004 HEAD /admin/api/session は CSRF を求めず、有効なセッションなら 200 を返す</t>
        </is>
      </c>
      <c r="N27" s="6" t="inlineStr">
        <is>
          <t>未実施</t>
        </is>
      </c>
      <c r="O27" s="6" t="inlineStr"/>
      <c r="P27" s="6" t="inlineStr"/>
      <c r="Q27" s="7" t="inlineStr">
        <is>
          <t>既存テスト：なし
Hono は HEAD を GET の道で処理するため、GET /session と同じく authRoutes の requireAdminSession で Cookie を確かめる</t>
        </is>
      </c>
    </row>
    <row r="28">
      <c r="A28" s="4" t="n">
        <v>24</v>
      </c>
      <c r="B28" s="4" t="inlineStr">
        <is>
          <t>TC-UT_ADM-005</t>
        </is>
      </c>
      <c r="C28" s="5" t="inlineStr">
        <is>
          <t>createAdminApp（静的ファイル）</t>
        </is>
      </c>
      <c r="D28" s="4" t="inlineStr">
        <is>
          <t>異常系</t>
        </is>
      </c>
      <c r="E28" s="4" t="inlineStr">
        <is>
          <t>分岐網羅</t>
        </is>
      </c>
      <c r="F28" s="5" t="inlineStr">
        <is>
          <t>ログイン中でも、/admin/api 以下の知らない道には index.html を返さない</t>
        </is>
      </c>
      <c r="G28" s="5" t="inlineStr">
        <is>
          <t>前提：画面の置き場所あり、有効なセッション
入力：GET /admin/api/unknown</t>
        </is>
      </c>
      <c r="H28" s="5" t="inlineStr">
        <is>
          <t>404 で、index.html を返さない</t>
        </is>
      </c>
      <c r="I28" s="5" t="inlineStr">
        <is>
          <t>B4-T, B5-T</t>
        </is>
      </c>
      <c r="J28" s="5" t="inlineStr">
        <is>
          <t>一時ディレクトリ（mkdtemp）、一時 DB（createTestDb）、FakeClock（TEST_NOW = 2026-10-20T00:00:00.000Z）</t>
        </is>
      </c>
      <c r="K28" s="5" t="inlineStr"/>
      <c r="L28" s="5" t="inlineStr"/>
      <c r="M28" s="5" t="inlineStr">
        <is>
          <t>TC-UT_ADM-005 ログイン中でも、/admin/api 以下の知らない道には index.html を返さない</t>
        </is>
      </c>
      <c r="N28" s="6" t="inlineStr">
        <is>
          <t>未実施</t>
        </is>
      </c>
      <c r="O28" s="6" t="inlineStr"/>
      <c r="P28" s="6" t="inlineStr"/>
      <c r="Q28" s="7" t="inlineStr">
        <is>
          <t>既存テスト：一部 TC-NOUS52_DEV-22（セッションなしの 401 だけ）</t>
        </is>
      </c>
    </row>
    <row r="29">
      <c r="A29" s="4" t="n">
        <v>25</v>
      </c>
      <c r="B29" s="4" t="inlineStr">
        <is>
          <t>TC-UT_ADM-006</t>
        </is>
      </c>
      <c r="C29" s="5" t="inlineStr">
        <is>
          <t>createAdminApp（静的ファイル）</t>
        </is>
      </c>
      <c r="D29" s="4" t="inlineStr">
        <is>
          <t>異常系</t>
        </is>
      </c>
      <c r="E29" s="4" t="inlineStr">
        <is>
          <t>分岐網羅</t>
        </is>
      </c>
      <c r="F29" s="5" t="inlineStr">
        <is>
          <t>静的ファイルの置き場所が無ければ画面を配らない</t>
        </is>
      </c>
      <c r="G29" s="5" t="inlineStr">
        <is>
          <t>前提：画面の置き場所のディレクトリがない
入力：GET /agents</t>
        </is>
      </c>
      <c r="H29" s="5" t="inlineStr">
        <is>
          <t>404（画面を配らない）</t>
        </is>
      </c>
      <c r="I29" s="5" t="inlineStr">
        <is>
          <t>B3-F, B4-F</t>
        </is>
      </c>
      <c r="J29" s="5" t="inlineStr">
        <is>
          <t>一時ディレクトリ（mkdtemp）</t>
        </is>
      </c>
      <c r="K29" s="5" t="inlineStr"/>
      <c r="L29" s="5" t="inlineStr"/>
      <c r="M29" s="5" t="inlineStr">
        <is>
          <t>TC-UT_ADM-006 静的ファイルの置き場所が無ければ画面を配らない</t>
        </is>
      </c>
      <c r="N29" s="6" t="inlineStr">
        <is>
          <t>未実施</t>
        </is>
      </c>
      <c r="O29" s="6" t="inlineStr"/>
      <c r="P29" s="6" t="inlineStr"/>
      <c r="Q29" s="7" t="inlineStr">
        <is>
          <t>既存テスト：なし</t>
        </is>
      </c>
    </row>
    <row r="30">
      <c r="A30" s="4" t="n">
        <v>26</v>
      </c>
      <c r="B30" s="4" t="inlineStr">
        <is>
          <t>TC-UT_ADM-007</t>
        </is>
      </c>
      <c r="C30" s="5" t="inlineStr">
        <is>
          <t>startAdminServer（期限切れの削除）</t>
        </is>
      </c>
      <c r="D30" s="4" t="inlineStr">
        <is>
          <t>正常系</t>
        </is>
      </c>
      <c r="E30" s="4" t="inlineStr">
        <is>
          <t>分岐網羅</t>
        </is>
      </c>
      <c r="F30" s="5" t="inlineStr">
        <is>
          <t>起動時の削除が 0 件ならログを出さず、1 件以上なら件数をログに出す</t>
        </is>
      </c>
      <c r="G30" s="5" t="inlineStr">
        <is>
          <t>前提：セッションなし → 2 時間後に 1 件
入力：起動、FakeClock を 2 時間進める</t>
        </is>
      </c>
      <c r="H30" s="5" t="inlineStr">
        <is>
          <t>起動時は admin_sessions_swept を出さず、削除が 1 件のときだけ info で deleted: 1 を出す</t>
        </is>
      </c>
      <c r="I30" s="5" t="inlineStr">
        <is>
          <t>B7-T, B7-F</t>
        </is>
      </c>
      <c r="J30" s="5" t="inlineStr">
        <is>
          <t>一時 DB（createTestDb）、FakeClock（TEST_NOW = 2026-10-20T00:00:00.000Z）、captureLogger</t>
        </is>
      </c>
      <c r="K30" s="5" t="inlineStr"/>
      <c r="L30" s="5" t="inlineStr"/>
      <c r="M30" s="5" t="inlineStr">
        <is>
          <t>TC-UT_ADM-007 起動時の削除が 0 件ならログを出さず、1 件以上なら件数をログに出す</t>
        </is>
      </c>
      <c r="N30" s="6" t="inlineStr">
        <is>
          <t>未実施</t>
        </is>
      </c>
      <c r="O30" s="6" t="inlineStr"/>
      <c r="P30" s="6" t="inlineStr"/>
      <c r="Q30" s="7" t="inlineStr">
        <is>
          <t>既存テスト：一部 TC-NOUS52_DEV-21（件数だけで、ログを見ていない）</t>
        </is>
      </c>
    </row>
    <row r="31">
      <c r="A31" s="4" t="n">
        <v>27</v>
      </c>
      <c r="B31" s="4" t="inlineStr">
        <is>
          <t>TC-UT_ADM-008</t>
        </is>
      </c>
      <c r="C31" s="5" t="inlineStr">
        <is>
          <t>startAdminServer（期限切れの削除）</t>
        </is>
      </c>
      <c r="D31" s="4" t="inlineStr">
        <is>
          <t>異常系</t>
        </is>
      </c>
      <c r="E31" s="4" t="inlineStr">
        <is>
          <t>エラー処理</t>
        </is>
      </c>
      <c r="F31" s="5" t="inlineStr">
        <is>
          <t>期限切れのセッションの削除に失敗しても、error のログを出して起動を続ける</t>
        </is>
      </c>
      <c r="G31" s="5" t="inlineStr">
        <is>
          <t>前提：DB を閉じておく
入力：起動</t>
        </is>
      </c>
      <c r="H31" s="5" t="inlineStr">
        <is>
          <t>error で admin_sessions_sweep_failed を出し、起動を続けて定期の削除のタイマーを張る</t>
        </is>
      </c>
      <c r="I31" s="5" t="inlineStr">
        <is>
          <t>B8-T</t>
        </is>
      </c>
      <c r="J31" s="5" t="inlineStr">
        <is>
          <t>一時 DB（createTestDb）、FakeClock（TEST_NOW = 2026-10-20T00:00:00.000Z）、captureLogger</t>
        </is>
      </c>
      <c r="K31" s="5" t="inlineStr"/>
      <c r="L31" s="5" t="inlineStr"/>
      <c r="M31" s="5" t="inlineStr">
        <is>
          <t>TC-UT_ADM-008 期限切れのセッションの削除に失敗しても、error のログを出して起動を続ける</t>
        </is>
      </c>
      <c r="N31" s="6" t="inlineStr">
        <is>
          <t>未実施</t>
        </is>
      </c>
      <c r="O31" s="6" t="inlineStr"/>
      <c r="P31" s="6" t="inlineStr"/>
      <c r="Q31" s="7" t="inlineStr">
        <is>
          <t>既存テスト：なし</t>
        </is>
      </c>
    </row>
    <row r="32">
      <c r="A32" s="4" t="n">
        <v>28</v>
      </c>
      <c r="B32" s="4" t="inlineStr">
        <is>
          <t>TC-UT_ADM-009</t>
        </is>
      </c>
      <c r="C32" s="5" t="inlineStr">
        <is>
          <t>requireCsrf</t>
        </is>
      </c>
      <c r="D32" s="4" t="inlineStr">
        <is>
          <t>異常系</t>
        </is>
      </c>
      <c r="E32" s="4" t="inlineStr">
        <is>
          <t>分岐網羅</t>
        </is>
      </c>
      <c r="F32" s="5" t="inlineStr">
        <is>
          <t>トークンが合っていても、requireAdminSession を通っていない（c.var.admin がない）なら 403</t>
        </is>
      </c>
      <c r="G32" s="5" t="inlineStr">
        <is>
          <t>前提：c.var.admin を入れない
入力：POST、正しい形の X-CSRF-Token</t>
        </is>
      </c>
      <c r="H32" s="5" t="inlineStr">
        <is>
          <t>403 CSRF_INVALID</t>
        </is>
      </c>
      <c r="I32" s="5" t="inlineStr">
        <is>
          <t>B9-F, B10-T</t>
        </is>
      </c>
      <c r="J32" s="5" t="inlineStr">
        <is>
          <t>c.var.admin を差し替え</t>
        </is>
      </c>
      <c r="K32" s="5" t="inlineStr"/>
      <c r="L32" s="5" t="inlineStr"/>
      <c r="M32" s="5" t="inlineStr">
        <is>
          <t>TC-UT_ADM-009 トークンが合っていても、requireAdminSession を通っていない（c.var.admin がない）なら 403</t>
        </is>
      </c>
      <c r="N32" s="6" t="inlineStr">
        <is>
          <t>未実施</t>
        </is>
      </c>
      <c r="O32" s="6" t="inlineStr"/>
      <c r="P32" s="6" t="inlineStr"/>
      <c r="Q32" s="7" t="inlineStr">
        <is>
          <t>既存テスト：なし</t>
        </is>
      </c>
    </row>
    <row r="33">
      <c r="A33" s="4" t="n">
        <v>29</v>
      </c>
      <c r="B33" s="4" t="inlineStr">
        <is>
          <t>TC-UT_ADM-010</t>
        </is>
      </c>
      <c r="C33" s="5" t="inlineStr">
        <is>
          <t>requireCsrf</t>
        </is>
      </c>
      <c r="D33" s="4" t="inlineStr">
        <is>
          <t>異常系</t>
        </is>
      </c>
      <c r="E33" s="4" t="inlineStr">
        <is>
          <t>同値分割</t>
        </is>
      </c>
      <c r="F33" s="5" t="inlineStr">
        <is>
          <t>PATCH も変更の要求として CSRF を確かめる</t>
        </is>
      </c>
      <c r="G33" s="5" t="inlineStr">
        <is>
          <t>前提：c.var.admin あり
入力：PATCH（トークンなし／あり）</t>
        </is>
      </c>
      <c r="H33" s="5" t="inlineStr">
        <is>
          <t>なし：403、あり：200</t>
        </is>
      </c>
      <c r="I33" s="5" t="inlineStr">
        <is>
          <t>B9-F, B10-T, B10-F</t>
        </is>
      </c>
      <c r="J33" s="5" t="inlineStr">
        <is>
          <t>c.var.admin を差し替え</t>
        </is>
      </c>
      <c r="K33" s="5" t="inlineStr"/>
      <c r="L33" s="5" t="inlineStr"/>
      <c r="M33" s="5" t="inlineStr">
        <is>
          <t>TC-UT_ADM-010 PATCH も変更の要求として CSRF を確かめる</t>
        </is>
      </c>
      <c r="N33" s="6" t="inlineStr">
        <is>
          <t>未実施</t>
        </is>
      </c>
      <c r="O33" s="6" t="inlineStr"/>
      <c r="P33" s="6" t="inlineStr"/>
      <c r="Q33" s="7" t="inlineStr">
        <is>
          <t>既存テスト：一部 TC-NOUS52_DEV-07・08（POST・PUT・DELETE だけ）</t>
        </is>
      </c>
    </row>
    <row r="34">
      <c r="A34" s="4" t="n">
        <v>30</v>
      </c>
      <c r="B34" s="4" t="inlineStr">
        <is>
          <t>TC-UT_ADM-011</t>
        </is>
      </c>
      <c r="C34" s="5" t="inlineStr">
        <is>
          <t>requireCsrf</t>
        </is>
      </c>
      <c r="D34" s="4" t="inlineStr">
        <is>
          <t>正常系</t>
        </is>
      </c>
      <c r="E34" s="4" t="inlineStr">
        <is>
          <t>同値分割</t>
        </is>
      </c>
      <c r="F34" s="5" t="inlineStr">
        <is>
          <t>ヘッダーの名前は大文字小文字を問わない</t>
        </is>
      </c>
      <c r="G34" s="5" t="inlineStr">
        <is>
          <t>前提：c.var.admin あり
入力：POST、ヘッダー名 x-csrf-token（小文字）</t>
        </is>
      </c>
      <c r="H34" s="5" t="inlineStr">
        <is>
          <t>200</t>
        </is>
      </c>
      <c r="I34" s="5" t="inlineStr">
        <is>
          <t>B9-F, B10-F</t>
        </is>
      </c>
      <c r="J34" s="5" t="inlineStr">
        <is>
          <t>c.var.admin を差し替え</t>
        </is>
      </c>
      <c r="K34" s="5" t="inlineStr"/>
      <c r="L34" s="5" t="inlineStr"/>
      <c r="M34" s="5" t="inlineStr">
        <is>
          <t>TC-UT_ADM-011 ヘッダーの名前は大文字小文字を問わない</t>
        </is>
      </c>
      <c r="N34" s="6" t="inlineStr">
        <is>
          <t>未実施</t>
        </is>
      </c>
      <c r="O34" s="6" t="inlineStr"/>
      <c r="P34" s="6" t="inlineStr"/>
      <c r="Q34" s="7" t="inlineStr">
        <is>
          <t>既存テスト：なし</t>
        </is>
      </c>
    </row>
    <row r="35">
      <c r="A35" s="4" t="n">
        <v>31</v>
      </c>
      <c r="B35" s="4" t="inlineStr">
        <is>
          <t>TC-UT_ADM-012</t>
        </is>
      </c>
      <c r="C35" s="5" t="inlineStr">
        <is>
          <t>requireCsrf</t>
        </is>
      </c>
      <c r="D35" s="4" t="inlineStr">
        <is>
          <t>異常系</t>
        </is>
      </c>
      <c r="E35" s="4" t="inlineStr">
        <is>
          <t>境界値</t>
        </is>
      </c>
      <c r="F35" s="5" t="inlineStr">
        <is>
          <t>トークンの長さ・中身が少しでも違えば 403</t>
        </is>
      </c>
      <c r="G35" s="5" t="inlineStr">
        <is>
          <t>前提：c.var.admin あり
入力：DELETE、1 字短い・最後の 1 字だけ違う・空のトークン</t>
        </is>
      </c>
      <c r="H35" s="5" t="inlineStr">
        <is>
          <t>どれも 403</t>
        </is>
      </c>
      <c r="I35" s="5" t="inlineStr">
        <is>
          <t>B10-T</t>
        </is>
      </c>
      <c r="J35" s="5" t="inlineStr">
        <is>
          <t>c.var.admin を差し替え</t>
        </is>
      </c>
      <c r="K35" s="5" t="inlineStr"/>
      <c r="L35" s="5" t="inlineStr"/>
      <c r="M35" s="5" t="inlineStr">
        <is>
          <t>TC-UT_ADM-012 トークンの長さ・中身が少しでも違えば 403</t>
        </is>
      </c>
      <c r="N35" s="6" t="inlineStr">
        <is>
          <t>未実施</t>
        </is>
      </c>
      <c r="O35" s="6" t="inlineStr"/>
      <c r="P35" s="6" t="inlineStr"/>
      <c r="Q35" s="7" t="inlineStr">
        <is>
          <t>既存テスト：一部 TC-NOUS52_DEV-08（なし・まったく違う値だけ）</t>
        </is>
      </c>
    </row>
    <row r="36">
      <c r="A36" s="4" t="n">
        <v>32</v>
      </c>
      <c r="B36" s="4" t="inlineStr">
        <is>
          <t>TC-UT_ADM-013</t>
        </is>
      </c>
      <c r="C36" s="5" t="inlineStr">
        <is>
          <t>toAppError（findSqliteError）</t>
        </is>
      </c>
      <c r="D36" s="4" t="inlineStr">
        <is>
          <t>異常系</t>
        </is>
      </c>
      <c r="E36" s="4" t="inlineStr">
        <is>
          <t>分岐網羅</t>
        </is>
      </c>
      <c r="F36" s="5" t="inlineStr">
        <is>
          <t>Drizzle などが cause に包んだ SqliteError も UNIQUE の違反として 409 CONFLICT にする</t>
        </is>
      </c>
      <c r="G36" s="5" t="inlineStr">
        <is>
          <t>前提：なし
入力：cause に SqliteError（SQLITE_CONSTRAINT_UNIQUE）を持つ Error</t>
        </is>
      </c>
      <c r="H36" s="5" t="inlineStr">
        <is>
          <t>409 CONFLICT</t>
        </is>
      </c>
      <c r="I36" s="5" t="inlineStr">
        <is>
          <t>B13-T, B14-T, B15-F, B15-T</t>
        </is>
      </c>
      <c r="J36" s="5" t="inlineStr">
        <is>
          <t>SqliteError と同じ name・code の Error</t>
        </is>
      </c>
      <c r="K36" s="5" t="inlineStr"/>
      <c r="L36" s="5" t="inlineStr"/>
      <c r="M36" s="5" t="inlineStr">
        <is>
          <t>TC-UT_ADM-013 Drizzle などが cause に包んだ SqliteError も UNIQUE の違反として 409 CONFLICT にする</t>
        </is>
      </c>
      <c r="N36" s="6" t="inlineStr">
        <is>
          <t>未実施</t>
        </is>
      </c>
      <c r="O36" s="6" t="inlineStr"/>
      <c r="P36" s="6" t="inlineStr"/>
      <c r="Q36" s="7" t="inlineStr">
        <is>
          <t>既存テスト：一部 TC-NOUS52_DEV-12（包まれていない SqliteError だけ）</t>
        </is>
      </c>
    </row>
    <row r="37">
      <c r="A37" s="4" t="n">
        <v>33</v>
      </c>
      <c r="B37" s="4" t="inlineStr">
        <is>
          <t>TC-UT_ADM-014</t>
        </is>
      </c>
      <c r="C37" s="5" t="inlineStr">
        <is>
          <t>toAppError（findSqliteError）</t>
        </is>
      </c>
      <c r="D37" s="4" t="inlineStr">
        <is>
          <t>異常系</t>
        </is>
      </c>
      <c r="E37" s="4" t="inlineStr">
        <is>
          <t>境界値</t>
        </is>
      </c>
      <c r="F37" s="5" t="inlineStr">
        <is>
          <t>cause をたどるのは 5 段まで</t>
        </is>
      </c>
      <c r="G37" s="5" t="inlineStr">
        <is>
          <t>前提：なし
入力：SqliteError を cause で 4 回・5 回包む</t>
        </is>
      </c>
      <c r="H37" s="5" t="inlineStr">
        <is>
          <t>4 回：409 CONFLICT、5 回：500 INTERNAL_ERROR（たどるのは 5 段まで）</t>
        </is>
      </c>
      <c r="I37" s="5" t="inlineStr">
        <is>
          <t>B13-T, B13-F, B15-T, B15-F</t>
        </is>
      </c>
      <c r="J37" s="5" t="inlineStr">
        <is>
          <t>SqliteError と同じ name・code の Error</t>
        </is>
      </c>
      <c r="K37" s="5" t="inlineStr"/>
      <c r="L37" s="5" t="inlineStr"/>
      <c r="M37" s="5" t="inlineStr">
        <is>
          <t>TC-UT_ADM-014 cause をたどるのは 5 段まで</t>
        </is>
      </c>
      <c r="N37" s="6" t="inlineStr">
        <is>
          <t>未実施</t>
        </is>
      </c>
      <c r="O37" s="6" t="inlineStr"/>
      <c r="P37" s="6" t="inlineStr"/>
      <c r="Q37" s="7" t="inlineStr">
        <is>
          <t>既存テスト：なし</t>
        </is>
      </c>
    </row>
    <row r="38">
      <c r="A38" s="4" t="n">
        <v>34</v>
      </c>
      <c r="B38" s="4" t="inlineStr">
        <is>
          <t>TC-UT_ADM-015</t>
        </is>
      </c>
      <c r="C38" s="5" t="inlineStr">
        <is>
          <t>toAppError / isUniqueViolation</t>
        </is>
      </c>
      <c r="D38" s="4" t="inlineStr">
        <is>
          <t>異常系</t>
        </is>
      </c>
      <c r="E38" s="4" t="inlineStr">
        <is>
          <t>同値分割</t>
        </is>
      </c>
      <c r="F38" s="5" t="inlineStr">
        <is>
          <t>主キーの違反は 409、外部キーの違反と文字列でない code は 500 にする</t>
        </is>
      </c>
      <c r="G38" s="5" t="inlineStr">
        <is>
          <t>前提：なし
入力：code = SQLITE_CONSTRAINT_PRIMARYKEY、SQLITE_CONSTRAINT_FOREIGNKEY、123（数値）</t>
        </is>
      </c>
      <c r="H38" s="5" t="inlineStr">
        <is>
          <t>主キー：409、外部キー：500、数値：code を SQLITE_ERROR としてログに出し 500</t>
        </is>
      </c>
      <c r="I38" s="5" t="inlineStr">
        <is>
          <t>B14-T, B14-F, B16-T, B16-F</t>
        </is>
      </c>
      <c r="J38" s="5" t="inlineStr">
        <is>
          <t>SqliteError と同じ name・code の Error、captureLogger</t>
        </is>
      </c>
      <c r="K38" s="5" t="inlineStr"/>
      <c r="L38" s="5" t="inlineStr"/>
      <c r="M38" s="5" t="inlineStr">
        <is>
          <t>TC-UT_ADM-015 主キーの違反は 409、外部キーの違反と文字列でない code は 500 にする</t>
        </is>
      </c>
      <c r="N38" s="6" t="inlineStr">
        <is>
          <t>未実施</t>
        </is>
      </c>
      <c r="O38" s="6" t="inlineStr"/>
      <c r="P38" s="6" t="inlineStr"/>
      <c r="Q38" s="7" t="inlineStr">
        <is>
          <t>既存テスト：一部 TC-NOUS52_DEV-12・23（UNIQUE と CHECK だけ）</t>
        </is>
      </c>
    </row>
    <row r="39">
      <c r="A39" s="4" t="n">
        <v>35</v>
      </c>
      <c r="B39" s="4" t="inlineStr">
        <is>
          <t>TC-UT_ADM-016</t>
        </is>
      </c>
      <c r="C39" s="5" t="inlineStr">
        <is>
          <t>zodFields</t>
        </is>
      </c>
      <c r="D39" s="4" t="inlineStr">
        <is>
          <t>異常系</t>
        </is>
      </c>
      <c r="E39" s="4" t="inlineStr">
        <is>
          <t>分岐網羅</t>
        </is>
      </c>
      <c r="F39" s="5" t="inlineStr">
        <is>
          <t>zodFields は項目のない問題を _ に、同じ項目の2つ目以降は捨てて最初の文言にする</t>
        </is>
      </c>
      <c r="G39" s="5" t="inlineStr">
        <is>
          <t>前提：なし
入力：label が min と regex の両方に違反、項目のない refine の違反</t>
        </is>
      </c>
      <c r="H39" s="5" t="inlineStr">
        <is>
          <t>label は最初の文言「3 字以上」だけ、項目のない問題は _ に入る</t>
        </is>
      </c>
      <c r="I39" s="5" t="inlineStr">
        <is>
          <t>B17-T, B17-F, B18-T, B18-F</t>
        </is>
      </c>
      <c r="J39" s="5" t="inlineStr">
        <is>
          <t>なし</t>
        </is>
      </c>
      <c r="K39" s="5" t="inlineStr"/>
      <c r="L39" s="5" t="inlineStr"/>
      <c r="M39" s="5" t="inlineStr">
        <is>
          <t>TC-UT_ADM-016 zodFields は項目のない問題を _ に、同じ項目の2つ目以降は捨てて最初の文言にする</t>
        </is>
      </c>
      <c r="N39" s="6" t="inlineStr">
        <is>
          <t>未実施</t>
        </is>
      </c>
      <c r="O39" s="6" t="inlineStr"/>
      <c r="P39" s="6" t="inlineStr"/>
      <c r="Q39" s="7" t="inlineStr">
        <is>
          <t>既存テスト：一部 TC-NOUS52_DEV-10（項目ごとに 1 つずつだけ）</t>
        </is>
      </c>
    </row>
    <row r="40">
      <c r="A40" s="4" t="n">
        <v>36</v>
      </c>
      <c r="B40" s="4" t="inlineStr">
        <is>
          <t>TC-UT_ADM-017</t>
        </is>
      </c>
      <c r="C40" s="5" t="inlineStr">
        <is>
          <t>toAppError</t>
        </is>
      </c>
      <c r="D40" s="4" t="inlineStr">
        <is>
          <t>異常系</t>
        </is>
      </c>
      <c r="E40" s="4" t="inlineStr">
        <is>
          <t>同値分割</t>
        </is>
      </c>
      <c r="F40" s="5" t="inlineStr">
        <is>
          <t>toAppError は Error でない値（文字列）も 500 INTERNAL_ERROR の固定の文言にする</t>
        </is>
      </c>
      <c r="G40" s="5" t="inlineStr">
        <is>
          <t>前提：なし
入力：文字列 "raw"</t>
        </is>
      </c>
      <c r="H40" s="5" t="inlineStr">
        <is>
          <t>500 INTERNAL_ERROR の固定の文言、error で unexpected_error と値をログに出す</t>
        </is>
      </c>
      <c r="I40" s="5" t="inlineStr">
        <is>
          <t>B11-F, B12-F, B13-F</t>
        </is>
      </c>
      <c r="J40" s="5" t="inlineStr">
        <is>
          <t>captureLogger</t>
        </is>
      </c>
      <c r="K40" s="5" t="inlineStr"/>
      <c r="L40" s="5" t="inlineStr"/>
      <c r="M40" s="5" t="inlineStr">
        <is>
          <t>TC-UT_ADM-017 toAppError は Error でない値（文字列）も 500 INTERNAL_ERROR の固定の文言にする</t>
        </is>
      </c>
      <c r="N40" s="6" t="inlineStr">
        <is>
          <t>未実施</t>
        </is>
      </c>
      <c r="O40" s="6" t="inlineStr"/>
      <c r="P40" s="6" t="inlineStr"/>
      <c r="Q40" s="7" t="inlineStr">
        <is>
          <t>既存テスト：一部 TC-NOUS52_DEV-11（Error だけ）
Hono は Error でない値の throw を onError に渡さないため、errorHandler ではなく toAppError を直接呼んで確かめる（確認事項 1）</t>
        </is>
      </c>
    </row>
    <row r="41">
      <c r="A41" s="4" t="n">
        <v>37</v>
      </c>
      <c r="B41" s="4" t="inlineStr">
        <is>
          <t>TC-UT_ADM-018</t>
        </is>
      </c>
      <c r="C41" s="5" t="inlineStr">
        <is>
          <t>toAppError（ログの水準）</t>
        </is>
      </c>
      <c r="D41" s="4" t="inlineStr">
        <is>
          <t>正常系</t>
        </is>
      </c>
      <c r="E41" s="4" t="inlineStr">
        <is>
          <t>同値分割</t>
        </is>
      </c>
      <c r="F41" s="5" t="inlineStr">
        <is>
          <t>AppError は info、入力の誤りは debug、想定外の例外は error の水準でログに出す</t>
        </is>
      </c>
      <c r="G41" s="5" t="inlineStr">
        <is>
          <t>前提：なし
入力：AppError、ZodError、Error</t>
        </is>
      </c>
      <c r="H41" s="5" t="inlineStr">
        <is>
          <t>info app_error、debug validation_error、error unexpected_error（どれも path 付き）</t>
        </is>
      </c>
      <c r="I41" s="5" t="inlineStr">
        <is>
          <t>B11-T, B12-T, B13-F</t>
        </is>
      </c>
      <c r="J41" s="5" t="inlineStr">
        <is>
          <t>captureLogger</t>
        </is>
      </c>
      <c r="K41" s="5" t="inlineStr"/>
      <c r="L41" s="5" t="inlineStr"/>
      <c r="M41" s="5" t="inlineStr">
        <is>
          <t>TC-UT_ADM-018 AppError は info、入力の誤りは debug、想定外の例外は error の水準でログに出す</t>
        </is>
      </c>
      <c r="N41" s="6" t="inlineStr">
        <is>
          <t>未実施</t>
        </is>
      </c>
      <c r="O41" s="6" t="inlineStr"/>
      <c r="P41" s="6" t="inlineStr"/>
      <c r="Q41" s="7" t="inlineStr">
        <is>
          <t>既存テスト：一部 TC-NOUS52_DEV-11（error だけ）</t>
        </is>
      </c>
    </row>
    <row r="42">
      <c r="A42" s="4" t="n">
        <v>38</v>
      </c>
      <c r="B42" s="4" t="inlineStr">
        <is>
          <t>TC-UT_ADM-019</t>
        </is>
      </c>
      <c r="C42" s="5" t="inlineStr">
        <is>
          <t>requireAdminSession</t>
        </is>
      </c>
      <c r="D42" s="4" t="inlineStr">
        <is>
          <t>異常系</t>
        </is>
      </c>
      <c r="E42" s="4" t="inlineStr">
        <is>
          <t>境界値</t>
        </is>
      </c>
      <c r="F42" s="5" t="inlineStr">
        <is>
          <t>値が空の Cookie は Cookie がないものとして 401 にする</t>
        </is>
      </c>
      <c r="G42" s="5" t="inlineStr">
        <is>
          <t>前提：なし
入力：Cookie aisns_admin=（値が空）</t>
        </is>
      </c>
      <c r="H42" s="5" t="inlineStr">
        <is>
          <t>401 ADMIN_UNAUTHORIZED</t>
        </is>
      </c>
      <c r="I42" s="5" t="inlineStr">
        <is>
          <t>B19-T</t>
        </is>
      </c>
      <c r="J42" s="5" t="inlineStr">
        <is>
          <t>一時 DB（createTestDb）、FakeClock（TEST_NOW = 2026-10-20T00:00:00.000Z）</t>
        </is>
      </c>
      <c r="K42" s="5" t="inlineStr"/>
      <c r="L42" s="5" t="inlineStr"/>
      <c r="M42" s="5" t="inlineStr">
        <is>
          <t>TC-UT_ADM-019 値が空の Cookie は Cookie がないものとして 401 にする</t>
        </is>
      </c>
      <c r="N42" s="6" t="inlineStr">
        <is>
          <t>未実施</t>
        </is>
      </c>
      <c r="O42" s="6" t="inlineStr"/>
      <c r="P42" s="6" t="inlineStr"/>
      <c r="Q42" s="7" t="inlineStr">
        <is>
          <t>既存テスト：一部 TC-NOUS52_DEV-02（Cookie なしと知らない値）</t>
        </is>
      </c>
    </row>
    <row r="43">
      <c r="A43" s="4" t="n">
        <v>39</v>
      </c>
      <c r="B43" s="4" t="inlineStr">
        <is>
          <t>TC-UT_ADM-020</t>
        </is>
      </c>
      <c r="C43" s="5" t="inlineStr">
        <is>
          <t>requireAdminSession</t>
        </is>
      </c>
      <c r="D43" s="4" t="inlineStr">
        <is>
          <t>異常系</t>
        </is>
      </c>
      <c r="E43" s="4" t="inlineStr">
        <is>
          <t>同値分割</t>
        </is>
      </c>
      <c r="F43" s="5" t="inlineStr">
        <is>
          <t>DB の session_hash をそのまま Cookie に入れても通らない（Cookie の値をハッシュして探す）</t>
        </is>
      </c>
      <c r="G43" s="5" t="inlineStr">
        <is>
          <t>前提：有効なセッション
入力：DB の session_hash をそのまま Cookie に入れる</t>
        </is>
      </c>
      <c r="H43" s="5" t="inlineStr">
        <is>
          <t>401（Cookie の値を SHA-256 にして探すため、DB の値が漏れても入れない）</t>
        </is>
      </c>
      <c r="I43" s="5" t="inlineStr">
        <is>
          <t>B19-F, B20-T</t>
        </is>
      </c>
      <c r="J43" s="5" t="inlineStr">
        <is>
          <t>一時 DB（createTestDb）、FakeClock（TEST_NOW = 2026-10-20T00:00:00.000Z）</t>
        </is>
      </c>
      <c r="K43" s="5" t="inlineStr"/>
      <c r="L43" s="5" t="inlineStr"/>
      <c r="M43" s="5" t="inlineStr">
        <is>
          <t>TC-UT_ADM-020 DB の session_hash をそのまま Cookie に入れても通らない（Cookie の値をハッシュして探す）</t>
        </is>
      </c>
      <c r="N43" s="6" t="inlineStr">
        <is>
          <t>未実施</t>
        </is>
      </c>
      <c r="O43" s="6" t="inlineStr"/>
      <c r="P43" s="6" t="inlineStr"/>
      <c r="Q43" s="7" t="inlineStr">
        <is>
          <t>既存テスト：なし</t>
        </is>
      </c>
    </row>
    <row r="44">
      <c r="A44" s="4" t="n">
        <v>40</v>
      </c>
      <c r="B44" s="4" t="inlineStr">
        <is>
          <t>TC-UT_ADM-021</t>
        </is>
      </c>
      <c r="C44" s="5" t="inlineStr">
        <is>
          <t>requireAdminSession</t>
        </is>
      </c>
      <c r="D44" s="4" t="inlineStr">
        <is>
          <t>異常系</t>
        </is>
      </c>
      <c r="E44" s="4" t="inlineStr">
        <is>
          <t>境界値</t>
        </is>
      </c>
      <c r="F44" s="5" t="inlineStr">
        <is>
          <t>最終操作からちょうど 60 分のセッションは 401 にし、最終操作の時刻を更新しない</t>
        </is>
      </c>
      <c r="G44" s="5" t="inlineStr">
        <is>
          <t>前提：最終操作が TEST_NOW のセッション
入力：60 分ちょうど後に要求</t>
        </is>
      </c>
      <c r="H44" s="5" t="inlineStr">
        <is>
          <t>401 で、last_seen_at を更新しない</t>
        </is>
      </c>
      <c r="I44" s="5" t="inlineStr">
        <is>
          <t>B20-T</t>
        </is>
      </c>
      <c r="J44" s="5" t="inlineStr">
        <is>
          <t>一時 DB（createTestDb）、FakeClock（TEST_NOW = 2026-10-20T00:00:00.000Z）</t>
        </is>
      </c>
      <c r="K44" s="5" t="inlineStr"/>
      <c r="L44" s="5" t="inlineStr"/>
      <c r="M44" s="5" t="inlineStr">
        <is>
          <t>TC-UT_ADM-021 最終操作からちょうど 60 分のセッションは 401 にし、最終操作の時刻を更新しない</t>
        </is>
      </c>
      <c r="N44" s="6" t="inlineStr">
        <is>
          <t>未実施</t>
        </is>
      </c>
      <c r="O44" s="6" t="inlineStr"/>
      <c r="P44" s="6" t="inlineStr"/>
      <c r="Q44" s="7" t="inlineStr">
        <is>
          <t>既存テスト：一部 TC-NOUS52_DEV-04（findActiveSession だけで、更新しないことを見ていない）</t>
        </is>
      </c>
    </row>
    <row r="45">
      <c r="A45" s="4" t="n">
        <v>41</v>
      </c>
      <c r="B45" s="4" t="inlineStr">
        <is>
          <t>TC-UT_ADM-022</t>
        </is>
      </c>
      <c r="C45" s="5" t="inlineStr">
        <is>
          <t>deleteExpiredSessions</t>
        </is>
      </c>
      <c r="D45" s="4" t="inlineStr">
        <is>
          <t>正常系</t>
        </is>
      </c>
      <c r="E45" s="4" t="inlineStr">
        <is>
          <t>境界値</t>
        </is>
      </c>
      <c r="F45" s="5" t="inlineStr">
        <is>
          <t>deleteExpiredSessions は作成から 8 時間ちょうど・最終操作から 60 分ちょうどのものを消し、1 ms 手前のものは残す</t>
        </is>
      </c>
      <c r="G45" s="5" t="inlineStr">
        <is>
          <t>前提：作成から 8 時間ちょうど／1 ms 手前、最終操作から 60 分ちょうど／1 ms 手前の 4 件
入力：8 時間後の時刻で削除</t>
        </is>
      </c>
      <c r="H45" s="5" t="inlineStr">
        <is>
          <t>ちょうどの 2 件を消し、1 ms 手前の 2 件を残す（findActiveSession の境界と同じ）</t>
        </is>
      </c>
      <c r="I45" s="5" t="inlineStr"/>
      <c r="J45" s="5" t="inlineStr">
        <is>
          <t>一時 DB（createTestDb）、FakeClock（TEST_NOW = 2026-10-20T00:00:00.000Z）</t>
        </is>
      </c>
      <c r="K45" s="5" t="inlineStr"/>
      <c r="L45" s="5" t="inlineStr"/>
      <c r="M45" s="5" t="inlineStr">
        <is>
          <t>TC-UT_ADM-022 deleteExpiredSessions は作成から 8 時間ちょうど・最終操作から 60 分ちょうどのものを消し、1 ms 手前のものは残す</t>
        </is>
      </c>
      <c r="N45" s="6" t="inlineStr">
        <is>
          <t>未実施</t>
        </is>
      </c>
      <c r="O45" s="6" t="inlineStr"/>
      <c r="P45" s="6" t="inlineStr"/>
      <c r="Q45" s="7" t="inlineStr">
        <is>
          <t>既存テスト：一部 TC-NOUS52_DEV-05（境界から離れた値だけ）</t>
        </is>
      </c>
    </row>
  </sheetData>
  <autoFilter ref="A4:Q45"/>
  <conditionalFormatting sqref="A5:Q95">
    <cfRule type="expression" priority="1" dxfId="0">
      <formula>$N5="NG"</formula>
    </cfRule>
    <cfRule type="expression" priority="2" dxfId="1">
      <formula>$N5="OK"</formula>
    </cfRule>
    <cfRule type="expression" priority="3" dxfId="2">
      <formula>$N5="保留"</formula>
    </cfRule>
  </conditionalFormatting>
  <dataValidations count="2">
    <dataValidation sqref="N5:N95" showDropDown="0" showInputMessage="0" showErrorMessage="0" allowBlank="1" type="list">
      <formula1>"未実施,OK,NG,保留,対象外"</formula1>
    </dataValidation>
    <dataValidation sqref="D5:D95" showDropDown="0" showInputMessage="0" showErrorMessage="0" allowBlank="1" type="list">
      <formula1>"正常系,異常系"</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0" customWidth="1" min="1" max="1"/>
    <col width="14" customWidth="1" min="2" max="2"/>
  </cols>
  <sheetData>
    <row r="1">
      <c r="A1" s="1" t="inlineStr">
        <is>
          <t>集計サマリ</t>
        </is>
      </c>
    </row>
    <row r="2">
      <c r="A2" s="2" t="inlineStr">
        <is>
          <t>観点表シートの内容から自動集計されます（手入力不要）。</t>
        </is>
      </c>
    </row>
    <row r="4">
      <c r="A4" s="8" t="inlineStr">
        <is>
          <t>ケース数</t>
        </is>
      </c>
      <c r="B4" s="9" t="n"/>
      <c r="C4" s="9" t="n"/>
    </row>
    <row r="5">
      <c r="A5" s="10" t="inlineStr">
        <is>
          <t>総ケース数</t>
        </is>
      </c>
      <c r="B5" s="10">
        <f>COUNTA(観点表!$B$5:$B$95)</f>
        <v/>
      </c>
    </row>
    <row r="6">
      <c r="A6" s="10" t="inlineStr">
        <is>
          <t>正常系</t>
        </is>
      </c>
      <c r="B6" s="10">
        <f>COUNTIF(観点表!$D$5:$D$95,"正常系")</f>
        <v/>
      </c>
    </row>
    <row r="7">
      <c r="A7" s="10" t="inlineStr">
        <is>
          <t>異常系</t>
        </is>
      </c>
      <c r="B7" s="10">
        <f>COUNTIF(観点表!$D$5:$D$95,"異常系")</f>
        <v/>
      </c>
    </row>
    <row r="9">
      <c r="A9" s="8" t="inlineStr">
        <is>
          <t>技法別</t>
        </is>
      </c>
      <c r="B9" s="9" t="n"/>
      <c r="C9" s="9" t="n"/>
    </row>
    <row r="10">
      <c r="A10" s="10" t="inlineStr">
        <is>
          <t>エラー処理</t>
        </is>
      </c>
      <c r="B10" s="10">
        <f>COUNTIF(観点表!$E$5:$E$95,"エラー処理")</f>
        <v/>
      </c>
    </row>
    <row r="11">
      <c r="A11" s="10" t="inlineStr">
        <is>
          <t>分岐網羅</t>
        </is>
      </c>
      <c r="B11" s="10">
        <f>COUNTIF(観点表!$E$5:$E$95,"分岐網羅")</f>
        <v/>
      </c>
    </row>
    <row r="12">
      <c r="A12" s="10" t="inlineStr">
        <is>
          <t>同値分割</t>
        </is>
      </c>
      <c r="B12" s="10">
        <f>COUNTIF(観点表!$E$5:$E$95,"同値分割")</f>
        <v/>
      </c>
    </row>
    <row r="13">
      <c r="A13" s="10" t="inlineStr">
        <is>
          <t>境界値</t>
        </is>
      </c>
      <c r="B13" s="10">
        <f>COUNTIF(観点表!$E$5:$E$95,"境界値")</f>
        <v/>
      </c>
    </row>
    <row r="14">
      <c r="A14" s="10" t="inlineStr">
        <is>
          <t>開発者テスト</t>
        </is>
      </c>
      <c r="B14" s="10">
        <f>COUNTIF(観点表!$E$5:$E$95,"開発者テスト")</f>
        <v/>
      </c>
    </row>
    <row r="16">
      <c r="A16" s="8" t="inlineStr">
        <is>
          <t>テストデータ</t>
        </is>
      </c>
      <c r="B16" s="9" t="n"/>
      <c r="C16" s="9" t="n"/>
    </row>
    <row r="17">
      <c r="A17" s="10" t="inlineStr">
        <is>
          <t>作成済み</t>
        </is>
      </c>
      <c r="B17" s="10">
        <f>COUNTIF(観点表!$K$5:$K$95,"?*")</f>
        <v/>
      </c>
    </row>
    <row r="18">
      <c r="A18" s="10" t="inlineStr">
        <is>
          <t>未作成</t>
        </is>
      </c>
      <c r="B18" s="10">
        <f>B5-B17</f>
        <v/>
      </c>
    </row>
    <row r="20">
      <c r="A20" s="8" t="inlineStr">
        <is>
          <t>実施状況</t>
        </is>
      </c>
      <c r="B20" s="9" t="n"/>
      <c r="C20" s="9" t="n"/>
    </row>
    <row r="21">
      <c r="A21" s="10" t="inlineStr">
        <is>
          <t>未実施</t>
        </is>
      </c>
      <c r="B21" s="10">
        <f>COUNTIF(観点表!$N$5:$N$95,"未実施")</f>
        <v/>
      </c>
    </row>
    <row r="22">
      <c r="A22" s="10" t="inlineStr">
        <is>
          <t>OK</t>
        </is>
      </c>
      <c r="B22" s="10">
        <f>COUNTIF(観点表!$N$5:$N$95,"OK")</f>
        <v/>
      </c>
    </row>
    <row r="23">
      <c r="A23" s="10" t="inlineStr">
        <is>
          <t>NG</t>
        </is>
      </c>
      <c r="B23" s="10">
        <f>COUNTIF(観点表!$N$5:$N$95,"NG")</f>
        <v/>
      </c>
    </row>
    <row r="24">
      <c r="A24" s="10" t="inlineStr">
        <is>
          <t>保留</t>
        </is>
      </c>
      <c r="B24" s="10">
        <f>COUNTIF(観点表!$N$5:$N$95,"保留")</f>
        <v/>
      </c>
    </row>
    <row r="25">
      <c r="A25" s="10" t="inlineStr">
        <is>
          <t>対象外</t>
        </is>
      </c>
      <c r="B25" s="10">
        <f>COUNTIF(観点表!$N$5:$N$95,"対象外")</f>
        <v/>
      </c>
    </row>
    <row r="26">
      <c r="A26" s="10" t="inlineStr">
        <is>
          <t>消化率（未実施以外 / 総数）</t>
        </is>
      </c>
      <c r="B26" s="11">
        <f>IF(B5=0,0,(B5-B21)/B5)</f>
        <v/>
      </c>
    </row>
    <row r="27">
      <c r="A27" s="10" t="inlineStr">
        <is>
          <t>合格率（OK / (総数-対象外)）</t>
        </is>
      </c>
      <c r="B27" s="11">
        <f>IF(B5-B25=0,0,B22/(B5-B25))</f>
        <v/>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F4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9" customWidth="1" min="3" max="3"/>
    <col width="22" customWidth="1" min="4" max="4"/>
    <col width="40" customWidth="1" min="5" max="5"/>
    <col width="30" customWidth="1" min="6" max="6"/>
  </cols>
  <sheetData>
    <row r="1">
      <c r="A1" s="1" t="inlineStr">
        <is>
          <t>テストデータ一覧</t>
        </is>
      </c>
    </row>
    <row r="2">
      <c r="A2" s="2" t="inlineStr">
        <is>
          <t>観点表の各ケースで使う具体値を項目単位に展開したもの（参照用。編集は観点表の「テストデータ（具体値）」列で行う）。</t>
        </is>
      </c>
    </row>
    <row r="4">
      <c r="A4" s="12" t="inlineStr">
        <is>
          <t>ID</t>
        </is>
      </c>
      <c r="B4" s="12" t="inlineStr">
        <is>
          <t>観点</t>
        </is>
      </c>
      <c r="C4" s="12" t="inlineStr">
        <is>
          <t>区分</t>
        </is>
      </c>
      <c r="D4" s="12" t="inlineStr">
        <is>
          <t>項目</t>
        </is>
      </c>
      <c r="E4" s="12" t="inlineStr">
        <is>
          <t>値</t>
        </is>
      </c>
      <c r="F4" s="12" t="inlineStr">
        <is>
          <t>データ参照</t>
        </is>
      </c>
    </row>
    <row r="5">
      <c r="A5" s="13" t="inlineStr">
        <is>
          <t>TC-NOUS52_DEV-17</t>
        </is>
      </c>
      <c r="B5" s="13" t="inlineStr">
        <is>
          <t>127.0.0.1 以外のアドレスでは起動しない</t>
        </is>
      </c>
      <c r="C5" s="13" t="inlineStr">
        <is>
          <t>未作成</t>
        </is>
      </c>
      <c r="D5" s="13" t="inlineStr"/>
      <c r="E5" s="13" t="inlineStr"/>
      <c r="F5" s="13" t="inlineStr"/>
    </row>
    <row r="6">
      <c r="A6" s="13" t="inlineStr">
        <is>
          <t>TC-NOUS52_DEV-18</t>
        </is>
      </c>
      <c r="B6" s="13" t="inlineStr">
        <is>
          <t>/admin/api 以下はセッションがなければ 401</t>
        </is>
      </c>
      <c r="C6" s="13" t="inlineStr">
        <is>
          <t>未作成</t>
        </is>
      </c>
      <c r="D6" s="13" t="inlineStr"/>
      <c r="E6" s="13" t="inlineStr"/>
      <c r="F6" s="13" t="inlineStr"/>
    </row>
    <row r="7">
      <c r="A7" s="13" t="inlineStr">
        <is>
          <t>TC-NOUS52_DEV-19</t>
        </is>
      </c>
      <c r="B7" s="13" t="inlineStr">
        <is>
          <t>変更の要求はセッションに加えて CSRF を確かめる</t>
        </is>
      </c>
      <c r="C7" s="13" t="inlineStr">
        <is>
          <t>未作成</t>
        </is>
      </c>
      <c r="D7" s="13" t="inlineStr"/>
      <c r="E7" s="13" t="inlineStr"/>
      <c r="F7" s="13" t="inlineStr"/>
    </row>
    <row r="8">
      <c r="A8" s="13" t="inlineStr">
        <is>
          <t>TC-NOUS52_DEV-20</t>
        </is>
      </c>
      <c r="B8" s="13" t="inlineStr">
        <is>
          <t>login と GET /session は requireAdminSession・requireCsrf を通さない</t>
        </is>
      </c>
      <c r="C8" s="13" t="inlineStr">
        <is>
          <t>未作成</t>
        </is>
      </c>
      <c r="D8" s="13" t="inlineStr"/>
      <c r="E8" s="13" t="inlineStr"/>
      <c r="F8" s="13" t="inlineStr"/>
    </row>
    <row r="9">
      <c r="A9" s="13" t="inlineStr">
        <is>
          <t>TC-NOUS52_DEV-21</t>
        </is>
      </c>
      <c r="B9" s="13" t="inlineStr">
        <is>
          <t>起動時に期限切れのセッションを消し、60 分ごとに消し直す</t>
        </is>
      </c>
      <c r="C9" s="13" t="inlineStr">
        <is>
          <t>未作成</t>
        </is>
      </c>
      <c r="D9" s="13" t="inlineStr"/>
      <c r="E9" s="13" t="inlineStr"/>
      <c r="F9" s="13" t="inlineStr"/>
    </row>
    <row r="10">
      <c r="A10" s="13" t="inlineStr">
        <is>
          <t>TC-NOUS52_DEV-22</t>
        </is>
      </c>
      <c r="B10" s="13" t="inlineStr">
        <is>
          <t>画面の静的ファイルを配り、画面の URL では index.html を返す</t>
        </is>
      </c>
      <c r="C10" s="13" t="inlineStr">
        <is>
          <t>未作成</t>
        </is>
      </c>
      <c r="D10" s="13" t="inlineStr"/>
      <c r="E10" s="13" t="inlineStr"/>
      <c r="F10" s="13" t="inlineStr"/>
    </row>
    <row r="11">
      <c r="A11" s="13" t="inlineStr">
        <is>
          <t>TC-NOUS52_DEV-06</t>
        </is>
      </c>
      <c r="B11" s="13" t="inlineStr">
        <is>
          <t>GET は X-CSRF-Token なしで通る</t>
        </is>
      </c>
      <c r="C11" s="13" t="inlineStr">
        <is>
          <t>未作成</t>
        </is>
      </c>
      <c r="D11" s="13" t="inlineStr"/>
      <c r="E11" s="13" t="inlineStr"/>
      <c r="F11" s="13" t="inlineStr"/>
    </row>
    <row r="12">
      <c r="A12" s="13" t="inlineStr">
        <is>
          <t>TC-NOUS52_DEV-07</t>
        </is>
      </c>
      <c r="B12" s="13" t="inlineStr">
        <is>
          <t>POST・PUT・DELETE は一致するトークンで通る</t>
        </is>
      </c>
      <c r="C12" s="13" t="inlineStr">
        <is>
          <t>未作成</t>
        </is>
      </c>
      <c r="D12" s="13" t="inlineStr"/>
      <c r="E12" s="13" t="inlineStr"/>
      <c r="F12" s="13" t="inlineStr"/>
    </row>
    <row r="13">
      <c r="A13" s="13" t="inlineStr">
        <is>
          <t>TC-NOUS52_DEV-08</t>
        </is>
      </c>
      <c r="B13" s="13" t="inlineStr">
        <is>
          <t>トークンがない・違うなら 403 CSRF_INVALID</t>
        </is>
      </c>
      <c r="C13" s="13" t="inlineStr">
        <is>
          <t>未作成</t>
        </is>
      </c>
      <c r="D13" s="13" t="inlineStr"/>
      <c r="E13" s="13" t="inlineStr"/>
      <c r="F13" s="13" t="inlineStr"/>
    </row>
    <row r="14">
      <c r="A14" s="13" t="inlineStr">
        <is>
          <t>TC-NOUS52_DEV-09</t>
        </is>
      </c>
      <c r="B14" s="13" t="inlineStr">
        <is>
          <t>AppError を status と code・message・fields の本文で返す</t>
        </is>
      </c>
      <c r="C14" s="13" t="inlineStr">
        <is>
          <t>未作成</t>
        </is>
      </c>
      <c r="D14" s="13" t="inlineStr"/>
      <c r="E14" s="13" t="inlineStr"/>
      <c r="F14" s="13" t="inlineStr"/>
    </row>
    <row r="15">
      <c r="A15" s="13" t="inlineStr">
        <is>
          <t>TC-NOUS52_DEV-10</t>
        </is>
      </c>
      <c r="B15" s="13" t="inlineStr">
        <is>
          <t>ZodError を 400 VALIDATION_ERROR と項目ごとのメッセージにする</t>
        </is>
      </c>
      <c r="C15" s="13" t="inlineStr">
        <is>
          <t>未作成</t>
        </is>
      </c>
      <c r="D15" s="13" t="inlineStr"/>
      <c r="E15" s="13" t="inlineStr"/>
      <c r="F15" s="13" t="inlineStr"/>
    </row>
    <row r="16">
      <c r="A16" s="13" t="inlineStr">
        <is>
          <t>TC-NOUS52_DEV-11</t>
        </is>
      </c>
      <c r="B16" s="13" t="inlineStr">
        <is>
          <t>想定外の例外は 500 INTERNAL_ERROR の固定の文言で返し、スタックはログだけに出す</t>
        </is>
      </c>
      <c r="C16" s="13" t="inlineStr">
        <is>
          <t>未作成</t>
        </is>
      </c>
      <c r="D16" s="13" t="inlineStr"/>
      <c r="E16" s="13" t="inlineStr"/>
      <c r="F16" s="13" t="inlineStr"/>
    </row>
    <row r="17">
      <c r="A17" s="13" t="inlineStr">
        <is>
          <t>TC-NOUS52_DEV-12</t>
        </is>
      </c>
      <c r="B17" s="13" t="inlineStr">
        <is>
          <t>SqliteError の UNIQUE の違反は SQL の文を出さずに 409 CONFLICT にする</t>
        </is>
      </c>
      <c r="C17" s="13" t="inlineStr">
        <is>
          <t>未作成</t>
        </is>
      </c>
      <c r="D17" s="13" t="inlineStr"/>
      <c r="E17" s="13" t="inlineStr"/>
      <c r="F17" s="13" t="inlineStr"/>
    </row>
    <row r="18">
      <c r="A18" s="13" t="inlineStr">
        <is>
          <t>TC-NOUS52_DEV-23</t>
        </is>
      </c>
      <c r="B18" s="13" t="inlineStr">
        <is>
          <t>UNIQUE 以外の SqliteError（CHECK の違反）は 500 INTERNAL_ERROR にする</t>
        </is>
      </c>
      <c r="C18" s="13" t="inlineStr">
        <is>
          <t>未作成</t>
        </is>
      </c>
      <c r="D18" s="13" t="inlineStr"/>
      <c r="E18" s="13" t="inlineStr"/>
      <c r="F18" s="13" t="inlineStr"/>
    </row>
    <row r="19">
      <c r="A19" s="13" t="inlineStr">
        <is>
          <t>TC-NOUS52_DEV-01</t>
        </is>
      </c>
      <c r="B19" s="13" t="inlineStr">
        <is>
          <t>有効なセッションの Cookie で通り、c.var.admin に管理者が入る</t>
        </is>
      </c>
      <c r="C19" s="13" t="inlineStr">
        <is>
          <t>未作成</t>
        </is>
      </c>
      <c r="D19" s="13" t="inlineStr"/>
      <c r="E19" s="13" t="inlineStr"/>
      <c r="F19" s="13" t="inlineStr"/>
    </row>
    <row r="20">
      <c r="A20" s="13" t="inlineStr">
        <is>
          <t>TC-NOUS52_DEV-02</t>
        </is>
      </c>
      <c r="B20" s="13" t="inlineStr">
        <is>
          <t>Cookie がない・知らない値なら 401 ADMIN_UNAUTHORIZED</t>
        </is>
      </c>
      <c r="C20" s="13" t="inlineStr">
        <is>
          <t>未作成</t>
        </is>
      </c>
      <c r="D20" s="13" t="inlineStr"/>
      <c r="E20" s="13" t="inlineStr"/>
      <c r="F20" s="13" t="inlineStr"/>
    </row>
    <row r="21">
      <c r="A21" s="13" t="inlineStr">
        <is>
          <t>TC-NOUS52_DEV-03</t>
        </is>
      </c>
      <c r="B21" s="13" t="inlineStr">
        <is>
          <t>最終操作を更新する</t>
        </is>
      </c>
      <c r="C21" s="13" t="inlineStr">
        <is>
          <t>未作成</t>
        </is>
      </c>
      <c r="D21" s="13" t="inlineStr"/>
      <c r="E21" s="13" t="inlineStr"/>
      <c r="F21" s="13" t="inlineStr"/>
    </row>
    <row r="22">
      <c r="A22" s="13" t="inlineStr">
        <is>
          <t>TC-NOUS52_DEV-04</t>
        </is>
      </c>
      <c r="B22" s="13" t="inlineStr">
        <is>
          <t>作成から 8 時間・最終操作から 60 分を過ぎたセッションは無効</t>
        </is>
      </c>
      <c r="C22" s="13" t="inlineStr">
        <is>
          <t>未作成</t>
        </is>
      </c>
      <c r="D22" s="13" t="inlineStr"/>
      <c r="E22" s="13" t="inlineStr"/>
      <c r="F22" s="13" t="inlineStr"/>
    </row>
    <row r="23">
      <c r="A23" s="13" t="inlineStr">
        <is>
          <t>TC-NOUS52_DEV-05</t>
        </is>
      </c>
      <c r="B23" s="13" t="inlineStr">
        <is>
          <t>deleteExpiredSessions が失効したものだけを消す</t>
        </is>
      </c>
      <c r="C23" s="13" t="inlineStr">
        <is>
          <t>未作成</t>
        </is>
      </c>
      <c r="D23" s="13" t="inlineStr"/>
      <c r="E23" s="13" t="inlineStr"/>
      <c r="F23" s="13" t="inlineStr"/>
    </row>
    <row r="24">
      <c r="A24" s="13" t="inlineStr">
        <is>
          <t>TC-UT_ADM-001</t>
        </is>
      </c>
      <c r="B24" s="13" t="inlineStr">
        <is>
          <t>assertLocalBind は 127.0.0.1 以外を AdminBindError にし、指定のアドレスを文言に入れる</t>
        </is>
      </c>
      <c r="C24" s="13" t="inlineStr">
        <is>
          <t>未作成</t>
        </is>
      </c>
      <c r="D24" s="13" t="inlineStr"/>
      <c r="E24" s="13" t="inlineStr"/>
      <c r="F24" s="13" t="inlineStr"/>
    </row>
    <row r="25">
      <c r="A25" s="13" t="inlineStr">
        <is>
          <t>TC-UT_ADM-002</t>
        </is>
      </c>
      <c r="B25" s="13" t="inlineStr">
        <is>
          <t>127.0.0.1 以外を渡すと、期限切れのセッションの削除も定期の削除も始めずに止まる</t>
        </is>
      </c>
      <c r="C25" s="13" t="inlineStr">
        <is>
          <t>未作成</t>
        </is>
      </c>
      <c r="D25" s="13" t="inlineStr"/>
      <c r="E25" s="13" t="inlineStr"/>
      <c r="F25" s="13" t="inlineStr"/>
    </row>
    <row r="26">
      <c r="A26" s="13" t="inlineStr">
        <is>
          <t>TC-UT_ADM-003</t>
        </is>
      </c>
      <c r="B26" s="13" t="inlineStr">
        <is>
          <t>公開の道とメソッドが違えばセッションを求める</t>
        </is>
      </c>
      <c r="C26" s="13" t="inlineStr">
        <is>
          <t>未作成</t>
        </is>
      </c>
      <c r="D26" s="13" t="inlineStr"/>
      <c r="E26" s="13" t="inlineStr"/>
      <c r="F26" s="13" t="inlineStr"/>
    </row>
    <row r="27">
      <c r="A27" s="13" t="inlineStr">
        <is>
          <t>TC-UT_ADM-004</t>
        </is>
      </c>
      <c r="B27" s="13" t="inlineStr">
        <is>
          <t>HEAD /admin/api/session は CSRF を求めず、有効なセッションなら 200 を返す</t>
        </is>
      </c>
      <c r="C27" s="13" t="inlineStr">
        <is>
          <t>未作成</t>
        </is>
      </c>
      <c r="D27" s="13" t="inlineStr"/>
      <c r="E27" s="13" t="inlineStr"/>
      <c r="F27" s="13" t="inlineStr"/>
    </row>
    <row r="28">
      <c r="A28" s="13" t="inlineStr">
        <is>
          <t>TC-UT_ADM-005</t>
        </is>
      </c>
      <c r="B28" s="13" t="inlineStr">
        <is>
          <t>ログイン中でも、/admin/api 以下の知らない道には index.html を返さない</t>
        </is>
      </c>
      <c r="C28" s="13" t="inlineStr">
        <is>
          <t>未作成</t>
        </is>
      </c>
      <c r="D28" s="13" t="inlineStr"/>
      <c r="E28" s="13" t="inlineStr"/>
      <c r="F28" s="13" t="inlineStr"/>
    </row>
    <row r="29">
      <c r="A29" s="13" t="inlineStr">
        <is>
          <t>TC-UT_ADM-006</t>
        </is>
      </c>
      <c r="B29" s="13" t="inlineStr">
        <is>
          <t>静的ファイルの置き場所が無ければ画面を配らない</t>
        </is>
      </c>
      <c r="C29" s="13" t="inlineStr">
        <is>
          <t>未作成</t>
        </is>
      </c>
      <c r="D29" s="13" t="inlineStr"/>
      <c r="E29" s="13" t="inlineStr"/>
      <c r="F29" s="13" t="inlineStr"/>
    </row>
    <row r="30">
      <c r="A30" s="13" t="inlineStr">
        <is>
          <t>TC-UT_ADM-007</t>
        </is>
      </c>
      <c r="B30" s="13" t="inlineStr">
        <is>
          <t>起動時の削除が 0 件ならログを出さず、1 件以上なら件数をログに出す</t>
        </is>
      </c>
      <c r="C30" s="13" t="inlineStr">
        <is>
          <t>未作成</t>
        </is>
      </c>
      <c r="D30" s="13" t="inlineStr"/>
      <c r="E30" s="13" t="inlineStr"/>
      <c r="F30" s="13" t="inlineStr"/>
    </row>
    <row r="31">
      <c r="A31" s="13" t="inlineStr">
        <is>
          <t>TC-UT_ADM-008</t>
        </is>
      </c>
      <c r="B31" s="13" t="inlineStr">
        <is>
          <t>期限切れのセッションの削除に失敗しても、error のログを出して起動を続ける</t>
        </is>
      </c>
      <c r="C31" s="13" t="inlineStr">
        <is>
          <t>未作成</t>
        </is>
      </c>
      <c r="D31" s="13" t="inlineStr"/>
      <c r="E31" s="13" t="inlineStr"/>
      <c r="F31" s="13" t="inlineStr"/>
    </row>
    <row r="32">
      <c r="A32" s="13" t="inlineStr">
        <is>
          <t>TC-UT_ADM-009</t>
        </is>
      </c>
      <c r="B32" s="13" t="inlineStr">
        <is>
          <t>トークンが合っていても、requireAdminSession を通っていない（c.var.admin がない）なら 403</t>
        </is>
      </c>
      <c r="C32" s="13" t="inlineStr">
        <is>
          <t>未作成</t>
        </is>
      </c>
      <c r="D32" s="13" t="inlineStr"/>
      <c r="E32" s="13" t="inlineStr"/>
      <c r="F32" s="13" t="inlineStr"/>
    </row>
    <row r="33">
      <c r="A33" s="13" t="inlineStr">
        <is>
          <t>TC-UT_ADM-010</t>
        </is>
      </c>
      <c r="B33" s="13" t="inlineStr">
        <is>
          <t>PATCH も変更の要求として CSRF を確かめる</t>
        </is>
      </c>
      <c r="C33" s="13" t="inlineStr">
        <is>
          <t>未作成</t>
        </is>
      </c>
      <c r="D33" s="13" t="inlineStr"/>
      <c r="E33" s="13" t="inlineStr"/>
      <c r="F33" s="13" t="inlineStr"/>
    </row>
    <row r="34">
      <c r="A34" s="13" t="inlineStr">
        <is>
          <t>TC-UT_ADM-011</t>
        </is>
      </c>
      <c r="B34" s="13" t="inlineStr">
        <is>
          <t>ヘッダーの名前は大文字小文字を問わない</t>
        </is>
      </c>
      <c r="C34" s="13" t="inlineStr">
        <is>
          <t>未作成</t>
        </is>
      </c>
      <c r="D34" s="13" t="inlineStr"/>
      <c r="E34" s="13" t="inlineStr"/>
      <c r="F34" s="13" t="inlineStr"/>
    </row>
    <row r="35">
      <c r="A35" s="13" t="inlineStr">
        <is>
          <t>TC-UT_ADM-012</t>
        </is>
      </c>
      <c r="B35" s="13" t="inlineStr">
        <is>
          <t>トークンの長さ・中身が少しでも違えば 403</t>
        </is>
      </c>
      <c r="C35" s="13" t="inlineStr">
        <is>
          <t>未作成</t>
        </is>
      </c>
      <c r="D35" s="13" t="inlineStr"/>
      <c r="E35" s="13" t="inlineStr"/>
      <c r="F35" s="13" t="inlineStr"/>
    </row>
    <row r="36">
      <c r="A36" s="13" t="inlineStr">
        <is>
          <t>TC-UT_ADM-013</t>
        </is>
      </c>
      <c r="B36" s="13" t="inlineStr">
        <is>
          <t>Drizzle などが cause に包んだ SqliteError も UNIQUE の違反として 409 CONFLICT にする</t>
        </is>
      </c>
      <c r="C36" s="13" t="inlineStr">
        <is>
          <t>未作成</t>
        </is>
      </c>
      <c r="D36" s="13" t="inlineStr"/>
      <c r="E36" s="13" t="inlineStr"/>
      <c r="F36" s="13" t="inlineStr"/>
    </row>
    <row r="37">
      <c r="A37" s="13" t="inlineStr">
        <is>
          <t>TC-UT_ADM-014</t>
        </is>
      </c>
      <c r="B37" s="13" t="inlineStr">
        <is>
          <t>cause をたどるのは 5 段まで</t>
        </is>
      </c>
      <c r="C37" s="13" t="inlineStr">
        <is>
          <t>未作成</t>
        </is>
      </c>
      <c r="D37" s="13" t="inlineStr"/>
      <c r="E37" s="13" t="inlineStr"/>
      <c r="F37" s="13" t="inlineStr"/>
    </row>
    <row r="38">
      <c r="A38" s="13" t="inlineStr">
        <is>
          <t>TC-UT_ADM-015</t>
        </is>
      </c>
      <c r="B38" s="13" t="inlineStr">
        <is>
          <t>主キーの違反は 409、外部キーの違反と文字列でない code は 500 にする</t>
        </is>
      </c>
      <c r="C38" s="13" t="inlineStr">
        <is>
          <t>未作成</t>
        </is>
      </c>
      <c r="D38" s="13" t="inlineStr"/>
      <c r="E38" s="13" t="inlineStr"/>
      <c r="F38" s="13" t="inlineStr"/>
    </row>
    <row r="39">
      <c r="A39" s="13" t="inlineStr">
        <is>
          <t>TC-UT_ADM-016</t>
        </is>
      </c>
      <c r="B39" s="13" t="inlineStr">
        <is>
          <t>zodFields は項目のない問題を _ に、同じ項目の2つ目以降は捨てて最初の文言にする</t>
        </is>
      </c>
      <c r="C39" s="13" t="inlineStr">
        <is>
          <t>未作成</t>
        </is>
      </c>
      <c r="D39" s="13" t="inlineStr"/>
      <c r="E39" s="13" t="inlineStr"/>
      <c r="F39" s="13" t="inlineStr"/>
    </row>
    <row r="40">
      <c r="A40" s="13" t="inlineStr">
        <is>
          <t>TC-UT_ADM-017</t>
        </is>
      </c>
      <c r="B40" s="13" t="inlineStr">
        <is>
          <t>toAppError は Error でない値（文字列）も 500 INTERNAL_ERROR の固定の文言にする</t>
        </is>
      </c>
      <c r="C40" s="13" t="inlineStr">
        <is>
          <t>未作成</t>
        </is>
      </c>
      <c r="D40" s="13" t="inlineStr"/>
      <c r="E40" s="13" t="inlineStr"/>
      <c r="F40" s="13" t="inlineStr"/>
    </row>
    <row r="41">
      <c r="A41" s="13" t="inlineStr">
        <is>
          <t>TC-UT_ADM-018</t>
        </is>
      </c>
      <c r="B41" s="13" t="inlineStr">
        <is>
          <t>AppError は info、入力の誤りは debug、想定外の例外は error の水準でログに出す</t>
        </is>
      </c>
      <c r="C41" s="13" t="inlineStr">
        <is>
          <t>未作成</t>
        </is>
      </c>
      <c r="D41" s="13" t="inlineStr"/>
      <c r="E41" s="13" t="inlineStr"/>
      <c r="F41" s="13" t="inlineStr"/>
    </row>
    <row r="42">
      <c r="A42" s="13" t="inlineStr">
        <is>
          <t>TC-UT_ADM-019</t>
        </is>
      </c>
      <c r="B42" s="13" t="inlineStr">
        <is>
          <t>値が空の Cookie は Cookie がないものとして 401 にする</t>
        </is>
      </c>
      <c r="C42" s="13" t="inlineStr">
        <is>
          <t>未作成</t>
        </is>
      </c>
      <c r="D42" s="13" t="inlineStr"/>
      <c r="E42" s="13" t="inlineStr"/>
      <c r="F42" s="13" t="inlineStr"/>
    </row>
    <row r="43">
      <c r="A43" s="13" t="inlineStr">
        <is>
          <t>TC-UT_ADM-020</t>
        </is>
      </c>
      <c r="B43" s="13" t="inlineStr">
        <is>
          <t>DB の session_hash をそのまま Cookie に入れても通らない（Cookie の値をハッシュして探す）</t>
        </is>
      </c>
      <c r="C43" s="13" t="inlineStr">
        <is>
          <t>未作成</t>
        </is>
      </c>
      <c r="D43" s="13" t="inlineStr"/>
      <c r="E43" s="13" t="inlineStr"/>
      <c r="F43" s="13" t="inlineStr"/>
    </row>
    <row r="44">
      <c r="A44" s="13" t="inlineStr">
        <is>
          <t>TC-UT_ADM-021</t>
        </is>
      </c>
      <c r="B44" s="13" t="inlineStr">
        <is>
          <t>最終操作からちょうど 60 分のセッションは 401 にし、最終操作の時刻を更新しない</t>
        </is>
      </c>
      <c r="C44" s="13" t="inlineStr">
        <is>
          <t>未作成</t>
        </is>
      </c>
      <c r="D44" s="13" t="inlineStr"/>
      <c r="E44" s="13" t="inlineStr"/>
      <c r="F44" s="13" t="inlineStr"/>
    </row>
    <row r="45">
      <c r="A45" s="13" t="inlineStr">
        <is>
          <t>TC-UT_ADM-022</t>
        </is>
      </c>
      <c r="B45" s="13" t="inlineStr">
        <is>
          <t>deleteExpiredSessions は作成から 8 時間ちょうど・最終操作から 60 分ちょうどのものを消し、1 ms 手前のものは残す</t>
        </is>
      </c>
      <c r="C45" s="13" t="inlineStr">
        <is>
          <t>未作成</t>
        </is>
      </c>
      <c r="D45" s="13" t="inlineStr"/>
      <c r="E45" s="13" t="inlineStr"/>
      <c r="F45" s="13" t="inlineStr"/>
    </row>
  </sheetData>
  <autoFilter ref="A4:F45"/>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2" customWidth="1" min="1" max="1"/>
    <col width="50" customWidth="1" min="2" max="2"/>
    <col width="30" customWidth="1" min="3" max="3"/>
  </cols>
  <sheetData>
    <row r="1">
      <c r="A1" s="1" t="inlineStr">
        <is>
          <t>対象概要</t>
        </is>
      </c>
    </row>
    <row r="3">
      <c r="A3" s="14" t="inlineStr">
        <is>
          <t>タイトル</t>
        </is>
      </c>
      <c r="B3" s="15" t="inlineStr">
        <is>
          <t>管理サーバーの共通（adminServer・context・middleware）</t>
        </is>
      </c>
    </row>
    <row r="4">
      <c r="A4" s="14" t="inlineStr">
        <is>
          <t>対象ファイル</t>
        </is>
      </c>
      <c r="B4" s="15" t="inlineStr">
        <is>
          <t>apps/server/src/admin/adminServer.ts, apps/server/src/admin/context.ts, apps/server/src/admin/middleware/csrf.ts, apps/server/src/admin/middleware/errorHandler.ts, apps/server/src/admin/middleware/sessionAuth.ts</t>
        </is>
      </c>
    </row>
    <row r="5">
      <c r="A5" s="14" t="inlineStr">
        <is>
          <t>言語 / フレームワーク</t>
        </is>
      </c>
      <c r="B5" s="15" t="inlineStr">
        <is>
          <t>TypeScript / Vitest 2.1.9（environment: node）、Hono 4.6</t>
        </is>
      </c>
    </row>
    <row r="6">
      <c r="A6" s="14" t="inlineStr">
        <is>
          <t>テストファイル</t>
        </is>
      </c>
      <c r="B6" s="15" t="inlineStr">
        <is>
          <t>apps/server/src/admin/adminServer.test.ts（実装時、NOUS-52）, apps/server/src/admin/middleware/csrf.test.ts（実装時、NOUS-52）, apps/server/src/admin/middleware/errorHandler.test.ts（実装時、NOUS-52）, apps/server/src/admin/middleware/sessionAuth.test.ts（実装時、NOUS-52）, apps/server/src/admin/adminServer.ut.test.ts（単体テストで追加）, apps/server/src/admin/middleware/csrf.ut.test.ts（単体テストで追加）, apps/server/src/admin/middleware/errorHandler.ut.test.ts（単体テストで追加）, apps/server/src/admin/middleware/sessionAuth.ut.test.ts（単体テストで追加）</t>
        </is>
      </c>
    </row>
    <row r="7">
      <c r="A7" s="14" t="inlineStr">
        <is>
          <t>外部依存</t>
        </is>
      </c>
      <c r="B7" s="15" t="inlineStr">
        <is>
          <t>SQLite（一時 DB）, Clock（FakeClock）, Logger（captureLogger）, @hono/node-server（startAdminServer の listen。ポート 0）, node:fs（画面の静的ファイル）</t>
        </is>
      </c>
    </row>
    <row r="8">
      <c r="A8" s="14" t="inlineStr">
        <is>
          <t>作成日</t>
        </is>
      </c>
      <c r="B8" s="15" t="inlineStr">
        <is>
          <t>2026-10-26</t>
        </is>
      </c>
    </row>
    <row r="10">
      <c r="A10" s="16" t="inlineStr">
        <is>
          <t>分岐ID</t>
        </is>
      </c>
      <c r="B10" s="16" t="inlineStr">
        <is>
          <t>条件</t>
        </is>
      </c>
      <c r="C10" s="16" t="inlineStr">
        <is>
          <t>場所</t>
        </is>
      </c>
    </row>
    <row r="11">
      <c r="A11" s="17" t="inlineStr">
        <is>
          <t>B1</t>
        </is>
      </c>
      <c r="B11" s="17" t="inlineStr">
        <is>
          <t>host !== "127.0.0.1"</t>
        </is>
      </c>
      <c r="C11" s="17" t="inlineStr">
        <is>
          <t>adminServer.ts:45</t>
        </is>
      </c>
    </row>
    <row r="12">
      <c r="A12" s="17" t="inlineStr">
        <is>
          <t>B2</t>
        </is>
      </c>
      <c r="B12" s="17" t="inlineStr">
        <is>
          <t>公開の道（PUBLIC_ROUTES のメソッドと道の組。末尾の / は除く）</t>
        </is>
      </c>
      <c r="C12" s="17" t="inlineStr">
        <is>
          <t>adminServer.ts:50-51・55</t>
        </is>
      </c>
    </row>
    <row r="13">
      <c r="A13" s="17" t="inlineStr">
        <is>
          <t>B3</t>
        </is>
      </c>
      <c r="B13" s="17" t="inlineStr">
        <is>
          <t>options.staticDir が未指定（既定の apps/admin/dist）</t>
        </is>
      </c>
      <c r="C13" s="17" t="inlineStr">
        <is>
          <t>adminServer.ts:85</t>
        </is>
      </c>
    </row>
    <row r="14">
      <c r="A14" s="17" t="inlineStr">
        <is>
          <t>B4</t>
        </is>
      </c>
      <c r="B14" s="17" t="inlineStr">
        <is>
          <t>staticDir があり、ディレクトリが存在する</t>
        </is>
      </c>
      <c r="C14" s="17" t="inlineStr">
        <is>
          <t>adminServer.ts:86</t>
        </is>
      </c>
    </row>
    <row r="15">
      <c r="A15" s="17" t="inlineStr">
        <is>
          <t>B5</t>
        </is>
      </c>
      <c r="B15" s="17" t="inlineStr">
        <is>
          <t>道が /admin/api で始まる（index.html を返さない）</t>
        </is>
      </c>
      <c r="C15" s="17" t="inlineStr">
        <is>
          <t>adminServer.ts:92</t>
        </is>
      </c>
    </row>
    <row r="16">
      <c r="A16" s="17" t="inlineStr">
        <is>
          <t>B6</t>
        </is>
      </c>
      <c r="B16" s="17" t="inlineStr">
        <is>
          <t>options.host が指定されている</t>
        </is>
      </c>
      <c r="C16" s="17" t="inlineStr">
        <is>
          <t>adminServer.ts:119</t>
        </is>
      </c>
    </row>
    <row r="17">
      <c r="A17" s="17" t="inlineStr">
        <is>
          <t>B7</t>
        </is>
      </c>
      <c r="B17" s="17" t="inlineStr">
        <is>
          <t>deleted &gt; 0（削除の件数をログに出す）</t>
        </is>
      </c>
      <c r="C17" s="17" t="inlineStr">
        <is>
          <t>adminServer.ts:126</t>
        </is>
      </c>
    </row>
    <row r="18">
      <c r="A18" s="17" t="inlineStr">
        <is>
          <t>B8</t>
        </is>
      </c>
      <c r="B18" s="17" t="inlineStr">
        <is>
          <t>削除で例外（catch）</t>
        </is>
      </c>
      <c r="C18" s="17" t="inlineStr">
        <is>
          <t>adminServer.ts:127</t>
        </is>
      </c>
    </row>
    <row r="19">
      <c r="A19" s="17" t="inlineStr">
        <is>
          <t>B9</t>
        </is>
      </c>
      <c r="B19" s="17" t="inlineStr">
        <is>
          <t>GET・HEAD（CSRF を確かめない）</t>
        </is>
      </c>
      <c r="C19" s="17" t="inlineStr">
        <is>
          <t>middleware/csrf.ts:16</t>
        </is>
      </c>
    </row>
    <row r="20">
      <c r="A20" s="17" t="inlineStr">
        <is>
          <t>B10</t>
        </is>
      </c>
      <c r="B20" s="17" t="inlineStr">
        <is>
          <t>!header || !admin || !safeEqual</t>
        </is>
      </c>
      <c r="C20" s="17" t="inlineStr">
        <is>
          <t>middleware/csrf.ts:22</t>
        </is>
      </c>
    </row>
    <row r="21">
      <c r="A21" s="17" t="inlineStr">
        <is>
          <t>B11</t>
        </is>
      </c>
      <c r="B21" s="17" t="inlineStr">
        <is>
          <t>err instanceof AppError</t>
        </is>
      </c>
      <c r="C21" s="17" t="inlineStr">
        <is>
          <t>middleware/errorHandler.ts:38</t>
        </is>
      </c>
    </row>
    <row r="22">
      <c r="A22" s="17" t="inlineStr">
        <is>
          <t>B12</t>
        </is>
      </c>
      <c r="B22" s="17" t="inlineStr">
        <is>
          <t>err instanceof ZodError</t>
        </is>
      </c>
      <c r="C22" s="17" t="inlineStr">
        <is>
          <t>middleware/errorHandler.ts:42</t>
        </is>
      </c>
    </row>
    <row r="23">
      <c r="A23" s="17" t="inlineStr">
        <is>
          <t>B13</t>
        </is>
      </c>
      <c r="B23" s="17" t="inlineStr">
        <is>
          <t>SqliteError が見つかった</t>
        </is>
      </c>
      <c r="C23" s="17" t="inlineStr">
        <is>
          <t>middleware/errorHandler.ts:47</t>
        </is>
      </c>
    </row>
    <row r="24">
      <c r="A24" s="17" t="inlineStr">
        <is>
          <t>B14</t>
        </is>
      </c>
      <c r="B24" s="17" t="inlineStr">
        <is>
          <t>UNIQUE・PRIMARYKEY の違反</t>
        </is>
      </c>
      <c r="C24" s="17" t="inlineStr">
        <is>
          <t>middleware/errorHandler.ts:23・49</t>
        </is>
      </c>
    </row>
    <row r="25">
      <c r="A25" s="17" t="inlineStr">
        <is>
          <t>B15</t>
        </is>
      </c>
      <c r="B25" s="17" t="inlineStr">
        <is>
          <t>name が SqliteError（偽なら cause をたどる）</t>
        </is>
      </c>
      <c r="C25" s="17" t="inlineStr">
        <is>
          <t>middleware/errorHandler.ts:12-17</t>
        </is>
      </c>
    </row>
    <row r="26">
      <c r="A26" s="17" t="inlineStr">
        <is>
          <t>B16</t>
        </is>
      </c>
      <c r="B26" s="17" t="inlineStr">
        <is>
          <t>code が文字列でない（SQLITE_ERROR にする）</t>
        </is>
      </c>
      <c r="C26" s="17" t="inlineStr">
        <is>
          <t>middleware/errorHandler.ts:15</t>
        </is>
      </c>
    </row>
    <row r="27">
      <c r="A27" s="17" t="inlineStr">
        <is>
          <t>B17</t>
        </is>
      </c>
      <c r="B27" s="17" t="inlineStr">
        <is>
          <t>issue.path が空（_ にする）</t>
        </is>
      </c>
      <c r="C27" s="17" t="inlineStr">
        <is>
          <t>middleware/errorHandler.ts:30</t>
        </is>
      </c>
    </row>
    <row r="28">
      <c r="A28" s="17" t="inlineStr">
        <is>
          <t>B18</t>
        </is>
      </c>
      <c r="B28" s="17" t="inlineStr">
        <is>
          <t>同じ項目にすでに文言がある（??= で残す）</t>
        </is>
      </c>
      <c r="C28" s="17" t="inlineStr">
        <is>
          <t>middleware/errorHandler.ts:31</t>
        </is>
      </c>
    </row>
    <row r="29">
      <c r="A29" s="17" t="inlineStr">
        <is>
          <t>B19</t>
        </is>
      </c>
      <c r="B29" s="17" t="inlineStr">
        <is>
          <t>!cookie</t>
        </is>
      </c>
      <c r="C29" s="17" t="inlineStr">
        <is>
          <t>middleware/sessionAuth.ts:73</t>
        </is>
      </c>
    </row>
    <row r="30">
      <c r="A30" s="17" t="inlineStr">
        <is>
          <t>B20</t>
        </is>
      </c>
      <c r="B30" s="17" t="inlineStr">
        <is>
          <t>!session（無効・期限切れ）</t>
        </is>
      </c>
      <c r="C30" s="17" t="inlineStr">
        <is>
          <t>middleware/sessionAuth.ts:79</t>
        </is>
      </c>
    </row>
    <row r="32">
      <c r="A32" s="14" t="inlineStr">
        <is>
          <t>確認事項・潜在バグ</t>
        </is>
      </c>
    </row>
    <row r="33" ht="30" customHeight="1">
      <c r="A33" s="18" t="inlineStr">
        <is>
          <t>・確認事項 1：Hono は Error でない値（文字列など）の throw を onError（errorHandler）に渡さず、そのまま投げ直す。@hono/node-server では JSON でない 500 になり、エラーの本文の形（error.code など）にならない。今の管理サーバーのコードは Error 以外を投げないので影響はない。toAppError 自体は Error でない値も INTERNAL_ERROR にする（TC-UT_ADM-017）。</t>
        </is>
      </c>
    </row>
    <row r="34" ht="30" customHeight="1">
      <c r="A34" s="18" t="inlineStr">
        <is>
          <t>・分岐 B3 の真（staticDir を省いて apps/admin/dist を使う）は、画面のビルドの有無に結果が左右されるため単体テストでは通さない。B4・B5 は一時ディレクトリで確かめている。</t>
        </is>
      </c>
    </row>
    <row r="35" ht="30" customHeight="1">
      <c r="A35" s="18" t="inlineStr">
        <is>
          <t>・context.ts は型だけで実行されるコードがないため、ケースを作らない（型の誤りは pnpm typecheck で見る）。</t>
        </is>
      </c>
    </row>
  </sheetData>
  <mergeCells count="3">
    <mergeCell ref="A35:C35"/>
    <mergeCell ref="A33:C33"/>
    <mergeCell ref="A34:C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2026-10-26T06:00:31Z</dcterms:created>
  <dcterms:modified xsi:type="dcterms:W3CDTF">2026-10-26T06:00:31Z</dcterms:modified>
</cp:coreProperties>
</file>