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'観点表'!$A$4:$Q$53</definedName>
    <definedName name="_xlnm.Print_Titles" localSheetId="0">'観点表'!$4:$4</definedName>
    <definedName name="_xlnm._FilterDatabase" localSheetId="2" hidden="1">'テストデータ'!$A$4:$F$53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管理者の認証（auth・cli）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TC-NOUS53_DEV-01</t>
        </is>
      </c>
      <c r="C5" s="5" t="inlineStr">
        <is>
          <t>hashPassword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hashPassword が scrypt$16384$8$1$&lt;16バイトBase64&gt;$&lt;64バイトBase64&gt; の文字列を返し、毎回ソルトが変わる</t>
        </is>
      </c>
      <c r="G5" s="5" t="inlineStr">
        <is>
          <t>前提：なし
入力：テストコードのとおり</t>
        </is>
      </c>
      <c r="H5" s="5" t="inlineStr">
        <is>
          <t>hashPassword が scrypt$16384$8$1$&lt;16バイトBase64&gt;$&lt;64バイトBase64&gt; の文字列を返し、毎回ソルトが変わる</t>
        </is>
      </c>
      <c r="I5" s="5" t="inlineStr"/>
      <c r="J5" s="5" t="inlineStr">
        <is>
          <t>なし</t>
        </is>
      </c>
      <c r="K5" s="5" t="inlineStr"/>
      <c r="L5" s="5" t="inlineStr"/>
      <c r="M5" s="5" t="inlineStr">
        <is>
          <t>TC-NOUS53_DEV-01 hashPassword が scrypt$16384$8$1$&lt;16バイトBase64&gt;$&lt;64バイトBase64&gt; の文字列を返し、毎回ソルトが変わる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既存テスト：実装時のテスト（NOUS-53）</t>
        </is>
      </c>
    </row>
    <row r="6">
      <c r="A6" s="4" t="n">
        <v>2</v>
      </c>
      <c r="B6" s="4" t="inlineStr">
        <is>
          <t>TC-NOUS53_DEV-02</t>
        </is>
      </c>
      <c r="C6" s="5" t="inlineStr">
        <is>
          <t>verifyPassword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verifyPassword が一致するパスワードで true、違うパスワードで false を返す</t>
        </is>
      </c>
      <c r="G6" s="5" t="inlineStr">
        <is>
          <t>前提：なし
入力：テストコードのとおり</t>
        </is>
      </c>
      <c r="H6" s="5" t="inlineStr">
        <is>
          <t>verifyPassword が一致するパスワードで true、違うパスワードで false を返す</t>
        </is>
      </c>
      <c r="I6" s="5" t="inlineStr">
        <is>
          <t>B9-F, B10-F, B11-F, B12-F, B13-F, B14-F</t>
        </is>
      </c>
      <c r="J6" s="5" t="inlineStr">
        <is>
          <t>なし</t>
        </is>
      </c>
      <c r="K6" s="5" t="inlineStr"/>
      <c r="L6" s="5" t="inlineStr"/>
      <c r="M6" s="5" t="inlineStr">
        <is>
          <t>TC-NOUS53_DEV-02 verifyPassword が一致するパスワードで true、違うパスワードで false を返す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既存テスト：実装時のテスト（NOUS-53）</t>
        </is>
      </c>
    </row>
    <row r="7">
      <c r="A7" s="4" t="n">
        <v>3</v>
      </c>
      <c r="B7" s="4" t="inlineStr">
        <is>
          <t>TC-NOUS53_DEV-03</t>
        </is>
      </c>
      <c r="C7" s="5" t="inlineStr">
        <is>
          <t>verifyPassword</t>
        </is>
      </c>
      <c r="D7" s="4" t="inlineStr">
        <is>
          <t>異常系</t>
        </is>
      </c>
      <c r="E7" s="4" t="inlineStr">
        <is>
          <t>開発者テスト</t>
        </is>
      </c>
      <c r="F7" s="5" t="inlineStr">
        <is>
          <t>verifyPassword は stored の形式が不正なら例外にせず false を返す</t>
        </is>
      </c>
      <c r="G7" s="5" t="inlineStr">
        <is>
          <t>前提：なし
入力：テストコードのとおり</t>
        </is>
      </c>
      <c r="H7" s="5" t="inlineStr">
        <is>
          <t>verifyPassword は stored の形式が不正なら例外にせず false を返す</t>
        </is>
      </c>
      <c r="I7" s="5" t="inlineStr">
        <is>
          <t>B9-T, B10-T, B11-T, B12-T, B13-T</t>
        </is>
      </c>
      <c r="J7" s="5" t="inlineStr">
        <is>
          <t>なし</t>
        </is>
      </c>
      <c r="K7" s="5" t="inlineStr"/>
      <c r="L7" s="5" t="inlineStr"/>
      <c r="M7" s="5" t="inlineStr">
        <is>
          <t>TC-NOUS53_DEV-03 verifyPassword は stored の形式が不正なら例外にせず false を返す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既存テスト：実装時のテスト（NOUS-53）</t>
        </is>
      </c>
    </row>
    <row r="8">
      <c r="A8" s="4" t="n">
        <v>4</v>
      </c>
      <c r="B8" s="4" t="inlineStr">
        <is>
          <t>TC-NOUS53_DEV-04</t>
        </is>
      </c>
      <c r="C8" s="5" t="inlineStr">
        <is>
          <t>login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login は admin_account がなければ 409 ADMIN_NOT_SET を投げる</t>
        </is>
      </c>
      <c r="G8" s="5" t="inlineStr">
        <is>
          <t>前提：なし
入力：テストコードのとおり</t>
        </is>
      </c>
      <c r="H8" s="5" t="inlineStr">
        <is>
          <t>login は admin_account がなければ 409 ADMIN_NOT_SET を投げる</t>
        </is>
      </c>
      <c r="I8" s="5" t="inlineStr">
        <is>
          <t>B4-T</t>
        </is>
      </c>
      <c r="J8" s="5" t="inlineStr">
        <is>
          <t>一時 DB（createTestDb）、FakeClock（TEST_NOW = 2026-10-20T00:00:00.000Z）</t>
        </is>
      </c>
      <c r="K8" s="5" t="inlineStr"/>
      <c r="L8" s="5" t="inlineStr"/>
      <c r="M8" s="5" t="inlineStr">
        <is>
          <t>TC-NOUS53_DEV-04 login は admin_account がなければ 409 ADMIN_NOT_SET を投げる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既存テスト：実装時のテスト（NOUS-53）</t>
        </is>
      </c>
    </row>
    <row r="9">
      <c r="A9" s="4" t="n">
        <v>5</v>
      </c>
      <c r="B9" s="4" t="inlineStr">
        <is>
          <t>TC-NOUS53_DEV-05</t>
        </is>
      </c>
      <c r="C9" s="5" t="inlineStr">
        <is>
          <t>login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login の成功で failed_count と locked_until を初期化し、セッションと admin.login の監査を残す</t>
        </is>
      </c>
      <c r="G9" s="5" t="inlineStr">
        <is>
          <t>前提：なし
入力：テストコードのとおり</t>
        </is>
      </c>
      <c r="H9" s="5" t="inlineStr">
        <is>
          <t>login の成功で failed_count と locked_until を初期化し、セッションと admin.login の監査を残す</t>
        </is>
      </c>
      <c r="I9" s="5" t="inlineStr">
        <is>
          <t>B4-F, B5-F, B6-F</t>
        </is>
      </c>
      <c r="J9" s="5" t="inlineStr">
        <is>
          <t>一時 DB（createTestDb）、FakeClock（TEST_NOW = 2026-10-20T00:00:00.000Z）</t>
        </is>
      </c>
      <c r="K9" s="5" t="inlineStr"/>
      <c r="L9" s="5" t="inlineStr"/>
      <c r="M9" s="5" t="inlineStr">
        <is>
          <t>TC-NOUS53_DEV-05 login の成功で failed_count と locked_until を初期化し、セッションと admin.login の監査を残す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既存テスト：実装時のテスト（NOUS-53）</t>
        </is>
      </c>
    </row>
    <row r="10">
      <c r="A10" s="4" t="n">
        <v>6</v>
      </c>
      <c r="B10" s="4" t="inlineStr">
        <is>
          <t>TC-NOUS53_DEV-06</t>
        </is>
      </c>
      <c r="C10" s="5" t="inlineStr">
        <is>
          <t>login / registerFailure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login の失敗で failed_count を +1 し、admin.login_failed の監査を残して 401 LOGIN_FAILED を投げる</t>
        </is>
      </c>
      <c r="G10" s="5" t="inlineStr">
        <is>
          <t>前提：なし
入力：テストコードのとおり</t>
        </is>
      </c>
      <c r="H10" s="5" t="inlineStr">
        <is>
          <t>login の失敗で failed_count を +1 し、admin.login_failed の監査を残して 401 LOGIN_FAILED を投げる</t>
        </is>
      </c>
      <c r="I10" s="5" t="inlineStr">
        <is>
          <t>B3-F, B6-T, B7-F</t>
        </is>
      </c>
      <c r="J10" s="5" t="inlineStr">
        <is>
          <t>一時 DB（createTestDb）、FakeClock（TEST_NOW = 2026-10-20T00:00:00.000Z）</t>
        </is>
      </c>
      <c r="K10" s="5" t="inlineStr"/>
      <c r="L10" s="5" t="inlineStr"/>
      <c r="M10" s="5" t="inlineStr">
        <is>
          <t>TC-NOUS53_DEV-06 login の失敗で failed_count を +1 し、admin.login_failed の監査を残して 401 LOGIN_FAILED を投げる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既存テスト：実装時のテスト（NOUS-53）</t>
        </is>
      </c>
    </row>
    <row r="11">
      <c r="A11" s="4" t="n">
        <v>7</v>
      </c>
      <c r="B11" s="4" t="inlineStr">
        <is>
          <t>TC-NOUS53_DEV-07</t>
        </is>
      </c>
      <c r="C11" s="5" t="inlineStr">
        <is>
          <t>login / registerFailure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5 回目の失敗で locked_until=現在+15分・failed_count=0 にし、その回は LOGIN_FAILED、次の要求から 429 LOGIN_LOCKED（JST の HH:MM と lockedUntil）、15 分後に解除される</t>
        </is>
      </c>
      <c r="G11" s="5" t="inlineStr">
        <is>
          <t>前提：なし
入力：テストコードのとおり</t>
        </is>
      </c>
      <c r="H11" s="5" t="inlineStr">
        <is>
          <t>5 回目の失敗で locked_until=現在+15分・failed_count=0 にし、その回は LOGIN_FAILED、次の要求から 429 LOGIN_LOCKED（JST の HH:MM と lockedUntil）、15 分後に解除される</t>
        </is>
      </c>
      <c r="I11" s="5" t="inlineStr">
        <is>
          <t>B1-F, B2-T, B2-F, B3-T, B5-T</t>
        </is>
      </c>
      <c r="J11" s="5" t="inlineStr">
        <is>
          <t>一時 DB（createTestDb）、FakeClock（TEST_NOW = 2026-10-20T00:00:00.000Z）</t>
        </is>
      </c>
      <c r="K11" s="5" t="inlineStr"/>
      <c r="L11" s="5" t="inlineStr"/>
      <c r="M11" s="5" t="inlineStr">
        <is>
          <t>TC-NOUS53_DEV-07 5 回目の失敗で locked_until=現在+15分・failed_count=0 にし、その回は LOGIN_FAILED、次の要求から 429 LOGIN_LOCKED（JST の HH:MM と lockedUntil）、15 分後に解除される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既存テスト：実装時のテスト（NOUS-53）</t>
        </is>
      </c>
    </row>
    <row r="12">
      <c r="A12" s="4" t="n">
        <v>8</v>
      </c>
      <c r="B12" s="4" t="inlineStr">
        <is>
          <t>TC-NOUS53_DEV-08</t>
        </is>
      </c>
      <c r="C12" s="5" t="inlineStr">
        <is>
          <t>isLocked / registerFailure / createSession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isLocked・registerFailure・createSession が単体で仕様どおりに動く</t>
        </is>
      </c>
      <c r="G12" s="5" t="inlineStr">
        <is>
          <t>前提：なし
入力：テストコードのとおり</t>
        </is>
      </c>
      <c r="H12" s="5" t="inlineStr">
        <is>
          <t>isLocked・registerFailure・createSession が単体で仕様どおりに動く</t>
        </is>
      </c>
      <c r="I12" s="5" t="inlineStr">
        <is>
          <t>B1-T, B2-T, B2-F, B3-T</t>
        </is>
      </c>
      <c r="J12" s="5" t="inlineStr">
        <is>
          <t>一時 DB（createTestDb）、FakeClock（TEST_NOW = 2026-10-20T00:00:00.000Z）</t>
        </is>
      </c>
      <c r="K12" s="5" t="inlineStr"/>
      <c r="L12" s="5" t="inlineStr"/>
      <c r="M12" s="5" t="inlineStr">
        <is>
          <t>TC-NOUS53_DEV-08 isLocked・registerFailure・createSession が単体で仕様どおりに動く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既存テスト：実装時のテスト（NOUS-53）</t>
        </is>
      </c>
    </row>
    <row r="13">
      <c r="A13" s="4" t="n">
        <v>9</v>
      </c>
      <c r="B13" s="4" t="inlineStr">
        <is>
          <t>TC-NOUS53_DEV-09</t>
        </is>
      </c>
      <c r="C13" s="5" t="inlineStr">
        <is>
          <t>logout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logout がセッションの行を削除し、admin.logout の監査を残す</t>
        </is>
      </c>
      <c r="G13" s="5" t="inlineStr">
        <is>
          <t>前提：なし
入力：テストコードのとおり</t>
        </is>
      </c>
      <c r="H13" s="5" t="inlineStr">
        <is>
          <t>logout がセッションの行を削除し、admin.logout の監査を残す</t>
        </is>
      </c>
      <c r="I13" s="5" t="inlineStr"/>
      <c r="J13" s="5" t="inlineStr">
        <is>
          <t>一時 DB（createTestDb）、FakeClock（TEST_NOW = 2026-10-20T00:00:00.000Z）</t>
        </is>
      </c>
      <c r="K13" s="5" t="inlineStr"/>
      <c r="L13" s="5" t="inlineStr"/>
      <c r="M13" s="5" t="inlineStr">
        <is>
          <t>TC-NOUS53_DEV-09 logout がセッションの行を削除し、admin.logout の監査を残す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既存テスト：実装時のテスト（NOUS-53）</t>
        </is>
      </c>
    </row>
    <row r="14">
      <c r="A14" s="4" t="n">
        <v>10</v>
      </c>
      <c r="B14" s="4" t="inlineStr">
        <is>
          <t>TC-NOUS53_DEV-10</t>
        </is>
      </c>
      <c r="C14" s="5" t="inlineStr">
        <is>
          <t>getSessionInfo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getSessionInfo が min(created_at+8時間, 現在+60分) を expiresAt として返す</t>
        </is>
      </c>
      <c r="G14" s="5" t="inlineStr">
        <is>
          <t>前提：なし
入力：テストコードのとおり</t>
        </is>
      </c>
      <c r="H14" s="5" t="inlineStr">
        <is>
          <t>getSessionInfo が min(created_at+8時間, 現在+60分) を expiresAt として返す</t>
        </is>
      </c>
      <c r="I14" s="5" t="inlineStr">
        <is>
          <t>B8-T, B8-F</t>
        </is>
      </c>
      <c r="J14" s="5" t="inlineStr">
        <is>
          <t>なし</t>
        </is>
      </c>
      <c r="K14" s="5" t="inlineStr"/>
      <c r="L14" s="5" t="inlineStr"/>
      <c r="M14" s="5" t="inlineStr">
        <is>
          <t>TC-NOUS53_DEV-10 getSessionInfo が min(created_at+8時間, 現在+60分) を expiresAt として返す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既存テスト：実装時のテスト（NOUS-53）</t>
        </is>
      </c>
    </row>
    <row r="15">
      <c r="A15" s="4" t="n">
        <v>11</v>
      </c>
      <c r="B15" s="4" t="inlineStr">
        <is>
          <t>TC-NOUS53_DEV-11</t>
        </is>
      </c>
      <c r="C15" s="5" t="inlineStr">
        <is>
          <t>POST /admin/api/login</t>
        </is>
      </c>
      <c r="D15" s="4" t="inlineStr">
        <is>
          <t>正常系</t>
        </is>
      </c>
      <c r="E15" s="4" t="inlineStr">
        <is>
          <t>開発者テスト</t>
        </is>
      </c>
      <c r="F15" s="5" t="inlineStr">
        <is>
          <t>POST /admin/api/login が成功で Set-Cookie と { displayName, csrfToken } を 200 で返し、監査を残す</t>
        </is>
      </c>
      <c r="G15" s="5" t="inlineStr">
        <is>
          <t>前提：なし
入力：テストコードのとおり</t>
        </is>
      </c>
      <c r="H15" s="5" t="inlineStr">
        <is>
          <t>POST /admin/api/login が成功で Set-Cookie と { displayName, csrfToken } を 200 で返し、監査を残す</t>
        </is>
      </c>
      <c r="I15" s="5" t="inlineStr">
        <is>
          <t>B15-F</t>
        </is>
      </c>
      <c r="J15" s="5" t="inlineStr">
        <is>
          <t>一時 DB（createTestDb）、FakeClock（TEST_NOW = 2026-10-20T00:00:00.000Z）</t>
        </is>
      </c>
      <c r="K15" s="5" t="inlineStr"/>
      <c r="L15" s="5" t="inlineStr"/>
      <c r="M15" s="5" t="inlineStr">
        <is>
          <t>TC-NOUS53_DEV-11 POST /admin/api/login が成功で Set-Cookie と { displayName, csrfToken } を 200 で返し、監査を残す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既存テスト：実装時のテスト（NOUS-53）</t>
        </is>
      </c>
    </row>
    <row r="16">
      <c r="A16" s="4" t="n">
        <v>12</v>
      </c>
      <c r="B16" s="4" t="inlineStr">
        <is>
          <t>TC-NOUS53_DEV-12</t>
        </is>
      </c>
      <c r="C16" s="5" t="inlineStr">
        <is>
          <t>POST /admin/api/login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POST /admin/api/login は password が 12 字未満・129 字以上なら 400 VALIDATION_ERROR</t>
        </is>
      </c>
      <c r="G16" s="5" t="inlineStr">
        <is>
          <t>前提：なし
入力：テストコードのとおり</t>
        </is>
      </c>
      <c r="H16" s="5" t="inlineStr">
        <is>
          <t>POST /admin/api/login は password が 12 字未満・129 字以上なら 400 VALIDATION_ERROR</t>
        </is>
      </c>
      <c r="I16" s="5" t="inlineStr">
        <is>
          <t>B15-F</t>
        </is>
      </c>
      <c r="J16" s="5" t="inlineStr">
        <is>
          <t>一時 DB（createTestDb）、FakeClock（TEST_NOW = 2026-10-20T00:00:00.000Z）</t>
        </is>
      </c>
      <c r="K16" s="5" t="inlineStr"/>
      <c r="L16" s="5" t="inlineStr"/>
      <c r="M16" s="5" t="inlineStr">
        <is>
          <t>TC-NOUS53_DEV-12 POST /admin/api/login は password が 12 字未満・129 字以上なら 400 VALIDATION_ERROR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既存テスト：実装時のテスト（NOUS-53）</t>
        </is>
      </c>
    </row>
    <row r="17">
      <c r="A17" s="4" t="n">
        <v>13</v>
      </c>
      <c r="B17" s="4" t="inlineStr">
        <is>
          <t>TC-NOUS53_DEV-13</t>
        </is>
      </c>
      <c r="C17" s="5" t="inlineStr">
        <is>
          <t>POST /admin/api/login</t>
        </is>
      </c>
      <c r="D17" s="4" t="inlineStr">
        <is>
          <t>異常系</t>
        </is>
      </c>
      <c r="E17" s="4" t="inlineStr">
        <is>
          <t>開発者テスト</t>
        </is>
      </c>
      <c r="F17" s="5" t="inlineStr">
        <is>
          <t>POST /admin/api/login はパスワード未設定なら 409 ADMIN_NOT_SET、不一致なら 401、ロック中なら 429</t>
        </is>
      </c>
      <c r="G17" s="5" t="inlineStr">
        <is>
          <t>前提：なし
入力：テストコードのとおり</t>
        </is>
      </c>
      <c r="H17" s="5" t="inlineStr">
        <is>
          <t>POST /admin/api/login はパスワード未設定なら 409 ADMIN_NOT_SET、不一致なら 401、ロック中なら 429</t>
        </is>
      </c>
      <c r="I17" s="5" t="inlineStr">
        <is>
          <t>B4-T, B5-T, B6-T</t>
        </is>
      </c>
      <c r="J17" s="5" t="inlineStr">
        <is>
          <t>一時 DB（createTestDb）、FakeClock（TEST_NOW = 2026-10-20T00:00:00.000Z）</t>
        </is>
      </c>
      <c r="K17" s="5" t="inlineStr"/>
      <c r="L17" s="5" t="inlineStr"/>
      <c r="M17" s="5" t="inlineStr">
        <is>
          <t>TC-NOUS53_DEV-13 POST /admin/api/login はパスワード未設定なら 409 ADMIN_NOT_SET、不一致なら 401、ロック中なら 429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既存テスト：実装時のテスト（NOUS-53）</t>
        </is>
      </c>
    </row>
    <row r="18">
      <c r="A18" s="4" t="n">
        <v>14</v>
      </c>
      <c r="B18" s="4" t="inlineStr">
        <is>
          <t>TC-NOUS53_DEV-14</t>
        </is>
      </c>
      <c r="C18" s="5" t="inlineStr">
        <is>
          <t>POST /admin/api/logout</t>
        </is>
      </c>
      <c r="D18" s="4" t="inlineStr">
        <is>
          <t>正常系</t>
        </is>
      </c>
      <c r="E18" s="4" t="inlineStr">
        <is>
          <t>開発者テスト</t>
        </is>
      </c>
      <c r="F18" s="5" t="inlineStr">
        <is>
          <t>POST /admin/api/logout が 204 と Cookie 削除ヘッダーを返し、セッション行を削除して監査を残す</t>
        </is>
      </c>
      <c r="G18" s="5" t="inlineStr">
        <is>
          <t>前提：なし
入力：テストコードのとおり</t>
        </is>
      </c>
      <c r="H18" s="5" t="inlineStr">
        <is>
          <t>POST /admin/api/logout が 204 と Cookie 削除ヘッダーを返し、セッション行を削除して監査を残す</t>
        </is>
      </c>
      <c r="I18" s="5" t="inlineStr"/>
      <c r="J18" s="5" t="inlineStr">
        <is>
          <t>一時 DB（createTestDb）、FakeClock（TEST_NOW = 2026-10-20T00:00:00.000Z）</t>
        </is>
      </c>
      <c r="K18" s="5" t="inlineStr"/>
      <c r="L18" s="5" t="inlineStr"/>
      <c r="M18" s="5" t="inlineStr">
        <is>
          <t>TC-NOUS53_DEV-14 POST /admin/api/logout が 204 と Cookie 削除ヘッダーを返し、セッション行を削除して監査を残す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既存テスト：実装時のテスト（NOUS-53）</t>
        </is>
      </c>
    </row>
    <row r="19">
      <c r="A19" s="4" t="n">
        <v>15</v>
      </c>
      <c r="B19" s="4" t="inlineStr">
        <is>
          <t>TC-NOUS53_DEV-15</t>
        </is>
      </c>
      <c r="C19" s="5" t="inlineStr">
        <is>
          <t>POST /admin/api/logout</t>
        </is>
      </c>
      <c r="D19" s="4" t="inlineStr">
        <is>
          <t>異常系</t>
        </is>
      </c>
      <c r="E19" s="4" t="inlineStr">
        <is>
          <t>開発者テスト</t>
        </is>
      </c>
      <c r="F19" s="5" t="inlineStr">
        <is>
          <t>POST /admin/api/logout は CSRF トークンがなければ 403 CSRF_INVALID、セッションがなければ 401</t>
        </is>
      </c>
      <c r="G19" s="5" t="inlineStr">
        <is>
          <t>前提：なし
入力：テストコードのとおり</t>
        </is>
      </c>
      <c r="H19" s="5" t="inlineStr">
        <is>
          <t>POST /admin/api/logout は CSRF トークンがなければ 403 CSRF_INVALID、セッションがなければ 401</t>
        </is>
      </c>
      <c r="I19" s="5" t="inlineStr"/>
      <c r="J19" s="5" t="inlineStr">
        <is>
          <t>一時 DB（createTestDb）、FakeClock（TEST_NOW = 2026-10-20T00:00:00.000Z）</t>
        </is>
      </c>
      <c r="K19" s="5" t="inlineStr"/>
      <c r="L19" s="5" t="inlineStr"/>
      <c r="M19" s="5" t="inlineStr">
        <is>
          <t>TC-NOUS53_DEV-15 POST /admin/api/logout は CSRF トークンがなければ 403 CSRF_INVALID、セッションがなければ 401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既存テスト：実装時のテスト（NOUS-53）</t>
        </is>
      </c>
    </row>
    <row r="20">
      <c r="A20" s="4" t="n">
        <v>16</v>
      </c>
      <c r="B20" s="4" t="inlineStr">
        <is>
          <t>TC-NOUS53_DEV-16</t>
        </is>
      </c>
      <c r="C20" s="5" t="inlineStr">
        <is>
          <t>GET /admin/api/session</t>
        </is>
      </c>
      <c r="D20" s="4" t="inlineStr">
        <is>
          <t>正常系</t>
        </is>
      </c>
      <c r="E20" s="4" t="inlineStr">
        <is>
          <t>開発者テスト</t>
        </is>
      </c>
      <c r="F20" s="5" t="inlineStr">
        <is>
          <t>GET /admin/api/session は有効なセッションで 200 と { displayName, csrfToken, expiresAt } を返し、last_seen_at を更新する</t>
        </is>
      </c>
      <c r="G20" s="5" t="inlineStr">
        <is>
          <t>前提：なし
入力：テストコードのとおり</t>
        </is>
      </c>
      <c r="H20" s="5" t="inlineStr">
        <is>
          <t>GET /admin/api/session は有効なセッションで 200 と { displayName, csrfToken, expiresAt } を返し、last_seen_at を更新する</t>
        </is>
      </c>
      <c r="I20" s="5" t="inlineStr">
        <is>
          <t>B16-F</t>
        </is>
      </c>
      <c r="J20" s="5" t="inlineStr">
        <is>
          <t>一時 DB（createTestDb）、FakeClock（TEST_NOW = 2026-10-20T00:00:00.000Z）</t>
        </is>
      </c>
      <c r="K20" s="5" t="inlineStr"/>
      <c r="L20" s="5" t="inlineStr"/>
      <c r="M20" s="5" t="inlineStr">
        <is>
          <t>TC-NOUS53_DEV-16 GET /admin/api/session は有効なセッションで 200 と { displayName, csrfToken, expiresAt } を返し、last_seen_at を更新する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既存テスト：実装時のテスト（NOUS-53）</t>
        </is>
      </c>
    </row>
    <row r="21">
      <c r="A21" s="4" t="n">
        <v>17</v>
      </c>
      <c r="B21" s="4" t="inlineStr">
        <is>
          <t>TC-NOUS53_DEV-17</t>
        </is>
      </c>
      <c r="C21" s="5" t="inlineStr">
        <is>
          <t>GET /admin/api/session</t>
        </is>
      </c>
      <c r="D21" s="4" t="inlineStr">
        <is>
          <t>異常系</t>
        </is>
      </c>
      <c r="E21" s="4" t="inlineStr">
        <is>
          <t>開発者テスト</t>
        </is>
      </c>
      <c r="F21" s="5" t="inlineStr">
        <is>
          <t>GET /admin/api/session はパスワード未設定なら Cookie なしでも 409 ADMIN_NOT_SET、設定済みで Cookie なしなら 401 ADMIN_UNAUTHORIZED</t>
        </is>
      </c>
      <c r="G21" s="5" t="inlineStr">
        <is>
          <t>前提：なし
入力：テストコードのとおり</t>
        </is>
      </c>
      <c r="H21" s="5" t="inlineStr">
        <is>
          <t>GET /admin/api/session はパスワード未設定なら Cookie なしでも 409 ADMIN_NOT_SET、設定済みで Cookie なしなら 401 ADMIN_UNAUTHORIZED</t>
        </is>
      </c>
      <c r="I21" s="5" t="inlineStr">
        <is>
          <t>B16-T, B16-F</t>
        </is>
      </c>
      <c r="J21" s="5" t="inlineStr">
        <is>
          <t>一時 DB（createTestDb）、FakeClock（TEST_NOW = 2026-10-20T00:00:00.000Z）</t>
        </is>
      </c>
      <c r="K21" s="5" t="inlineStr"/>
      <c r="L21" s="5" t="inlineStr"/>
      <c r="M21" s="5" t="inlineStr">
        <is>
          <t>TC-NOUS53_DEV-17 GET /admin/api/session はパスワード未設定なら Cookie なしでも 409 ADMIN_NOT_SET、設定済みで Cookie なしなら 401 ADMIN_UNAUTHORIZED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既存テスト：実装時のテスト（NOUS-53）</t>
        </is>
      </c>
    </row>
    <row r="22">
      <c r="A22" s="4" t="n">
        <v>18</v>
      </c>
      <c r="B22" s="4" t="inlineStr">
        <is>
          <t>TC-NOUS53_DEV-18</t>
        </is>
      </c>
      <c r="C22" s="5" t="inlineStr">
        <is>
          <t>setAdminPassword</t>
        </is>
      </c>
      <c r="D22" s="4" t="inlineStr">
        <is>
          <t>正常系</t>
        </is>
      </c>
      <c r="E22" s="4" t="inlineStr">
        <is>
          <t>開発者テスト</t>
        </is>
      </c>
      <c r="F22" s="5" t="inlineStr">
        <is>
          <t>setAdminPassword は admin_account がなければ新規作成（ULID・Kaine Yamashiro）する</t>
        </is>
      </c>
      <c r="G22" s="5" t="inlineStr">
        <is>
          <t>前提：なし
入力：テストコードのとおり</t>
        </is>
      </c>
      <c r="H22" s="5" t="inlineStr">
        <is>
          <t>setAdminPassword は admin_account がなければ新規作成（ULID・Kaine Yamashiro）する</t>
        </is>
      </c>
      <c r="I22" s="5" t="inlineStr">
        <is>
          <t>B20-T</t>
        </is>
      </c>
      <c r="J22" s="5" t="inlineStr">
        <is>
          <t>一時 DB（createTestDb）、FakeClock（TEST_NOW = 2026-10-20T00:00:00.000Z）</t>
        </is>
      </c>
      <c r="K22" s="5" t="inlineStr"/>
      <c r="L22" s="5" t="inlineStr"/>
      <c r="M22" s="5" t="inlineStr">
        <is>
          <t>TC-NOUS53_DEV-18 setAdminPassword は admin_account がなければ新規作成（ULID・Kaine Yamashiro）する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既存テスト：実装時のテスト（NOUS-53）</t>
        </is>
      </c>
    </row>
    <row r="23">
      <c r="A23" s="4" t="n">
        <v>19</v>
      </c>
      <c r="B23" s="4" t="inlineStr">
        <is>
          <t>TC-NOUS53_DEV-19</t>
        </is>
      </c>
      <c r="C23" s="5" t="inlineStr">
        <is>
          <t>setAdminPassword</t>
        </is>
      </c>
      <c r="D23" s="4" t="inlineStr">
        <is>
          <t>正常系</t>
        </is>
      </c>
      <c r="E23" s="4" t="inlineStr">
        <is>
          <t>開発者テスト</t>
        </is>
      </c>
      <c r="F23" s="5" t="inlineStr">
        <is>
          <t>setAdminPassword は既存の admin_account を更新し、failed_count=0・locked_until=NULL に戻して全セッションを削除する</t>
        </is>
      </c>
      <c r="G23" s="5" t="inlineStr">
        <is>
          <t>前提：なし
入力：テストコードのとおり</t>
        </is>
      </c>
      <c r="H23" s="5" t="inlineStr">
        <is>
          <t>setAdminPassword は既存の admin_account を更新し、failed_count=0・locked_until=NULL に戻して全セッションを削除する</t>
        </is>
      </c>
      <c r="I23" s="5" t="inlineStr">
        <is>
          <t>B20-F</t>
        </is>
      </c>
      <c r="J23" s="5" t="inlineStr">
        <is>
          <t>一時 DB（createTestDb）、FakeClock（TEST_NOW = 2026-10-20T00:00:00.000Z）</t>
        </is>
      </c>
      <c r="K23" s="5" t="inlineStr"/>
      <c r="L23" s="5" t="inlineStr"/>
      <c r="M23" s="5" t="inlineStr">
        <is>
          <t>TC-NOUS53_DEV-19 setAdminPassword は既存の admin_account を更新し、failed_count=0・locked_until=NULL に戻して全セッションを削除する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既存テスト：実装時のテスト（NOUS-53）</t>
        </is>
      </c>
    </row>
    <row r="24">
      <c r="A24" s="4" t="n">
        <v>20</v>
      </c>
      <c r="B24" s="4" t="inlineStr">
        <is>
          <t>TC-NOUS53_DEV-20</t>
        </is>
      </c>
      <c r="C24" s="5" t="inlineStr">
        <is>
          <t>validatePasswordInput / setPasswordCli</t>
        </is>
      </c>
      <c r="D24" s="4" t="inlineStr">
        <is>
          <t>異常系</t>
        </is>
      </c>
      <c r="E24" s="4" t="inlineStr">
        <is>
          <t>開発者テスト</t>
        </is>
      </c>
      <c r="F24" s="5" t="inlineStr">
        <is>
          <t>validatePasswordInput と setPasswordCli が不一致・12字未満・129字以上を拒み、終了コード 1 とエラーメッセージ（パスワード値を含まない）を返す</t>
        </is>
      </c>
      <c r="G24" s="5" t="inlineStr">
        <is>
          <t>前提：なし
入力：テストコードのとおり</t>
        </is>
      </c>
      <c r="H24" s="5" t="inlineStr">
        <is>
          <t>validatePasswordInput と setPasswordCli が不一致・12字未満・129字以上を拒み、終了コード 1 とエラーメッセージ（パスワード値を含まない）を返す</t>
        </is>
      </c>
      <c r="I24" s="5" t="inlineStr">
        <is>
          <t>B17-T, B17-F, B18-T, B18-F, B19-T, B19-F, B21-F, B22-T</t>
        </is>
      </c>
      <c r="J24" s="5" t="inlineStr">
        <is>
          <t>なし</t>
        </is>
      </c>
      <c r="K24" s="5" t="inlineStr"/>
      <c r="L24" s="5" t="inlineStr"/>
      <c r="M24" s="5" t="inlineStr">
        <is>
          <t>TC-NOUS53_DEV-20 validatePasswordInput と setPasswordCli が不一致・12字未満・129字以上を拒み、終了コード 1 とエラーメッセージ（パスワード値を含まない）を返す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既存テスト：実装時のテスト（NOUS-53）</t>
        </is>
      </c>
    </row>
    <row r="25">
      <c r="A25" s="4" t="n">
        <v>21</v>
      </c>
      <c r="B25" s="4" t="inlineStr">
        <is>
          <t>TC-NOUS53_DEV-21</t>
        </is>
      </c>
      <c r="C25" s="5" t="inlineStr">
        <is>
          <t>setPasswordCli / readTwoPasswordsHidden</t>
        </is>
      </c>
      <c r="D25" s="4" t="inlineStr">
        <is>
          <t>正常系</t>
        </is>
      </c>
      <c r="E25" s="4" t="inlineStr">
        <is>
          <t>開発者テスト</t>
        </is>
      </c>
      <c r="F25" s="5" t="inlineStr">
        <is>
          <t>setPasswordCli が正常入力で DB に保存して終了コード 0 を返し、readTwoPasswordsHidden は入力文字をエコーしない</t>
        </is>
      </c>
      <c r="G25" s="5" t="inlineStr">
        <is>
          <t>前提：なし
入力：テストコードのとおり</t>
        </is>
      </c>
      <c r="H25" s="5" t="inlineStr">
        <is>
          <t>setPasswordCli が正常入力で DB に保存して終了コード 0 を返し、readTwoPasswordsHidden は入力文字をエコーしない</t>
        </is>
      </c>
      <c r="I25" s="5" t="inlineStr">
        <is>
          <t>B21-F, B22-F, B23-F, B24-F</t>
        </is>
      </c>
      <c r="J25" s="5" t="inlineStr">
        <is>
          <t>一時 DB（createTestDb）</t>
        </is>
      </c>
      <c r="K25" s="5" t="inlineStr"/>
      <c r="L25" s="5" t="inlineStr"/>
      <c r="M25" s="5" t="inlineStr">
        <is>
          <t>TC-NOUS53_DEV-21 setPasswordCli が正常入力で DB に保存して終了コード 0 を返し、readTwoPasswordsHidden は入力文字をエコーしない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既存テスト：実装時のテスト（NOUS-53）</t>
        </is>
      </c>
    </row>
    <row r="26">
      <c r="A26" s="4" t="n">
        <v>22</v>
      </c>
      <c r="B26" s="4" t="inlineStr">
        <is>
          <t>TC-NOUS53_DEV-22</t>
        </is>
      </c>
      <c r="C26" s="5" t="inlineStr">
        <is>
          <t>readTwoPasswordsHidden</t>
        </is>
      </c>
      <c r="D26" s="4" t="inlineStr">
        <is>
          <t>異常系</t>
        </is>
      </c>
      <c r="E26" s="4" t="inlineStr">
        <is>
          <t>開発者テスト</t>
        </is>
      </c>
      <c r="F26" s="5" t="inlineStr">
        <is>
          <t>readTwoPasswordsHidden は Ctrl+C（\\u0003）が押されたら rl を閉じて reject する</t>
        </is>
      </c>
      <c r="G26" s="5" t="inlineStr">
        <is>
          <t>前提：なし
入力：テストコードのとおり</t>
        </is>
      </c>
      <c r="H26" s="5" t="inlineStr">
        <is>
          <t>readTwoPasswordsHidden は Ctrl+C（\\u0003）が押されたら rl を閉じて reject する</t>
        </is>
      </c>
      <c r="I26" s="5" t="inlineStr">
        <is>
          <t>B24-F, B25-T</t>
        </is>
      </c>
      <c r="J26" s="5" t="inlineStr">
        <is>
          <t>PassThrough の入出力</t>
        </is>
      </c>
      <c r="K26" s="5" t="inlineStr"/>
      <c r="L26" s="5" t="inlineStr"/>
      <c r="M26" s="5" t="inlineStr">
        <is>
          <t>TC-NOUS53_DEV-22 readTwoPasswordsHidden は Ctrl+C（\\u0003）が押されたら rl を閉じて reject する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既存テスト：実装時のテスト（NOUS-53）</t>
        </is>
      </c>
    </row>
    <row r="27">
      <c r="A27" s="4" t="n">
        <v>23</v>
      </c>
      <c r="B27" s="4" t="inlineStr">
        <is>
          <t>TC-NOUS53_DEV-23</t>
        </is>
      </c>
      <c r="C27" s="5" t="inlineStr">
        <is>
          <t>readTwoPasswordsHidden</t>
        </is>
      </c>
      <c r="D27" s="4" t="inlineStr">
        <is>
          <t>異常系</t>
        </is>
      </c>
      <c r="E27" s="4" t="inlineStr">
        <is>
          <t>開発者テスト</t>
        </is>
      </c>
      <c r="F27" s="5" t="inlineStr">
        <is>
          <t>readTwoPasswordsHidden は入力が途中で終了（input.end()）したら reject する</t>
        </is>
      </c>
      <c r="G27" s="5" t="inlineStr">
        <is>
          <t>前提：なし
入力：テストコードのとおり</t>
        </is>
      </c>
      <c r="H27" s="5" t="inlineStr">
        <is>
          <t>readTwoPasswordsHidden は入力が途中で終了（input.end()）したら reject する</t>
        </is>
      </c>
      <c r="I27" s="5" t="inlineStr">
        <is>
          <t>B23-F, B25-F</t>
        </is>
      </c>
      <c r="J27" s="5" t="inlineStr">
        <is>
          <t>PassThrough の入出力</t>
        </is>
      </c>
      <c r="K27" s="5" t="inlineStr"/>
      <c r="L27" s="5" t="inlineStr"/>
      <c r="M27" s="5" t="inlineStr">
        <is>
          <t>TC-NOUS53_DEV-23 readTwoPasswordsHidden は入力が途中で終了（input.end()）したら reject する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既存テスト：実装時のテスト（NOUS-53）</t>
        </is>
      </c>
    </row>
    <row r="28">
      <c r="A28" s="4" t="n">
        <v>24</v>
      </c>
      <c r="B28" s="4" t="inlineStr">
        <is>
          <t>TC-UT_AUTH-001</t>
        </is>
      </c>
      <c r="C28" s="5" t="inlineStr">
        <is>
          <t>verifyPassword</t>
        </is>
      </c>
      <c r="D28" s="4" t="inlineStr">
        <is>
          <t>異常系</t>
        </is>
      </c>
      <c r="E28" s="4" t="inlineStr">
        <is>
          <t>同値分割</t>
        </is>
      </c>
      <c r="F28" s="5" t="inlineStr">
        <is>
          <t>保存の形が少しでも違えば、正しいパスワードでも例外にせず false</t>
        </is>
      </c>
      <c r="G28" s="5" t="inlineStr">
        <is>
          <t>前提：正しいパスワードのハッシュ
入力：r・p が違う、7 つに分かれる、ソルトのパディングを欠く、ハッシュの前に空白</t>
        </is>
      </c>
      <c r="H28" s="5" t="inlineStr">
        <is>
          <t>どれも例外にせず false</t>
        </is>
      </c>
      <c r="I28" s="5" t="inlineStr">
        <is>
          <t>B9-T, B12-T, B13-T</t>
        </is>
      </c>
      <c r="J28" s="5" t="inlineStr">
        <is>
          <t>なし</t>
        </is>
      </c>
      <c r="K28" s="5" t="inlineStr"/>
      <c r="L28" s="5" t="inlineStr"/>
      <c r="M28" s="5" t="inlineStr">
        <is>
          <t>TC-UT_AUTH-001 保存の形が少しでも違えば、正しいパスワードでも例外にせず false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TC-NOUS53_DEV-03（N の違い・字数の違いなど。r・p・パディング・空白は見ていない）</t>
        </is>
      </c>
    </row>
    <row r="29">
      <c r="A29" s="4" t="n">
        <v>25</v>
      </c>
      <c r="B29" s="4" t="inlineStr">
        <is>
          <t>TC-UT_AUTH-002</t>
        </is>
      </c>
      <c r="C29" s="5" t="inlineStr">
        <is>
          <t>hashPassword / verifyPassword</t>
        </is>
      </c>
      <c r="D29" s="4" t="inlineStr">
        <is>
          <t>正常系</t>
        </is>
      </c>
      <c r="E29" s="4" t="inlineStr">
        <is>
          <t>同値分割</t>
        </is>
      </c>
      <c r="F29" s="5" t="inlineStr">
        <is>
          <t>日本語と絵文字を含むパスワードもハッシュして照合できる</t>
        </is>
      </c>
      <c r="G29" s="5" t="inlineStr">
        <is>
          <t>前提：なし
入力：日本語と絵文字を含む 16 字</t>
        </is>
      </c>
      <c r="H29" s="5" t="inlineStr">
        <is>
          <t>同じ値で true、末尾の 1 字が違えば false</t>
        </is>
      </c>
      <c r="I29" s="5" t="inlineStr">
        <is>
          <t>B13-F, B14-F</t>
        </is>
      </c>
      <c r="J29" s="5" t="inlineStr">
        <is>
          <t>なし</t>
        </is>
      </c>
      <c r="K29" s="5" t="inlineStr"/>
      <c r="L29" s="5" t="inlineStr"/>
      <c r="M29" s="5" t="inlineStr">
        <is>
          <t>TC-UT_AUTH-002 日本語と絵文字を含むパスワードもハッシュして照合できる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TC-NOUS53_DEV-02（ASCII だけ）</t>
        </is>
      </c>
    </row>
    <row r="30">
      <c r="A30" s="4" t="n">
        <v>26</v>
      </c>
      <c r="B30" s="4" t="inlineStr">
        <is>
          <t>TC-UT_AUTH-003</t>
        </is>
      </c>
      <c r="C30" s="5" t="inlineStr">
        <is>
          <t>verifyPassword</t>
        </is>
      </c>
      <c r="D30" s="4" t="inlineStr">
        <is>
          <t>異常系</t>
        </is>
      </c>
      <c r="E30" s="4" t="inlineStr">
        <is>
          <t>同値分割</t>
        </is>
      </c>
      <c r="F30" s="5" t="inlineStr">
        <is>
          <t>前後の空白・大文字小文字の違いは別のパスワードとする</t>
        </is>
      </c>
      <c r="G30" s="5" t="inlineStr">
        <is>
          <t>前提：正しいパスワードのハッシュ
入力：先頭に空白、大文字にした値</t>
        </is>
      </c>
      <c r="H30" s="5" t="inlineStr">
        <is>
          <t>どちらも false（そのまま比べる）</t>
        </is>
      </c>
      <c r="I30" s="5" t="inlineStr">
        <is>
          <t>B14-F</t>
        </is>
      </c>
      <c r="J30" s="5" t="inlineStr">
        <is>
          <t>なし</t>
        </is>
      </c>
      <c r="K30" s="5" t="inlineStr"/>
      <c r="L30" s="5" t="inlineStr"/>
      <c r="M30" s="5" t="inlineStr">
        <is>
          <t>TC-UT_AUTH-003 前後の空白・大文字小文字の違いは別のパスワードとする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</t>
        </is>
      </c>
    </row>
    <row r="31">
      <c r="A31" s="4" t="n">
        <v>27</v>
      </c>
      <c r="B31" s="4" t="inlineStr">
        <is>
          <t>TC-UT_AUTH-004</t>
        </is>
      </c>
      <c r="C31" s="5" t="inlineStr">
        <is>
          <t>isLocked</t>
        </is>
      </c>
      <c r="D31" s="4" t="inlineStr">
        <is>
          <t>正常系</t>
        </is>
      </c>
      <c r="E31" s="4" t="inlineStr">
        <is>
          <t>境界値</t>
        </is>
      </c>
      <c r="F31" s="5" t="inlineStr">
        <is>
          <t>isLocked は locked_until が今より後のときだけ真</t>
        </is>
      </c>
      <c r="G31" s="5" t="inlineStr">
        <is>
          <t>前提：なし
入力：locked_until = null、今と同じ、今の 1 ms 後</t>
        </is>
      </c>
      <c r="H31" s="5" t="inlineStr">
        <is>
          <t>今の 1 ms 後だけ true</t>
        </is>
      </c>
      <c r="I31" s="5" t="inlineStr">
        <is>
          <t>B1-T, B1-F, B2-T, B2-F</t>
        </is>
      </c>
      <c r="J31" s="5" t="inlineStr">
        <is>
          <t>なし</t>
        </is>
      </c>
      <c r="K31" s="5" t="inlineStr"/>
      <c r="L31" s="5" t="inlineStr"/>
      <c r="M31" s="5" t="inlineStr">
        <is>
          <t>TC-UT_AUTH-004 isLocked は locked_until が今より後のときだけ真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既存テスト：一部 TC-NOUS53_DEV-08（境界のちょうどを見ていない）</t>
        </is>
      </c>
    </row>
    <row r="32">
      <c r="A32" s="4" t="n">
        <v>28</v>
      </c>
      <c r="B32" s="4" t="inlineStr">
        <is>
          <t>TC-UT_AUTH-005</t>
        </is>
      </c>
      <c r="C32" s="5" t="inlineStr">
        <is>
          <t>registerFailure</t>
        </is>
      </c>
      <c r="D32" s="4" t="inlineStr">
        <is>
          <t>異常系</t>
        </is>
      </c>
      <c r="E32" s="4" t="inlineStr">
        <is>
          <t>境界値</t>
        </is>
      </c>
      <c r="F32" s="5" t="inlineStr">
        <is>
          <t>4 回目の失敗ではロックせず、failed_count を 4 にする</t>
        </is>
      </c>
      <c r="G32" s="5" t="inlineStr">
        <is>
          <t>前提：failed_count = 3
入力：失敗を 1 回</t>
        </is>
      </c>
      <c r="H32" s="5" t="inlineStr">
        <is>
          <t>{ locked: false }、failed_count = 4、locked_until は null</t>
        </is>
      </c>
      <c r="I32" s="5" t="inlineStr">
        <is>
          <t>B3-F</t>
        </is>
      </c>
      <c r="J32" s="5" t="inlineStr">
        <is>
          <t>一時 DB（createTestDb）</t>
        </is>
      </c>
      <c r="K32" s="5" t="inlineStr"/>
      <c r="L32" s="5" t="inlineStr"/>
      <c r="M32" s="5" t="inlineStr">
        <is>
          <t>TC-UT_AUTH-005 4 回目の失敗ではロックせず、failed_count を 4 にする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TC-NOUS53_DEV-06（0 → 1 だけ）</t>
        </is>
      </c>
    </row>
    <row r="33">
      <c r="A33" s="4" t="n">
        <v>29</v>
      </c>
      <c r="B33" s="4" t="inlineStr">
        <is>
          <t>TC-UT_AUTH-006</t>
        </is>
      </c>
      <c r="C33" s="5" t="inlineStr">
        <is>
          <t>login</t>
        </is>
      </c>
      <c r="D33" s="4" t="inlineStr">
        <is>
          <t>異常系</t>
        </is>
      </c>
      <c r="E33" s="4" t="inlineStr">
        <is>
          <t>状態遷移</t>
        </is>
      </c>
      <c r="F33" s="5" t="inlineStr">
        <is>
          <t>ロック中は正しいパスワードでも 429 にし、照合も失敗の数え上げも監査もしない</t>
        </is>
      </c>
      <c r="G33" s="5" t="inlineStr">
        <is>
          <t>前提：locked_until = 今 + 10 分
入力：正しいパスワード</t>
        </is>
      </c>
      <c r="H33" s="5" t="inlineStr">
        <is>
          <t>429 LOGIN_LOCKED。failed_count・locked_until は変わらず、監査もセッションも作らない</t>
        </is>
      </c>
      <c r="I33" s="5" t="inlineStr">
        <is>
          <t>B4-F, B5-T</t>
        </is>
      </c>
      <c r="J33" s="5" t="inlineStr">
        <is>
          <t>一時 DB（createTestDb）、FakeClock（TEST_NOW = 2026-10-20T00:00:00.000Z）</t>
        </is>
      </c>
      <c r="K33" s="5" t="inlineStr"/>
      <c r="L33" s="5" t="inlineStr"/>
      <c r="M33" s="5" t="inlineStr">
        <is>
          <t>TC-UT_AUTH-006 ロック中は正しいパスワードでも 429 にし、照合も失敗の数え上げも監査もしない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TC-NOUS53_DEV-07（違うパスワードで 429 になることだけ）</t>
        </is>
      </c>
    </row>
    <row r="34">
      <c r="A34" s="4" t="n">
        <v>30</v>
      </c>
      <c r="B34" s="4" t="inlineStr">
        <is>
          <t>TC-UT_AUTH-007</t>
        </is>
      </c>
      <c r="C34" s="5" t="inlineStr">
        <is>
          <t>login</t>
        </is>
      </c>
      <c r="D34" s="4" t="inlineStr">
        <is>
          <t>正常系</t>
        </is>
      </c>
      <c r="E34" s="4" t="inlineStr">
        <is>
          <t>境界値</t>
        </is>
      </c>
      <c r="F34" s="5" t="inlineStr">
        <is>
          <t>locked_until ちょうどの時刻には正しいパスワードで入れ、ロックを解く</t>
        </is>
      </c>
      <c r="G34" s="5" t="inlineStr">
        <is>
          <t>前提：locked_until = 今（ちょうど）
入力：正しいパスワード</t>
        </is>
      </c>
      <c r="H34" s="5" t="inlineStr">
        <is>
          <t>成功し、failed_count = 0・locked_until = null</t>
        </is>
      </c>
      <c r="I34" s="5" t="inlineStr">
        <is>
          <t>B5-F, B6-F</t>
        </is>
      </c>
      <c r="J34" s="5" t="inlineStr">
        <is>
          <t>一時 DB（createTestDb）、FakeClock（TEST_NOW = 2026-10-20T00:00:00.000Z）</t>
        </is>
      </c>
      <c r="K34" s="5" t="inlineStr"/>
      <c r="L34" s="5" t="inlineStr"/>
      <c r="M34" s="5" t="inlineStr">
        <is>
          <t>TC-UT_AUTH-007 locked_until ちょうどの時刻には正しいパスワードで入れ、ロックを解く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既存テスト：一部 TC-NOUS53_DEV-07（15 分より後で解除されることだけ）</t>
        </is>
      </c>
    </row>
    <row r="35">
      <c r="A35" s="4" t="n">
        <v>31</v>
      </c>
      <c r="B35" s="4" t="inlineStr">
        <is>
          <t>TC-UT_AUTH-008</t>
        </is>
      </c>
      <c r="C35" s="5" t="inlineStr">
        <is>
          <t>login</t>
        </is>
      </c>
      <c r="D35" s="4" t="inlineStr">
        <is>
          <t>異常系</t>
        </is>
      </c>
      <c r="E35" s="4" t="inlineStr">
        <is>
          <t>状態遷移</t>
        </is>
      </c>
      <c r="F35" s="5" t="inlineStr">
        <is>
          <t>ロックが明けたあとの 1 回の失敗では、すぐにはロックしない（数え直しは 1 から）</t>
        </is>
      </c>
      <c r="G35" s="5" t="inlineStr">
        <is>
          <t>前提：failed_count = 0、locked_until = 今の 1 ms 前（ロック明け）
入力：違うパスワード</t>
        </is>
      </c>
      <c r="H35" s="5" t="inlineStr">
        <is>
          <t>401 LOGIN_FAILED、failed_count = 1 でロックしない</t>
        </is>
      </c>
      <c r="I35" s="5" t="inlineStr">
        <is>
          <t>B5-F, B6-T, B3-F</t>
        </is>
      </c>
      <c r="J35" s="5" t="inlineStr">
        <is>
          <t>一時 DB（createTestDb）、FakeClock（TEST_NOW = 2026-10-20T00:00:00.000Z）</t>
        </is>
      </c>
      <c r="K35" s="5" t="inlineStr"/>
      <c r="L35" s="5" t="inlineStr"/>
      <c r="M35" s="5" t="inlineStr">
        <is>
          <t>TC-UT_AUTH-008 ロックが明けたあとの 1 回の失敗では、すぐにはロックしない（数え直しは 1 から）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</t>
        </is>
      </c>
    </row>
    <row r="36">
      <c r="A36" s="4" t="n">
        <v>32</v>
      </c>
      <c r="B36" s="4" t="inlineStr">
        <is>
          <t>TC-UT_AUTH-009</t>
        </is>
      </c>
      <c r="C36" s="5" t="inlineStr">
        <is>
          <t>login（LOGIN_LOCKED の文言）</t>
        </is>
      </c>
      <c r="D36" s="4" t="inlineStr">
        <is>
          <t>異常系</t>
        </is>
      </c>
      <c r="E36" s="4" t="inlineStr">
        <is>
          <t>境界値</t>
        </is>
      </c>
      <c r="F36" s="5" t="inlineStr">
        <is>
          <t>解除の時刻は JST の HH:MM で、日付をまたぐときも 0 時台で表す</t>
        </is>
      </c>
      <c r="G36" s="5" t="inlineStr">
        <is>
          <t>前提：locked_until = 2026-10-19T15:05:00Z、今は 14:55Z
入力：正しいパスワード</t>
        </is>
      </c>
      <c r="H36" s="5" t="inlineStr">
        <is>
          <t>message は「…、00:05 まで受け付けません」（JST で日付をまたぐ）、fields.lockedUntil は保存の値</t>
        </is>
      </c>
      <c r="I36" s="5" t="inlineStr">
        <is>
          <t>B5-T</t>
        </is>
      </c>
      <c r="J36" s="5" t="inlineStr">
        <is>
          <t>一時 DB（createTestDb）、FakeClock（2026-10-19T14:55:00.000Z）</t>
        </is>
      </c>
      <c r="K36" s="5" t="inlineStr"/>
      <c r="L36" s="5" t="inlineStr"/>
      <c r="M36" s="5" t="inlineStr">
        <is>
          <t>TC-UT_AUTH-009 解除の時刻は JST の HH:MM で、日付をまたぐときも 0 時台で表す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既存テスト：一部 TC-NOUS53_DEV-07（日付をまたがない時刻だけ）</t>
        </is>
      </c>
    </row>
    <row r="37">
      <c r="A37" s="4" t="n">
        <v>33</v>
      </c>
      <c r="B37" s="4" t="inlineStr">
        <is>
          <t>TC-UT_AUTH-010</t>
        </is>
      </c>
      <c r="C37" s="5" t="inlineStr">
        <is>
          <t>login</t>
        </is>
      </c>
      <c r="D37" s="4" t="inlineStr">
        <is>
          <t>正常系</t>
        </is>
      </c>
      <c r="E37" s="4" t="inlineStr">
        <is>
          <t>状態遷移</t>
        </is>
      </c>
      <c r="F37" s="5" t="inlineStr">
        <is>
          <t>成功したら、それまでの失敗の数を 0 に戻す</t>
        </is>
      </c>
      <c r="G37" s="5" t="inlineStr">
        <is>
          <t>前提：failed_count = 3
入力：正しいパスワード</t>
        </is>
      </c>
      <c r="H37" s="5" t="inlineStr">
        <is>
          <t>failed_count = 0、監査は admin.login だけ</t>
        </is>
      </c>
      <c r="I37" s="5" t="inlineStr">
        <is>
          <t>B6-F</t>
        </is>
      </c>
      <c r="J37" s="5" t="inlineStr">
        <is>
          <t>一時 DB（createTestDb）、FakeClock（TEST_NOW = 2026-10-20T00:00:00.000Z）</t>
        </is>
      </c>
      <c r="K37" s="5" t="inlineStr"/>
      <c r="L37" s="5" t="inlineStr"/>
      <c r="M37" s="5" t="inlineStr">
        <is>
          <t>TC-UT_AUTH-010 成功したら、それまでの失敗の数を 0 に戻す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既存テスト：一部 TC-NOUS53_DEV-05（0 からの成功だけ）</t>
        </is>
      </c>
    </row>
    <row r="38">
      <c r="A38" s="4" t="n">
        <v>34</v>
      </c>
      <c r="B38" s="4" t="inlineStr">
        <is>
          <t>TC-UT_AUTH-011</t>
        </is>
      </c>
      <c r="C38" s="5" t="inlineStr">
        <is>
          <t>login / createSession</t>
        </is>
      </c>
      <c r="D38" s="4" t="inlineStr">
        <is>
          <t>正常系</t>
        </is>
      </c>
      <c r="E38" s="4" t="inlineStr">
        <is>
          <t>同値分割</t>
        </is>
      </c>
      <c r="F38" s="5" t="inlineStr">
        <is>
          <t>続けてログインするとセッションが別々にでき、どちらも session_hash は sessionId の SHA-256</t>
        </is>
      </c>
      <c r="G38" s="5" t="inlineStr">
        <is>
          <t>前提：なし
入力：続けて 2 回ログイン</t>
        </is>
      </c>
      <c r="H38" s="5" t="inlineStr">
        <is>
          <t>sessionId が別々で、admin_sessions の session_hash はそれぞれの SHA-256（2 行）</t>
        </is>
      </c>
      <c r="I38" s="5" t="inlineStr">
        <is>
          <t>B6-F</t>
        </is>
      </c>
      <c r="J38" s="5" t="inlineStr">
        <is>
          <t>一時 DB（createTestDb）、FakeClock（TEST_NOW = 2026-10-20T00:00:00.000Z）</t>
        </is>
      </c>
      <c r="K38" s="5" t="inlineStr"/>
      <c r="L38" s="5" t="inlineStr"/>
      <c r="M38" s="5" t="inlineStr">
        <is>
          <t>TC-UT_AUTH-011 続けてログインするとセッションが別々にでき、どちらも session_hash は sessionId の SHA-256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既存テスト：一部 TC-NOUS53_DEV-08（1 回だけ）</t>
        </is>
      </c>
    </row>
    <row r="39">
      <c r="A39" s="4" t="n">
        <v>35</v>
      </c>
      <c r="B39" s="4" t="inlineStr">
        <is>
          <t>TC-UT_AUTH-012</t>
        </is>
      </c>
      <c r="C39" s="5" t="inlineStr">
        <is>
          <t>logout</t>
        </is>
      </c>
      <c r="D39" s="4" t="inlineStr">
        <is>
          <t>正常系</t>
        </is>
      </c>
      <c r="E39" s="4" t="inlineStr">
        <is>
          <t>同値分割</t>
        </is>
      </c>
      <c r="F39" s="5" t="inlineStr">
        <is>
          <t>logout は指定のセッションだけを消し、ほかのセッションは残す</t>
        </is>
      </c>
      <c r="G39" s="5" t="inlineStr">
        <is>
          <t>前提：セッション 2 つ
入力：片方の session_hash で logout</t>
        </is>
      </c>
      <c r="H39" s="5" t="inlineStr">
        <is>
          <t>そのセッションだけを消し、もう 1 つは残す</t>
        </is>
      </c>
      <c r="I39" s="5" t="inlineStr"/>
      <c r="J39" s="5" t="inlineStr">
        <is>
          <t>一時 DB（createTestDb）、FakeClock（TEST_NOW = 2026-10-20T00:00:00.000Z）</t>
        </is>
      </c>
      <c r="K39" s="5" t="inlineStr"/>
      <c r="L39" s="5" t="inlineStr"/>
      <c r="M39" s="5" t="inlineStr">
        <is>
          <t>TC-UT_AUTH-012 logout は指定のセッションだけを消し、ほかのセッションは残す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既存テスト：一部 TC-NOUS53_DEV-09（セッション 1 つだけ）</t>
        </is>
      </c>
    </row>
    <row r="40">
      <c r="A40" s="4" t="n">
        <v>36</v>
      </c>
      <c r="B40" s="4" t="inlineStr">
        <is>
          <t>TC-UT_AUTH-013</t>
        </is>
      </c>
      <c r="C40" s="5" t="inlineStr">
        <is>
          <t>getSessionInfo</t>
        </is>
      </c>
      <c r="D40" s="4" t="inlineStr">
        <is>
          <t>正常系</t>
        </is>
      </c>
      <c r="E40" s="4" t="inlineStr">
        <is>
          <t>境界値</t>
        </is>
      </c>
      <c r="F40" s="5" t="inlineStr">
        <is>
          <t>getSessionInfo の expiresAt は 8 時間と 60 分の早いほう</t>
        </is>
      </c>
      <c r="G40" s="5" t="inlineStr">
        <is>
          <t>前提：なし
入力：作成から 7 時間（両方が同じ）・7 時間半・30 分</t>
        </is>
      </c>
      <c r="H40" s="5" t="inlineStr">
        <is>
          <t>7 時間・7 時間半：作成 + 8 時間、30 分：今 + 60 分</t>
        </is>
      </c>
      <c r="I40" s="5" t="inlineStr">
        <is>
          <t>B8-T, B8-F</t>
        </is>
      </c>
      <c r="J40" s="5" t="inlineStr">
        <is>
          <t>なし</t>
        </is>
      </c>
      <c r="K40" s="5" t="inlineStr"/>
      <c r="L40" s="5" t="inlineStr"/>
      <c r="M40" s="5" t="inlineStr">
        <is>
          <t>TC-UT_AUTH-013 getSessionInfo の expiresAt は 8 時間と 60 分の早いほう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既存テスト：一部 TC-NOUS53_DEV-10（両方が同じ時刻の境界を見ていない）</t>
        </is>
      </c>
    </row>
    <row r="41">
      <c r="A41" s="4" t="n">
        <v>37</v>
      </c>
      <c r="B41" s="4" t="inlineStr">
        <is>
          <t>TC-UT_AUTH-014</t>
        </is>
      </c>
      <c r="C41" s="5" t="inlineStr">
        <is>
          <t>login / registerFailure</t>
        </is>
      </c>
      <c r="D41" s="4" t="inlineStr">
        <is>
          <t>異常系</t>
        </is>
      </c>
      <c r="E41" s="4" t="inlineStr">
        <is>
          <t>境界値</t>
        </is>
      </c>
      <c r="F41" s="5" t="inlineStr">
        <is>
          <t>ロックの期間は 15 分で、5 回目の失敗の時刻から数える</t>
        </is>
      </c>
      <c r="G41" s="5" t="inlineStr">
        <is>
          <t>前提：failed_count = 4、時計を 3 分進める
入力：違うパスワード</t>
        </is>
      </c>
      <c r="H41" s="5" t="inlineStr">
        <is>
          <t>locked_until = 5 回目の失敗の時刻 + 15 分</t>
        </is>
      </c>
      <c r="I41" s="5" t="inlineStr">
        <is>
          <t>B3-T, B6-T</t>
        </is>
      </c>
      <c r="J41" s="5" t="inlineStr">
        <is>
          <t>一時 DB（createTestDb）、FakeClock（TEST_NOW = 2026-10-20T00:00:00.000Z）</t>
        </is>
      </c>
      <c r="K41" s="5" t="inlineStr"/>
      <c r="L41" s="5" t="inlineStr"/>
      <c r="M41" s="5" t="inlineStr">
        <is>
          <t>TC-UT_AUTH-014 ロックの期間は 15 分で、5 回目の失敗の時刻から数える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既存テスト：一部 TC-NOUS53_DEV-07（時計を進めずに確かめている）</t>
        </is>
      </c>
    </row>
    <row r="42">
      <c r="A42" s="4" t="n">
        <v>38</v>
      </c>
      <c r="B42" s="4" t="inlineStr">
        <is>
          <t>TC-UT_AUTH-015</t>
        </is>
      </c>
      <c r="C42" s="5" t="inlineStr">
        <is>
          <t>POST /admin/api/login</t>
        </is>
      </c>
      <c r="D42" s="4" t="inlineStr">
        <is>
          <t>異常系</t>
        </is>
      </c>
      <c r="E42" s="4" t="inlineStr">
        <is>
          <t>同値分割</t>
        </is>
      </c>
      <c r="F42" s="5" t="inlineStr">
        <is>
          <t>本文が読めない・password が文字列でないときは 400 で「パスワードを入力してください」</t>
        </is>
      </c>
      <c r="G42" s="5" t="inlineStr">
        <is>
          <t>前提：なし
入力：JSON でない本文、空の本文、password が数値</t>
        </is>
      </c>
      <c r="H42" s="5" t="inlineStr">
        <is>
          <t>どれも 400 VALIDATION_ERROR、fields.password は「パスワードを入力してください」</t>
        </is>
      </c>
      <c r="I42" s="5" t="inlineStr">
        <is>
          <t>B15-T, B15-F</t>
        </is>
      </c>
      <c r="J42" s="5" t="inlineStr">
        <is>
          <t>一時 DB（createTestDb）、FakeClock（TEST_NOW = 2026-10-20T00:00:00.000Z）</t>
        </is>
      </c>
      <c r="K42" s="5" t="inlineStr"/>
      <c r="L42" s="5" t="inlineStr"/>
      <c r="M42" s="5" t="inlineStr">
        <is>
          <t>TC-UT_AUTH-015 本文が読めない・password が文字列でないときは 400 で「パスワードを入力してください」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既存テスト：なし（DEV-12 は字数だけ）</t>
        </is>
      </c>
    </row>
    <row r="43">
      <c r="A43" s="4" t="n">
        <v>39</v>
      </c>
      <c r="B43" s="4" t="inlineStr">
        <is>
          <t>TC-UT_AUTH-016</t>
        </is>
      </c>
      <c r="C43" s="5" t="inlineStr">
        <is>
          <t>POST /admin/api/login</t>
        </is>
      </c>
      <c r="D43" s="4" t="inlineStr">
        <is>
          <t>正常系</t>
        </is>
      </c>
      <c r="E43" s="4" t="inlineStr">
        <is>
          <t>境界値</t>
        </is>
      </c>
      <c r="F43" s="5" t="inlineStr">
        <is>
          <t>12 字・128 字は検証を通り、照合の結果（401）になる</t>
        </is>
      </c>
      <c r="G43" s="5" t="inlineStr">
        <is>
          <t>前提：なし
入力：password が 12 字・128 字（違う値）</t>
        </is>
      </c>
      <c r="H43" s="5" t="inlineStr">
        <is>
          <t>検証を通り、照合の結果の 401 LOGIN_FAILED</t>
        </is>
      </c>
      <c r="I43" s="5" t="inlineStr">
        <is>
          <t>B6-T</t>
        </is>
      </c>
      <c r="J43" s="5" t="inlineStr">
        <is>
          <t>一時 DB（createTestDb）、FakeClock（TEST_NOW = 2026-10-20T00:00:00.000Z）</t>
        </is>
      </c>
      <c r="K43" s="5" t="inlineStr"/>
      <c r="L43" s="5" t="inlineStr"/>
      <c r="M43" s="5" t="inlineStr">
        <is>
          <t>TC-UT_AUTH-016 12 字・128 字は検証を通り、照合の結果（401）になる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既存テスト：一部 TC-NOUS53_DEV-12（11 字・129 字だけ）</t>
        </is>
      </c>
    </row>
    <row r="44">
      <c r="A44" s="4" t="n">
        <v>40</v>
      </c>
      <c r="B44" s="4" t="inlineStr">
        <is>
          <t>TC-UT_AUTH-017</t>
        </is>
      </c>
      <c r="C44" s="5" t="inlineStr">
        <is>
          <t>GET /admin/api/session</t>
        </is>
      </c>
      <c r="D44" s="4" t="inlineStr">
        <is>
          <t>異常系</t>
        </is>
      </c>
      <c r="E44" s="4" t="inlineStr">
        <is>
          <t>境界値</t>
        </is>
      </c>
      <c r="F44" s="5" t="inlineStr">
        <is>
          <t>最終操作から 60 分たったセッションで GET /session は 401</t>
        </is>
      </c>
      <c r="G44" s="5" t="inlineStr">
        <is>
          <t>前提：ログイン直後のセッション
入力：60 分ちょうど後に GET /session</t>
        </is>
      </c>
      <c r="H44" s="5" t="inlineStr">
        <is>
          <t>401</t>
        </is>
      </c>
      <c r="I44" s="5" t="inlineStr">
        <is>
          <t>B16-F</t>
        </is>
      </c>
      <c r="J44" s="5" t="inlineStr">
        <is>
          <t>一時 DB（createTestDb）、FakeClock（TEST_NOW = 2026-10-20T00:00:00.000Z）</t>
        </is>
      </c>
      <c r="K44" s="5" t="inlineStr"/>
      <c r="L44" s="5" t="inlineStr"/>
      <c r="M44" s="5" t="inlineStr">
        <is>
          <t>TC-UT_AUTH-017 最終操作から 60 分たったセッションで GET /session は 401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既存テスト：一部 TC-NOUS53_DEV-17（Cookie なしだけ）</t>
        </is>
      </c>
    </row>
    <row r="45">
      <c r="A45" s="4" t="n">
        <v>41</v>
      </c>
      <c r="B45" s="4" t="inlineStr">
        <is>
          <t>TC-UT_AUTH-018</t>
        </is>
      </c>
      <c r="C45" s="5" t="inlineStr">
        <is>
          <t>POST /admin/api/logout → GET /admin/api/session</t>
        </is>
      </c>
      <c r="D45" s="4" t="inlineStr">
        <is>
          <t>異常系</t>
        </is>
      </c>
      <c r="E45" s="4" t="inlineStr">
        <is>
          <t>状態遷移</t>
        </is>
      </c>
      <c r="F45" s="5" t="inlineStr">
        <is>
          <t>logout したあとは同じ Cookie で GET /session が 401 になる</t>
        </is>
      </c>
      <c r="G45" s="5" t="inlineStr">
        <is>
          <t>前提：ログイン済み
入力：logout のあと、同じ Cookie で GET /session</t>
        </is>
      </c>
      <c r="H45" s="5" t="inlineStr">
        <is>
          <t>logout は 204、そのあとの GET /session は 401</t>
        </is>
      </c>
      <c r="I45" s="5" t="inlineStr">
        <is>
          <t>B16-F</t>
        </is>
      </c>
      <c r="J45" s="5" t="inlineStr">
        <is>
          <t>一時 DB（createTestDb）、FakeClock（TEST_NOW = 2026-10-20T00:00:00.000Z）</t>
        </is>
      </c>
      <c r="K45" s="5" t="inlineStr"/>
      <c r="L45" s="5" t="inlineStr"/>
      <c r="M45" s="5" t="inlineStr">
        <is>
          <t>TC-UT_AUTH-018 logout したあとは同じ Cookie で GET /session が 401 になる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既存テスト：一部 TC-NOUS53_DEV-14（行が消えることだけ）</t>
        </is>
      </c>
    </row>
    <row r="46">
      <c r="A46" s="4" t="n">
        <v>42</v>
      </c>
      <c r="B46" s="4" t="inlineStr">
        <is>
          <t>TC-UT_AUTH-019</t>
        </is>
      </c>
      <c r="C46" s="5" t="inlineStr">
        <is>
          <t>GET /admin/api/session</t>
        </is>
      </c>
      <c r="D46" s="4" t="inlineStr">
        <is>
          <t>正常系</t>
        </is>
      </c>
      <c r="E46" s="4" t="inlineStr">
        <is>
          <t>同値分割</t>
        </is>
      </c>
      <c r="F46" s="5" t="inlineStr">
        <is>
          <t>GET /session は呼ぶたびに expiresAt を今から 60 分後に延ばす</t>
        </is>
      </c>
      <c r="G46" s="5" t="inlineStr">
        <is>
          <t>前提：ログイン直後のセッション
入力：30 分後に GET /session</t>
        </is>
      </c>
      <c r="H46" s="5" t="inlineStr">
        <is>
          <t>expiresAt = 今（30 分後）+ 60 分</t>
        </is>
      </c>
      <c r="I46" s="5" t="inlineStr">
        <is>
          <t>B16-F</t>
        </is>
      </c>
      <c r="J46" s="5" t="inlineStr">
        <is>
          <t>一時 DB（createTestDb）、FakeClock（TEST_NOW = 2026-10-20T00:00:00.000Z）</t>
        </is>
      </c>
      <c r="K46" s="5" t="inlineStr"/>
      <c r="L46" s="5" t="inlineStr"/>
      <c r="M46" s="5" t="inlineStr">
        <is>
          <t>TC-UT_AUTH-019 GET /session は呼ぶたびに expiresAt を今から 60 分後に延ばす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既存テスト：一部 TC-NOUS53_DEV-16（ログインの直後だけ）</t>
        </is>
      </c>
    </row>
    <row r="47">
      <c r="A47" s="4" t="n">
        <v>43</v>
      </c>
      <c r="B47" s="4" t="inlineStr">
        <is>
          <t>TC-UT_AUTH-020</t>
        </is>
      </c>
      <c r="C47" s="5" t="inlineStr">
        <is>
          <t>validatePasswordInput</t>
        </is>
      </c>
      <c r="D47" s="4" t="inlineStr">
        <is>
          <t>正常系</t>
        </is>
      </c>
      <c r="E47" s="4" t="inlineStr">
        <is>
          <t>境界値</t>
        </is>
      </c>
      <c r="F47" s="5" t="inlineStr">
        <is>
          <t>validatePasswordInput の長さの境界</t>
        </is>
      </c>
      <c r="G47" s="5" t="inlineStr">
        <is>
          <t>前提：なし
入力：12 字・128 字・11 字・129 字・「あ」12 字（2 回とも同じ）</t>
        </is>
      </c>
      <c r="H47" s="5" t="inlineStr">
        <is>
          <t>12・128・日本語 12 字は ok、11・129 は ng</t>
        </is>
      </c>
      <c r="I47" s="5" t="inlineStr">
        <is>
          <t>B17-F, B18-T, B18-F, B19-T, B19-F</t>
        </is>
      </c>
      <c r="J47" s="5" t="inlineStr">
        <is>
          <t>なし</t>
        </is>
      </c>
      <c r="K47" s="5" t="inlineStr"/>
      <c r="L47" s="5" t="inlineStr"/>
      <c r="M47" s="5" t="inlineStr">
        <is>
          <t>TC-UT_AUTH-020 validatePasswordInput の長さの境界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既存テスト：一部 TC-NOUS53_DEV-20（11 字・129 字だけ）</t>
        </is>
      </c>
    </row>
    <row r="48">
      <c r="A48" s="4" t="n">
        <v>44</v>
      </c>
      <c r="B48" s="4" t="inlineStr">
        <is>
          <t>TC-UT_AUTH-021</t>
        </is>
      </c>
      <c r="C48" s="5" t="inlineStr">
        <is>
          <t>validatePasswordInput</t>
        </is>
      </c>
      <c r="D48" s="4" t="inlineStr">
        <is>
          <t>異常系</t>
        </is>
      </c>
      <c r="E48" s="4" t="inlineStr">
        <is>
          <t>分岐網羅</t>
        </is>
      </c>
      <c r="F48" s="5" t="inlineStr">
        <is>
          <t>2 回の入力が違えば、長さより先に「一致しません」を返す</t>
        </is>
      </c>
      <c r="G48" s="5" t="inlineStr">
        <is>
          <t>前提：なし
入力："short" と "other"（不一致で、どちらも短い）</t>
        </is>
      </c>
      <c r="H48" s="5" t="inlineStr">
        <is>
          <t>「パスワードが一致しません」（長さより先に一致を確かめる）</t>
        </is>
      </c>
      <c r="I48" s="5" t="inlineStr">
        <is>
          <t>B17-T</t>
        </is>
      </c>
      <c r="J48" s="5" t="inlineStr">
        <is>
          <t>なし</t>
        </is>
      </c>
      <c r="K48" s="5" t="inlineStr"/>
      <c r="L48" s="5" t="inlineStr"/>
      <c r="M48" s="5" t="inlineStr">
        <is>
          <t>TC-UT_AUTH-021 2 回の入力が違えば、長さより先に「一致しません」を返す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既存テスト：一部 TC-NOUS53_DEV-20（長さが十分な不一致だけ）</t>
        </is>
      </c>
    </row>
    <row r="49">
      <c r="A49" s="4" t="n">
        <v>45</v>
      </c>
      <c r="B49" s="4" t="inlineStr">
        <is>
          <t>TC-UT_AUTH-022</t>
        </is>
      </c>
      <c r="C49" s="5" t="inlineStr">
        <is>
          <t>setAdminPassword → login</t>
        </is>
      </c>
      <c r="D49" s="4" t="inlineStr">
        <is>
          <t>正常系</t>
        </is>
      </c>
      <c r="E49" s="4" t="inlineStr">
        <is>
          <t>状態遷移</t>
        </is>
      </c>
      <c r="F49" s="5" t="inlineStr">
        <is>
          <t>パスワードを設定し直すと、新しいパスワードで入れて、古いパスワードでは入れない</t>
        </is>
      </c>
      <c r="G49" s="5" t="inlineStr">
        <is>
          <t>前提：古いパスワードで設定済み
入力：新しいパスワードで設定し直す</t>
        </is>
      </c>
      <c r="H49" s="5" t="inlineStr">
        <is>
          <t>created は false、新しいパスワードで入れ、古いパスワードは 401</t>
        </is>
      </c>
      <c r="I49" s="5" t="inlineStr">
        <is>
          <t>B20-F</t>
        </is>
      </c>
      <c r="J49" s="5" t="inlineStr">
        <is>
          <t>一時 DB（createTestDb）、FakeClock（TEST_NOW = 2026-10-20T00:00:00.000Z）</t>
        </is>
      </c>
      <c r="K49" s="5" t="inlineStr"/>
      <c r="L49" s="5" t="inlineStr"/>
      <c r="M49" s="5" t="inlineStr">
        <is>
          <t>TC-UT_AUTH-022 パスワードを設定し直すと、新しいパスワードで入れて、古いパスワードでは入れない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既存テスト：一部 TC-NOUS53_DEV-19（ハッシュの更新だけで、ログインできるかは見ていない）</t>
        </is>
      </c>
    </row>
    <row r="50">
      <c r="A50" s="4" t="n">
        <v>46</v>
      </c>
      <c r="B50" s="4" t="inlineStr">
        <is>
          <t>TC-UT_AUTH-023</t>
        </is>
      </c>
      <c r="C50" s="5" t="inlineStr">
        <is>
          <t>setPasswordCli</t>
        </is>
      </c>
      <c r="D50" s="4" t="inlineStr">
        <is>
          <t>異常系</t>
        </is>
      </c>
      <c r="E50" s="4" t="inlineStr">
        <is>
          <t>分岐網羅</t>
        </is>
      </c>
      <c r="F50" s="5" t="inlineStr">
        <is>
          <t>入力の検証に失敗したら DB のファイルを作らずに終了コード 1 を返す</t>
        </is>
      </c>
      <c r="G50" s="5" t="inlineStr">
        <is>
          <t>前提：一時ディレクトリ
入力：11 字未満の入力、AISNS_DB_PATH は未作成のファイル</t>
        </is>
      </c>
      <c r="H50" s="5" t="inlineStr">
        <is>
          <t>終了コード 1、標準エラーに「12 字以上」、DB のファイルを作らない</t>
        </is>
      </c>
      <c r="I50" s="5" t="inlineStr">
        <is>
          <t>B18-T, B22-T</t>
        </is>
      </c>
      <c r="J50" s="5" t="inlineStr">
        <is>
          <t>readPasswords・stderr を差し替え、一時ディレクトリ（mkdtemp）</t>
        </is>
      </c>
      <c r="K50" s="5" t="inlineStr"/>
      <c r="L50" s="5" t="inlineStr"/>
      <c r="M50" s="5" t="inlineStr">
        <is>
          <t>TC-UT_AUTH-023 入力の検証に失敗したら DB のファイルを作らずに終了コード 1 を返す</t>
        </is>
      </c>
      <c r="N50" s="6" t="inlineStr">
        <is>
          <t>未実施</t>
        </is>
      </c>
      <c r="O50" s="6" t="inlineStr"/>
      <c r="P50" s="6" t="inlineStr"/>
      <c r="Q50" s="7" t="inlineStr">
        <is>
          <t>既存テスト：一部 TC-NOUS53_DEV-20（ファイルを作らないことは見ていない）</t>
        </is>
      </c>
    </row>
    <row r="51">
      <c r="A51" s="4" t="n">
        <v>47</v>
      </c>
      <c r="B51" s="4" t="inlineStr">
        <is>
          <t>TC-UT_AUTH-024</t>
        </is>
      </c>
      <c r="C51" s="5" t="inlineStr">
        <is>
          <t>setPasswordCli</t>
        </is>
      </c>
      <c r="D51" s="4" t="inlineStr">
        <is>
          <t>異常系</t>
        </is>
      </c>
      <c r="E51" s="4" t="inlineStr">
        <is>
          <t>エラー処理</t>
        </is>
      </c>
      <c r="F51" s="5" t="inlineStr">
        <is>
          <t>環境変数が不正なら ConfigError で止まり、DB のファイルを作らない</t>
        </is>
      </c>
      <c r="G51" s="5" t="inlineStr">
        <is>
          <t>前提：一時ディレクトリ
入力：正しい入力、AISNS_ADMIN_PORT = abc</t>
        </is>
      </c>
      <c r="H51" s="5" t="inlineStr">
        <is>
          <t>ConfigError で reject し、文言にパスワードを含めず、DB のファイルを作らない</t>
        </is>
      </c>
      <c r="I51" s="5" t="inlineStr">
        <is>
          <t>B22-F</t>
        </is>
      </c>
      <c r="J51" s="5" t="inlineStr">
        <is>
          <t>readPasswords を差し替え、一時ディレクトリ（mkdtemp）</t>
        </is>
      </c>
      <c r="K51" s="5" t="inlineStr"/>
      <c r="L51" s="5" t="inlineStr"/>
      <c r="M51" s="5" t="inlineStr">
        <is>
          <t>TC-UT_AUTH-024 環境変数が不正なら ConfigError で止まり、DB のファイルを作らない</t>
        </is>
      </c>
      <c r="N51" s="6" t="inlineStr">
        <is>
          <t>未実施</t>
        </is>
      </c>
      <c r="O51" s="6" t="inlineStr"/>
      <c r="P51" s="6" t="inlineStr"/>
      <c r="Q51" s="7" t="inlineStr">
        <is>
          <t>既存テスト：なし</t>
        </is>
      </c>
    </row>
    <row r="52">
      <c r="A52" s="4" t="n">
        <v>48</v>
      </c>
      <c r="B52" s="4" t="inlineStr">
        <is>
          <t>TC-UT_AUTH-025</t>
        </is>
      </c>
      <c r="C52" s="5" t="inlineStr">
        <is>
          <t>readTwoPasswordsHidden</t>
        </is>
      </c>
      <c r="D52" s="4" t="inlineStr">
        <is>
          <t>正常系</t>
        </is>
      </c>
      <c r="E52" s="4" t="inlineStr">
        <is>
          <t>分岐網羅</t>
        </is>
      </c>
      <c r="F52" s="5" t="inlineStr">
        <is>
          <t>2 行がまとめて届いても、1 行目と 2 行目に分けて返し、プロンプトを 2 回出す</t>
        </is>
      </c>
      <c r="G52" s="5" t="inlineStr">
        <is>
          <t>前提：なし
入力：2 行を 1 回でまとめて書く</t>
        </is>
      </c>
      <c r="H52" s="5" t="inlineStr">
        <is>
          <t>1 行目と 2 行目に分けて返し、2 つのプロンプトを出す</t>
        </is>
      </c>
      <c r="I52" s="5" t="inlineStr">
        <is>
          <t>B23-T</t>
        </is>
      </c>
      <c r="J52" s="5" t="inlineStr">
        <is>
          <t>PassThrough の入出力</t>
        </is>
      </c>
      <c r="K52" s="5" t="inlineStr"/>
      <c r="L52" s="5" t="inlineStr"/>
      <c r="M52" s="5" t="inlineStr">
        <is>
          <t>TC-UT_AUTH-025 2 行がまとめて届いても、1 行目と 2 行目に分けて返し、プロンプトを 2 回出す</t>
        </is>
      </c>
      <c r="N52" s="6" t="inlineStr">
        <is>
          <t>未実施</t>
        </is>
      </c>
      <c r="O52" s="6" t="inlineStr"/>
      <c r="P52" s="6" t="inlineStr"/>
      <c r="Q52" s="7" t="inlineStr">
        <is>
          <t>既存テスト：一部 TC-NOUS53_DEV-21（エコーしないことだけ）</t>
        </is>
      </c>
    </row>
    <row r="53">
      <c r="A53" s="4" t="n">
        <v>49</v>
      </c>
      <c r="B53" s="4" t="inlineStr">
        <is>
          <t>TC-UT_AUTH-026</t>
        </is>
      </c>
      <c r="C53" s="5" t="inlineStr">
        <is>
          <t>readTwoPasswordsHidden</t>
        </is>
      </c>
      <c r="D53" s="4" t="inlineStr">
        <is>
          <t>異常系</t>
        </is>
      </c>
      <c r="E53" s="4" t="inlineStr">
        <is>
          <t>境界値</t>
        </is>
      </c>
      <c r="F53" s="5" t="inlineStr">
        <is>
          <t>何も入力せずに入力が終わったら、1 行目の前で reject する</t>
        </is>
      </c>
      <c r="G53" s="5" t="inlineStr">
        <is>
          <t>前提：なし
入力：何も書かずに input.end()</t>
        </is>
      </c>
      <c r="H53" s="5" t="inlineStr">
        <is>
          <t>「パスワードの入力が途中で終了しました」で reject</t>
        </is>
      </c>
      <c r="I53" s="5" t="inlineStr">
        <is>
          <t>B24-T, B25-F</t>
        </is>
      </c>
      <c r="J53" s="5" t="inlineStr">
        <is>
          <t>PassThrough の入出力</t>
        </is>
      </c>
      <c r="K53" s="5" t="inlineStr"/>
      <c r="L53" s="5" t="inlineStr"/>
      <c r="M53" s="5" t="inlineStr">
        <is>
          <t>TC-UT_AUTH-026 何も入力せずに入力が終わったら、1 行目の前で reject する</t>
        </is>
      </c>
      <c r="N53" s="6" t="inlineStr">
        <is>
          <t>未実施</t>
        </is>
      </c>
      <c r="O53" s="6" t="inlineStr"/>
      <c r="P53" s="6" t="inlineStr"/>
      <c r="Q53" s="7" t="inlineStr">
        <is>
          <t>既存テスト：一部 TC-NOUS53_DEV-23（1 行目のあとで終わるときだけ）</t>
        </is>
      </c>
    </row>
  </sheetData>
  <autoFilter ref="A4:Q53"/>
  <conditionalFormatting sqref="A5:Q103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103" showDropDown="0" showInputMessage="0" showErrorMessage="0" allowBlank="1" type="list">
      <formula1>"未実施,OK,NG,保留,対象外"</formula1>
    </dataValidation>
    <dataValidation sqref="D5:D103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COUNTA(観点表!$B$5:$B$103)</f>
        <v/>
      </c>
    </row>
    <row r="6">
      <c r="A6" s="10" t="inlineStr">
        <is>
          <t>正常系</t>
        </is>
      </c>
      <c r="B6" s="10">
        <f>COUNTIF(観点表!$D$5:$D$103,"正常系")</f>
        <v/>
      </c>
    </row>
    <row r="7">
      <c r="A7" s="10" t="inlineStr">
        <is>
          <t>異常系</t>
        </is>
      </c>
      <c r="B7" s="10">
        <f>COUNTIF(観点表!$D$5:$D$103,"異常系")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COUNTIF(観点表!$E$5:$E$103,"エラー処理")</f>
        <v/>
      </c>
    </row>
    <row r="11">
      <c r="A11" s="10" t="inlineStr">
        <is>
          <t>分岐網羅</t>
        </is>
      </c>
      <c r="B11" s="10">
        <f>COUNTIF(観点表!$E$5:$E$103,"分岐網羅")</f>
        <v/>
      </c>
    </row>
    <row r="12">
      <c r="A12" s="10" t="inlineStr">
        <is>
          <t>同値分割</t>
        </is>
      </c>
      <c r="B12" s="10">
        <f>COUNTIF(観点表!$E$5:$E$103,"同値分割")</f>
        <v/>
      </c>
    </row>
    <row r="13">
      <c r="A13" s="10" t="inlineStr">
        <is>
          <t>境界値</t>
        </is>
      </c>
      <c r="B13" s="10">
        <f>COUNTIF(観点表!$E$5:$E$103,"境界値")</f>
        <v/>
      </c>
    </row>
    <row r="14">
      <c r="A14" s="10" t="inlineStr">
        <is>
          <t>状態遷移</t>
        </is>
      </c>
      <c r="B14" s="10">
        <f>COUNTIF(観点表!$E$5:$E$103,"状態遷移")</f>
        <v/>
      </c>
    </row>
    <row r="15">
      <c r="A15" s="10" t="inlineStr">
        <is>
          <t>開発者テスト</t>
        </is>
      </c>
      <c r="B15" s="10">
        <f>COUNTIF(観点表!$E$5:$E$103,"開発者テスト")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COUNTIF(観点表!$K$5:$K$103,"?*")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COUNTIF(観点表!$N$5:$N$103,"未実施")</f>
        <v/>
      </c>
    </row>
    <row r="23">
      <c r="A23" s="10" t="inlineStr">
        <is>
          <t>OK</t>
        </is>
      </c>
      <c r="B23" s="10">
        <f>COUNTIF(観点表!$N$5:$N$103,"OK")</f>
        <v/>
      </c>
    </row>
    <row r="24">
      <c r="A24" s="10" t="inlineStr">
        <is>
          <t>NG</t>
        </is>
      </c>
      <c r="B24" s="10">
        <f>COUNTIF(観点表!$N$5:$N$103,"NG")</f>
        <v/>
      </c>
    </row>
    <row r="25">
      <c r="A25" s="10" t="inlineStr">
        <is>
          <t>保留</t>
        </is>
      </c>
      <c r="B25" s="10">
        <f>COUNTIF(観点表!$N$5:$N$103,"保留")</f>
        <v/>
      </c>
    </row>
    <row r="26">
      <c r="A26" s="10" t="inlineStr">
        <is>
          <t>対象外</t>
        </is>
      </c>
      <c r="B26" s="10">
        <f>COUNTIF(観点表!$N$5:$N$103,"対象外")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TC-NOUS53_DEV-01</t>
        </is>
      </c>
      <c r="B5" s="13" t="inlineStr">
        <is>
          <t>hashPassword が scrypt$16384$8$1$&lt;16バイトBase64&gt;$&lt;64バイトBase64&gt; の文字列を返し、毎回ソルトが変わる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TC-NOUS53_DEV-02</t>
        </is>
      </c>
      <c r="B6" s="13" t="inlineStr">
        <is>
          <t>verifyPassword が一致するパスワードで true、違うパスワードで false を返す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TC-NOUS53_DEV-03</t>
        </is>
      </c>
      <c r="B7" s="13" t="inlineStr">
        <is>
          <t>verifyPassword は stored の形式が不正なら例外にせず false を返す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TC-NOUS53_DEV-04</t>
        </is>
      </c>
      <c r="B8" s="13" t="inlineStr">
        <is>
          <t>login は admin_account がなければ 409 ADMIN_NOT_SET を投げる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TC-NOUS53_DEV-05</t>
        </is>
      </c>
      <c r="B9" s="13" t="inlineStr">
        <is>
          <t>login の成功で failed_count と locked_until を初期化し、セッションと admin.login の監査を残す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TC-NOUS53_DEV-06</t>
        </is>
      </c>
      <c r="B10" s="13" t="inlineStr">
        <is>
          <t>login の失敗で failed_count を +1 し、admin.login_failed の監査を残して 401 LOGIN_FAILED を投げる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TC-NOUS53_DEV-07</t>
        </is>
      </c>
      <c r="B11" s="13" t="inlineStr">
        <is>
          <t>5 回目の失敗で locked_until=現在+15分・failed_count=0 にし、その回は LOGIN_FAILED、次の要求から 429 LOGIN_LOCKED（JST の HH:MM と lockedUntil）、15 分後に解除される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TC-NOUS53_DEV-08</t>
        </is>
      </c>
      <c r="B12" s="13" t="inlineStr">
        <is>
          <t>isLocked・registerFailure・createSession が単体で仕様どおりに動く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TC-NOUS53_DEV-09</t>
        </is>
      </c>
      <c r="B13" s="13" t="inlineStr">
        <is>
          <t>logout がセッションの行を削除し、admin.logout の監査を残す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TC-NOUS53_DEV-10</t>
        </is>
      </c>
      <c r="B14" s="13" t="inlineStr">
        <is>
          <t>getSessionInfo が min(created_at+8時間, 現在+60分) を expiresAt として返す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TC-NOUS53_DEV-11</t>
        </is>
      </c>
      <c r="B15" s="13" t="inlineStr">
        <is>
          <t>POST /admin/api/login が成功で Set-Cookie と { displayName, csrfToken } を 200 で返し、監査を残す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TC-NOUS53_DEV-12</t>
        </is>
      </c>
      <c r="B16" s="13" t="inlineStr">
        <is>
          <t>POST /admin/api/login は password が 12 字未満・129 字以上なら 400 VALIDATION_ERROR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TC-NOUS53_DEV-13</t>
        </is>
      </c>
      <c r="B17" s="13" t="inlineStr">
        <is>
          <t>POST /admin/api/login はパスワード未設定なら 409 ADMIN_NOT_SET、不一致なら 401、ロック中なら 429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TC-NOUS53_DEV-14</t>
        </is>
      </c>
      <c r="B18" s="13" t="inlineStr">
        <is>
          <t>POST /admin/api/logout が 204 と Cookie 削除ヘッダーを返し、セッション行を削除して監査を残す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TC-NOUS53_DEV-15</t>
        </is>
      </c>
      <c r="B19" s="13" t="inlineStr">
        <is>
          <t>POST /admin/api/logout は CSRF トークンがなければ 403 CSRF_INVALID、セッションがなければ 401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TC-NOUS53_DEV-16</t>
        </is>
      </c>
      <c r="B20" s="13" t="inlineStr">
        <is>
          <t>GET /admin/api/session は有効なセッションで 200 と { displayName, csrfToken, expiresAt } を返し、last_seen_at を更新する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TC-NOUS53_DEV-17</t>
        </is>
      </c>
      <c r="B21" s="13" t="inlineStr">
        <is>
          <t>GET /admin/api/session はパスワード未設定なら Cookie なしでも 409 ADMIN_NOT_SET、設定済みで Cookie なしなら 401 ADMIN_UNAUTHORIZED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TC-NOUS53_DEV-18</t>
        </is>
      </c>
      <c r="B22" s="13" t="inlineStr">
        <is>
          <t>setAdminPassword は admin_account がなければ新規作成（ULID・Kaine Yamashiro）する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TC-NOUS53_DEV-19</t>
        </is>
      </c>
      <c r="B23" s="13" t="inlineStr">
        <is>
          <t>setAdminPassword は既存の admin_account を更新し、failed_count=0・locked_until=NULL に戻して全セッションを削除する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TC-NOUS53_DEV-20</t>
        </is>
      </c>
      <c r="B24" s="13" t="inlineStr">
        <is>
          <t>validatePasswordInput と setPasswordCli が不一致・12字未満・129字以上を拒み、終了コード 1 とエラーメッセージ（パスワード値を含まない）を返す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TC-NOUS53_DEV-21</t>
        </is>
      </c>
      <c r="B25" s="13" t="inlineStr">
        <is>
          <t>setPasswordCli が正常入力で DB に保存して終了コード 0 を返し、readTwoPasswordsHidden は入力文字をエコーしない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TC-NOUS53_DEV-22</t>
        </is>
      </c>
      <c r="B26" s="13" t="inlineStr">
        <is>
          <t>readTwoPasswordsHidden は Ctrl+C（\\u0003）が押されたら rl を閉じて reject する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TC-NOUS53_DEV-23</t>
        </is>
      </c>
      <c r="B27" s="13" t="inlineStr">
        <is>
          <t>readTwoPasswordsHidden は入力が途中で終了（input.end()）したら reject する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TC-UT_AUTH-001</t>
        </is>
      </c>
      <c r="B28" s="13" t="inlineStr">
        <is>
          <t>保存の形が少しでも違えば、正しいパスワードでも例外にせず false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TC-UT_AUTH-002</t>
        </is>
      </c>
      <c r="B29" s="13" t="inlineStr">
        <is>
          <t>日本語と絵文字を含むパスワードもハッシュして照合できる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TC-UT_AUTH-003</t>
        </is>
      </c>
      <c r="B30" s="13" t="inlineStr">
        <is>
          <t>前後の空白・大文字小文字の違いは別のパスワードとする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TC-UT_AUTH-004</t>
        </is>
      </c>
      <c r="B31" s="13" t="inlineStr">
        <is>
          <t>isLocked は locked_until が今より後のときだけ真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TC-UT_AUTH-005</t>
        </is>
      </c>
      <c r="B32" s="13" t="inlineStr">
        <is>
          <t>4 回目の失敗ではロックせず、failed_count を 4 にする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TC-UT_AUTH-006</t>
        </is>
      </c>
      <c r="B33" s="13" t="inlineStr">
        <is>
          <t>ロック中は正しいパスワードでも 429 にし、照合も失敗の数え上げも監査もしない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TC-UT_AUTH-007</t>
        </is>
      </c>
      <c r="B34" s="13" t="inlineStr">
        <is>
          <t>locked_until ちょうどの時刻には正しいパスワードで入れ、ロックを解く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TC-UT_AUTH-008</t>
        </is>
      </c>
      <c r="B35" s="13" t="inlineStr">
        <is>
          <t>ロックが明けたあとの 1 回の失敗では、すぐにはロックしない（数え直しは 1 から）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TC-UT_AUTH-009</t>
        </is>
      </c>
      <c r="B36" s="13" t="inlineStr">
        <is>
          <t>解除の時刻は JST の HH:MM で、日付をまたぐときも 0 時台で表す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TC-UT_AUTH-010</t>
        </is>
      </c>
      <c r="B37" s="13" t="inlineStr">
        <is>
          <t>成功したら、それまでの失敗の数を 0 に戻す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TC-UT_AUTH-011</t>
        </is>
      </c>
      <c r="B38" s="13" t="inlineStr">
        <is>
          <t>続けてログインするとセッションが別々にでき、どちらも session_hash は sessionId の SHA-256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TC-UT_AUTH-012</t>
        </is>
      </c>
      <c r="B39" s="13" t="inlineStr">
        <is>
          <t>logout は指定のセッションだけを消し、ほかのセッションは残す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TC-UT_AUTH-013</t>
        </is>
      </c>
      <c r="B40" s="13" t="inlineStr">
        <is>
          <t>getSessionInfo の expiresAt は 8 時間と 60 分の早いほう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TC-UT_AUTH-014</t>
        </is>
      </c>
      <c r="B41" s="13" t="inlineStr">
        <is>
          <t>ロックの期間は 15 分で、5 回目の失敗の時刻から数える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TC-UT_AUTH-015</t>
        </is>
      </c>
      <c r="B42" s="13" t="inlineStr">
        <is>
          <t>本文が読めない・password が文字列でないときは 400 で「パスワードを入力してください」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TC-UT_AUTH-016</t>
        </is>
      </c>
      <c r="B43" s="13" t="inlineStr">
        <is>
          <t>12 字・128 字は検証を通り、照合の結果（401）になる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TC-UT_AUTH-017</t>
        </is>
      </c>
      <c r="B44" s="13" t="inlineStr">
        <is>
          <t>最終操作から 60 分たったセッションで GET /session は 401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TC-UT_AUTH-018</t>
        </is>
      </c>
      <c r="B45" s="13" t="inlineStr">
        <is>
          <t>logout したあとは同じ Cookie で GET /session が 401 になる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TC-UT_AUTH-019</t>
        </is>
      </c>
      <c r="B46" s="13" t="inlineStr">
        <is>
          <t>GET /session は呼ぶたびに expiresAt を今から 60 分後に延ばす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TC-UT_AUTH-020</t>
        </is>
      </c>
      <c r="B47" s="13" t="inlineStr">
        <is>
          <t>validatePasswordInput の長さの境界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TC-UT_AUTH-021</t>
        </is>
      </c>
      <c r="B48" s="13" t="inlineStr">
        <is>
          <t>2 回の入力が違えば、長さより先に「一致しません」を返す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TC-UT_AUTH-022</t>
        </is>
      </c>
      <c r="B49" s="13" t="inlineStr">
        <is>
          <t>パスワードを設定し直すと、新しいパスワードで入れて、古いパスワードでは入れない</t>
        </is>
      </c>
      <c r="C49" s="13" t="inlineStr">
        <is>
          <t>未作成</t>
        </is>
      </c>
      <c r="D49" s="13" t="inlineStr"/>
      <c r="E49" s="13" t="inlineStr"/>
      <c r="F49" s="13" t="inlineStr"/>
    </row>
    <row r="50">
      <c r="A50" s="13" t="inlineStr">
        <is>
          <t>TC-UT_AUTH-023</t>
        </is>
      </c>
      <c r="B50" s="13" t="inlineStr">
        <is>
          <t>入力の検証に失敗したら DB のファイルを作らずに終了コード 1 を返す</t>
        </is>
      </c>
      <c r="C50" s="13" t="inlineStr">
        <is>
          <t>未作成</t>
        </is>
      </c>
      <c r="D50" s="13" t="inlineStr"/>
      <c r="E50" s="13" t="inlineStr"/>
      <c r="F50" s="13" t="inlineStr"/>
    </row>
    <row r="51">
      <c r="A51" s="13" t="inlineStr">
        <is>
          <t>TC-UT_AUTH-024</t>
        </is>
      </c>
      <c r="B51" s="13" t="inlineStr">
        <is>
          <t>環境変数が不正なら ConfigError で止まり、DB のファイルを作らない</t>
        </is>
      </c>
      <c r="C51" s="13" t="inlineStr">
        <is>
          <t>未作成</t>
        </is>
      </c>
      <c r="D51" s="13" t="inlineStr"/>
      <c r="E51" s="13" t="inlineStr"/>
      <c r="F51" s="13" t="inlineStr"/>
    </row>
    <row r="52">
      <c r="A52" s="13" t="inlineStr">
        <is>
          <t>TC-UT_AUTH-025</t>
        </is>
      </c>
      <c r="B52" s="13" t="inlineStr">
        <is>
          <t>2 行がまとめて届いても、1 行目と 2 行目に分けて返し、プロンプトを 2 回出す</t>
        </is>
      </c>
      <c r="C52" s="13" t="inlineStr">
        <is>
          <t>未作成</t>
        </is>
      </c>
      <c r="D52" s="13" t="inlineStr"/>
      <c r="E52" s="13" t="inlineStr"/>
      <c r="F52" s="13" t="inlineStr"/>
    </row>
    <row r="53">
      <c r="A53" s="13" t="inlineStr">
        <is>
          <t>TC-UT_AUTH-026</t>
        </is>
      </c>
      <c r="B53" s="13" t="inlineStr">
        <is>
          <t>何も入力せずに入力が終わったら、1 行目の前で reject する</t>
        </is>
      </c>
      <c r="C53" s="13" t="inlineStr">
        <is>
          <t>未作成</t>
        </is>
      </c>
      <c r="D53" s="13" t="inlineStr"/>
      <c r="E53" s="13" t="inlineStr"/>
      <c r="F53" s="13" t="inlineStr"/>
    </row>
  </sheetData>
  <autoFilter ref="A4:F5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管理者の認証（auth・cli）</t>
        </is>
      </c>
    </row>
    <row r="4">
      <c r="A4" s="14" t="inlineStr">
        <is>
          <t>対象ファイル</t>
        </is>
      </c>
      <c r="B4" s="15" t="inlineStr">
        <is>
          <t>apps/server/src/admin/auth/authRoutes.ts, apps/server/src/admin/auth/authService.ts, apps/server/src/admin/auth/passwordHasher.ts, apps/server/src/admin/cli/setPassword.ts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node）、Hono 4.6</t>
        </is>
      </c>
    </row>
    <row r="6">
      <c r="A6" s="14" t="inlineStr">
        <is>
          <t>テストファイル</t>
        </is>
      </c>
      <c r="B6" s="15" t="inlineStr">
        <is>
          <t>apps/server/src/admin/auth/authRoutes.test.ts（実装時、NOUS-53）, apps/server/src/admin/auth/authService.test.ts（実装時、NOUS-53）, apps/server/src/admin/auth/passwordHasher.test.ts（実装時、NOUS-53）, apps/server/src/admin/cli/setPassword.test.ts（実装時、NOUS-53）, apps/server/src/admin/auth/authRoutes.ut.test.ts（単体テストで追加）, apps/server/src/admin/auth/authService.ut.test.ts（単体テストで追加）, apps/server/src/admin/auth/passwordHasher.ut.test.ts（単体テストで追加）, apps/server/src/admin/cli/setPassword.ut.test.ts（単体テストで追加）</t>
        </is>
      </c>
    </row>
    <row r="7">
      <c r="A7" s="14" t="inlineStr">
        <is>
          <t>外部依存</t>
        </is>
      </c>
      <c r="B7" s="15" t="inlineStr">
        <is>
          <t>SQLite（一時 DB）, Clock（FakeClock）, node:crypto（scrypt・randomBytes）, node:readline（PassThrough で差し替え）, process.env（setPasswordCli は env を引数で差し替え）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locked_until がない</t>
        </is>
      </c>
      <c r="C11" s="17" t="inlineStr">
        <is>
          <t>auth/authService.ts:60</t>
        </is>
      </c>
    </row>
    <row r="12">
      <c r="A12" s="17" t="inlineStr">
        <is>
          <t>B2</t>
        </is>
      </c>
      <c r="B12" s="17" t="inlineStr">
        <is>
          <t>locked_until &gt; now</t>
        </is>
      </c>
      <c r="C12" s="17" t="inlineStr">
        <is>
          <t>auth/authService.ts:61</t>
        </is>
      </c>
    </row>
    <row r="13">
      <c r="A13" s="17" t="inlineStr">
        <is>
          <t>B3</t>
        </is>
      </c>
      <c r="B13" s="17" t="inlineStr">
        <is>
          <t>失敗の数が 5 以上（ロックする）</t>
        </is>
      </c>
      <c r="C13" s="17" t="inlineStr">
        <is>
          <t>auth/authService.ts:69</t>
        </is>
      </c>
    </row>
    <row r="14">
      <c r="A14" s="17" t="inlineStr">
        <is>
          <t>B4</t>
        </is>
      </c>
      <c r="B14" s="17" t="inlineStr">
        <is>
          <t>!admin（パスワード未設定）</t>
        </is>
      </c>
      <c r="C14" s="17" t="inlineStr">
        <is>
          <t>auth/authService.ts:114</t>
        </is>
      </c>
    </row>
    <row r="15">
      <c r="A15" s="17" t="inlineStr">
        <is>
          <t>B5</t>
        </is>
      </c>
      <c r="B15" s="17" t="inlineStr">
        <is>
          <t>ロック中</t>
        </is>
      </c>
      <c r="C15" s="17" t="inlineStr">
        <is>
          <t>auth/authService.ts:119</t>
        </is>
      </c>
    </row>
    <row r="16">
      <c r="A16" s="17" t="inlineStr">
        <is>
          <t>B6</t>
        </is>
      </c>
      <c r="B16" s="17" t="inlineStr">
        <is>
          <t>!verified（照合の失敗）</t>
        </is>
      </c>
      <c r="C16" s="17" t="inlineStr">
        <is>
          <t>auth/authService.ts:130</t>
        </is>
      </c>
    </row>
    <row r="17">
      <c r="A17" s="17" t="inlineStr">
        <is>
          <t>B7</t>
        </is>
      </c>
      <c r="B17" s="17" t="inlineStr">
        <is>
          <t>findAdmin(tx) がない（?? admin）</t>
        </is>
      </c>
      <c r="C17" s="17" t="inlineStr">
        <is>
          <t>auth/authService.ts:132</t>
        </is>
      </c>
    </row>
    <row r="18">
      <c r="A18" s="17" t="inlineStr">
        <is>
          <t>B8</t>
        </is>
      </c>
      <c r="B18" s="17" t="inlineStr">
        <is>
          <t>作成 + 8 時間 &lt; 今 + 60 分（8 時間の側を返す）</t>
        </is>
      </c>
      <c r="C18" s="17" t="inlineStr">
        <is>
          <t>auth/authService.ts:192</t>
        </is>
      </c>
    </row>
    <row r="19">
      <c r="A19" s="17" t="inlineStr">
        <is>
          <t>B9</t>
        </is>
      </c>
      <c r="B19" s="17" t="inlineStr">
        <is>
          <t>parts.length !== 6</t>
        </is>
      </c>
      <c r="C19" s="17" t="inlineStr">
        <is>
          <t>auth/passwordHasher.ts:47</t>
        </is>
      </c>
    </row>
    <row r="20">
      <c r="A20" s="17" t="inlineStr">
        <is>
          <t>B10</t>
        </is>
      </c>
      <c r="B20" s="17" t="inlineStr">
        <is>
          <t>scheme が scrypt でない・空の部分がある</t>
        </is>
      </c>
      <c r="C20" s="17" t="inlineStr">
        <is>
          <t>auth/passwordHasher.ts:49</t>
        </is>
      </c>
    </row>
    <row r="21">
      <c r="A21" s="17" t="inlineStr">
        <is>
          <t>B11</t>
        </is>
      </c>
      <c r="B21" s="17" t="inlineStr">
        <is>
          <t>N・r・p が数字だけでない</t>
        </is>
      </c>
      <c r="C21" s="17" t="inlineStr">
        <is>
          <t>auth/passwordHasher.ts:52</t>
        </is>
      </c>
    </row>
    <row r="22">
      <c r="A22" s="17" t="inlineStr">
        <is>
          <t>B12</t>
        </is>
      </c>
      <c r="B22" s="17" t="inlineStr">
        <is>
          <t>N・r・p が 16384・8・1 と違う</t>
        </is>
      </c>
      <c r="C22" s="17" t="inlineStr">
        <is>
          <t>auth/passwordHasher.ts:58</t>
        </is>
      </c>
    </row>
    <row r="23">
      <c r="A23" s="17" t="inlineStr">
        <is>
          <t>B13</t>
        </is>
      </c>
      <c r="B23" s="17" t="inlineStr">
        <is>
          <t>ソルト・ハッシュが正しい Base64 でない・長さが違う</t>
        </is>
      </c>
      <c r="C23" s="17" t="inlineStr">
        <is>
          <t>auth/passwordHasher.ts:23-25・63</t>
        </is>
      </c>
    </row>
    <row r="24">
      <c r="A24" s="17" t="inlineStr">
        <is>
          <t>B14</t>
        </is>
      </c>
      <c r="B24" s="17" t="inlineStr">
        <is>
          <t>scrypt の計算で例外（catch）</t>
        </is>
      </c>
      <c r="C24" s="17" t="inlineStr">
        <is>
          <t>auth/passwordHasher.ts:70</t>
        </is>
      </c>
    </row>
    <row r="25">
      <c r="A25" s="17" t="inlineStr">
        <is>
          <t>B15</t>
        </is>
      </c>
      <c r="B25" s="17" t="inlineStr">
        <is>
          <t>本文が JSON として読めない（{} にする）</t>
        </is>
      </c>
      <c r="C25" s="17" t="inlineStr">
        <is>
          <t>auth/authRoutes.ts:33</t>
        </is>
      </c>
    </row>
    <row r="26">
      <c r="A26" s="17" t="inlineStr">
        <is>
          <t>B16</t>
        </is>
      </c>
      <c r="B26" s="17" t="inlineStr">
        <is>
          <t>admin_account がない（GET /session の ADMIN_NOT_SET）</t>
        </is>
      </c>
      <c r="C26" s="17" t="inlineStr">
        <is>
          <t>auth/authRoutes.ts:21</t>
        </is>
      </c>
    </row>
    <row r="27">
      <c r="A27" s="17" t="inlineStr">
        <is>
          <t>B17</t>
        </is>
      </c>
      <c r="B27" s="17" t="inlineStr">
        <is>
          <t>2 回の入力が違う</t>
        </is>
      </c>
      <c r="C27" s="17" t="inlineStr">
        <is>
          <t>cli/setPassword.ts:25</t>
        </is>
      </c>
    </row>
    <row r="28">
      <c r="A28" s="17" t="inlineStr">
        <is>
          <t>B18</t>
        </is>
      </c>
      <c r="B28" s="17" t="inlineStr">
        <is>
          <t>12 字未満</t>
        </is>
      </c>
      <c r="C28" s="17" t="inlineStr">
        <is>
          <t>cli/setPassword.ts:28</t>
        </is>
      </c>
    </row>
    <row r="29">
      <c r="A29" s="17" t="inlineStr">
        <is>
          <t>B19</t>
        </is>
      </c>
      <c r="B29" s="17" t="inlineStr">
        <is>
          <t>128 字を超える</t>
        </is>
      </c>
      <c r="C29" s="17" t="inlineStr">
        <is>
          <t>cli/setPassword.ts:31</t>
        </is>
      </c>
    </row>
    <row r="30">
      <c r="A30" s="17" t="inlineStr">
        <is>
          <t>B20</t>
        </is>
      </c>
      <c r="B30" s="17" t="inlineStr">
        <is>
          <t>admin_account がない（INSERT）</t>
        </is>
      </c>
      <c r="C30" s="17" t="inlineStr">
        <is>
          <t>cli/setPassword.ts:55</t>
        </is>
      </c>
    </row>
    <row r="31">
      <c r="A31" s="17" t="inlineStr">
        <is>
          <t>B21</t>
        </is>
      </c>
      <c r="B31" s="17" t="inlineStr">
        <is>
          <t>io の各項目が未指定（実物の標準入出力・process.env を使う）</t>
        </is>
      </c>
      <c r="C31" s="17" t="inlineStr">
        <is>
          <t>cli/setPassword.ts:178-180・189-190</t>
        </is>
      </c>
    </row>
    <row r="32">
      <c r="A32" s="17" t="inlineStr">
        <is>
          <t>B22</t>
        </is>
      </c>
      <c r="B32" s="17" t="inlineStr">
        <is>
          <t>入力の検証の失敗（終了コード 1）</t>
        </is>
      </c>
      <c r="C32" s="17" t="inlineStr">
        <is>
          <t>cli/setPassword.ts:184</t>
        </is>
      </c>
    </row>
    <row r="33">
      <c r="A33" s="17" t="inlineStr">
        <is>
          <t>B23</t>
        </is>
      </c>
      <c r="B33" s="17" t="inlineStr">
        <is>
          <t>待つ前に行が届いている（lineQueue から返す）</t>
        </is>
      </c>
      <c r="C33" s="17" t="inlineStr">
        <is>
          <t>cli/setPassword.ts:146</t>
        </is>
      </c>
    </row>
    <row r="34">
      <c r="A34" s="17" t="inlineStr">
        <is>
          <t>B24</t>
        </is>
      </c>
      <c r="B34" s="17" t="inlineStr">
        <is>
          <t>待つ前に入力が終わっている（abortedError）</t>
        </is>
      </c>
      <c r="C34" s="17" t="inlineStr">
        <is>
          <t>cli/setPassword.ts:151</t>
        </is>
      </c>
    </row>
    <row r="35">
      <c r="A35" s="17" t="inlineStr">
        <is>
          <t>B25</t>
        </is>
      </c>
      <c r="B35" s="17" t="inlineStr">
        <is>
          <t>Ctrl+C（SIGINT）で終わった（偽は入力の終了）</t>
        </is>
      </c>
      <c r="C35" s="17" t="inlineStr">
        <is>
          <t>cli/setPassword.ts:120-133</t>
        </is>
      </c>
    </row>
    <row r="37">
      <c r="A37" s="14" t="inlineStr">
        <is>
          <t>確認事項・潜在バグ</t>
        </is>
      </c>
    </row>
    <row r="38" ht="30" customHeight="1">
      <c r="A38" s="18" t="inlineStr">
        <is>
          <t>・確認事項 1：login は scrypt の照合をトランザクションの外で先に行う（実装のコメントのとおり）。設計書 2章は「手順 3〜5 は1つのトランザクション」としているが、ロックの判定は照合の前に読んだ行で行うため、同時に 2 つの要求が来たとき、5 回目の失敗と同じ瞬間の正しいパスワードの要求は通りうる。管理者は 1 名・ブラウザ 1 つの前提なので実害は小さく、疑いではなく確認事項とした。</t>
        </is>
      </c>
    </row>
    <row r="39" ht="30" customHeight="1">
      <c r="A39" s="18" t="inlineStr">
        <is>
          <t>・分岐 B7 の真（トランザクションの中で admin_account が消えている）は、照合の間に管理者を消す操作がないため通らない守りの分岐。B14 の真（scrypt の計算の例外）は、パラメータを 16384・8・1 に固定して検証しているため通らない。</t>
        </is>
      </c>
    </row>
    <row r="40" ht="30" customHeight="1">
      <c r="A40" s="18" t="inlineStr">
        <is>
          <t>・分岐 B21 の真（io を省いて実物の標準入出力・process.env を使う）は、テストで実物の端末と環境変数に触れないため通さない。CLI の起動（isMain）も同じ理由で対象外。</t>
        </is>
      </c>
    </row>
    <row r="41" ht="30" customHeight="1">
      <c r="A41" s="18" t="inlineStr">
        <is>
          <t>・管理者のパスワードのハッシュがログに出ないことは、authService・setPassword がロガーを使っていないことで確かめた（NOUS-90 の確認事項 3）。</t>
        </is>
      </c>
    </row>
  </sheetData>
  <mergeCells count="4">
    <mergeCell ref="A40:C40"/>
    <mergeCell ref="A41:C41"/>
    <mergeCell ref="A38:C38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2026-10-26T06:00:31Z</dcterms:created>
  <dcterms:modified xsi:type="dcterms:W3CDTF">2026-10-26T06:00:32Z</dcterms:modified>
</cp:coreProperties>
</file>