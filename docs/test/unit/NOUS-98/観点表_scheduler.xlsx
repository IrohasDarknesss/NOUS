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'観点表'!$A$4:$Q$48</definedName>
    <definedName name="_xlnm.Print_Titles" localSheetId="0">'観点表'!$4:$4</definedName>
    <definedName name="_xlnm._FilterDatabase" localSheetId="2" hidden="1">'テストデータ'!$A$4:$F$48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スケジューラー B01（scheduler/scheduler.ts）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TC-NOUS59_DEV-01</t>
        </is>
      </c>
      <c r="C5" s="5" t="inlineStr">
        <is>
          <t>runDueCycle / runCycle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running の世界で 1 巡を実行し、active の全員に 1 回ずつ割り当てる（stopped の住人は除く）</t>
        </is>
      </c>
      <c r="G5" s="5" t="inlineStr">
        <is>
          <t>前提：running の世界（seedRunningWorld、既定の world_settings）、active 2 体・stopped 1 体
入力：runDueCycle()</t>
        </is>
      </c>
      <c r="H5" s="5" t="inlineStr">
        <is>
          <t>true。runOpportunity は active の 2 体に 1 回ずつ、ctx に worldId・cycleNo 1・llmMode・config・llm・signal。cycle_no が 1</t>
        </is>
      </c>
      <c r="I5" s="5" t="inlineStr">
        <is>
          <t>B5-T, B6-F, B7-F, B8-T, B12-T, B12-F, B13-F, B14-F, B15-F, B26-T</t>
        </is>
      </c>
      <c r="J5" s="5" t="inlineStr">
        <is>
          <t>FakeClock 2026-10-22T09:00:00.000Z、runOpportunity・enterLimitStopped を vi.fn で差し替え、random → 0.5</t>
        </is>
      </c>
      <c r="K5" s="5" t="inlineStr"/>
      <c r="L5" s="5" t="inlineStr"/>
      <c r="M5" s="5" t="inlineStr">
        <is>
          <t>TC-NOUS59_DEV-01 running の世界で 1 巡を実行し、active の全員に 1 回ずつ割り当てる（停止中の住人は除く）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既存テスト：実装時のテスト（NOUS-59）</t>
        </is>
      </c>
    </row>
    <row r="6">
      <c r="A6" s="4" t="n">
        <v>2</v>
      </c>
      <c r="B6" s="4" t="inlineStr">
        <is>
          <t>TC-NOUS59_DEV-02</t>
        </is>
      </c>
      <c r="C6" s="5" t="inlineStr">
        <is>
          <t>runDueCycle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次の巡は巡の開始＋cycle_minutes で、それまでは巡を始めない</t>
        </is>
      </c>
      <c r="G6" s="5" t="inlineStr">
        <is>
          <t>前提：running の世界（seedRunningWorld、既定の world_settings）、cycle_minutes 20
入力：runDueCycle() → 20 分進めて runDueCycle()</t>
        </is>
      </c>
      <c r="H6" s="5" t="inlineStr">
        <is>
          <t>next_cycle_at = 開始＋20 分。途中は false、20 分後に true。cycle_no 2</t>
        </is>
      </c>
      <c r="I6" s="5" t="inlineStr">
        <is>
          <t>B14-T, B16-F</t>
        </is>
      </c>
      <c r="J6" s="5" t="inlineStr">
        <is>
          <t>FakeClock 2026-10-22T09:00:00.000Z、runOpportunity・enterLimitStopped を vi.fn で差し替え、random → 0.5</t>
        </is>
      </c>
      <c r="K6" s="5" t="inlineStr"/>
      <c r="L6" s="5" t="inlineStr"/>
      <c r="M6" s="5" t="inlineStr">
        <is>
          <t>TC-NOUS59_DEV-02 次の巡は周期の後（next_cycle_at = 巡の開始＋cycle_minutes）で、それまでは巡を始めない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既存テスト：実装時のテスト（NOUS-59）</t>
        </is>
      </c>
    </row>
    <row r="7">
      <c r="A7" s="4" t="n">
        <v>3</v>
      </c>
      <c r="B7" s="4" t="inlineStr">
        <is>
          <t>TC-NOUS59_DEV-03</t>
        </is>
      </c>
      <c r="C7" s="5" t="inlineStr">
        <is>
          <t>runDueCycle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1 巡が周期より長ければ、次の巡を巡の終わりまで遅らせる</t>
        </is>
      </c>
      <c r="G7" s="5" t="inlineStr">
        <is>
          <t>前提：running の世界（seedRunningWorld、既定の world_settings）、cycle_minutes 15
入力：runOpportunity の中で時計を 20 分進める</t>
        </is>
      </c>
      <c r="H7" s="5" t="inlineStr">
        <is>
          <t>next_cycle_at = 開始＋20 分（巡の終わり）</t>
        </is>
      </c>
      <c r="I7" s="5" t="inlineStr">
        <is>
          <t>B16-T</t>
        </is>
      </c>
      <c r="J7" s="5" t="inlineStr">
        <is>
          <t>FakeClock 2026-10-22T09:00:00.000Z、runOpportunity・enterLimitStopped を vi.fn で差し替え、random → 0.5</t>
        </is>
      </c>
      <c r="K7" s="5" t="inlineStr"/>
      <c r="L7" s="5" t="inlineStr"/>
      <c r="M7" s="5" t="inlineStr">
        <is>
          <t>TC-NOUS59_DEV-03 1巡が周期より長ければ、次の巡は巡の終わりまで遅らせる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既存テスト：実装時のテスト（NOUS-59）</t>
        </is>
      </c>
    </row>
    <row r="8">
      <c r="A8" s="4" t="n">
        <v>4</v>
      </c>
      <c r="B8" s="4" t="inlineStr">
        <is>
          <t>TC-NOUS59_DEV-04</t>
        </is>
      </c>
      <c r="C8" s="5" t="inlineStr">
        <is>
          <t>runCycle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max_concurrency=1 を超えて同時に実行しない</t>
        </is>
      </c>
      <c r="G8" s="5" t="inlineStr">
        <is>
          <t>前提：running の世界（seedRunningWorld、既定の world_settings）、active 4 体
入力：max_concurrency 1</t>
        </is>
      </c>
      <c r="H8" s="5" t="inlineStr">
        <is>
          <t>同時に動く数の最大が 1、4 件とも呼ばれる</t>
        </is>
      </c>
      <c r="I8" s="5" t="inlineStr"/>
      <c r="J8" s="5" t="inlineStr">
        <is>
          <t>FakeClock 2026-10-22T09:00:00.000Z、runOpportunity・enterLimitStopped を vi.fn で差し替え、random → 0.5、release まで終わらない runOpportunity</t>
        </is>
      </c>
      <c r="K8" s="5" t="inlineStr"/>
      <c r="L8" s="5" t="inlineStr"/>
      <c r="M8" s="5" t="inlineStr">
        <is>
          <t>TC-NOUS59_DEV-04 max_concurrency=1 を超えて同時に runOpportunity を呼ばない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既存テスト：実装時のテスト（NOUS-59）</t>
        </is>
      </c>
    </row>
    <row r="9">
      <c r="A9" s="4" t="n">
        <v>5</v>
      </c>
      <c r="B9" s="4" t="inlineStr">
        <is>
          <t>TC-NOUS59_DEV-05</t>
        </is>
      </c>
      <c r="C9" s="5" t="inlineStr">
        <is>
          <t>runCycle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max_concurrency=2 を超えて同時に実行しない</t>
        </is>
      </c>
      <c r="G9" s="5" t="inlineStr">
        <is>
          <t>前提：running の世界（seedRunningWorld、既定の world_settings）、active 4 体
入力：max_concurrency 2</t>
        </is>
      </c>
      <c r="H9" s="5" t="inlineStr">
        <is>
          <t>同時に動く数の最大が 2、4 件とも呼ばれる</t>
        </is>
      </c>
      <c r="I9" s="5" t="inlineStr"/>
      <c r="J9" s="5" t="inlineStr">
        <is>
          <t>FakeClock 2026-10-22T09:00:00.000Z、runOpportunity・enterLimitStopped を vi.fn で差し替え、random → 0.5、release まで終わらない runOpportunity</t>
        </is>
      </c>
      <c r="K9" s="5" t="inlineStr"/>
      <c r="L9" s="5" t="inlineStr"/>
      <c r="M9" s="5" t="inlineStr">
        <is>
          <t>TC-NOUS59_DEV-05 max_concurrency=2 を超えて同時に runOpportunity を呼ばない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既存テスト：実装時のテスト（NOUS-59）</t>
        </is>
      </c>
    </row>
    <row r="10">
      <c r="A10" s="4" t="n">
        <v>6</v>
      </c>
      <c r="B10" s="4" t="inlineStr">
        <is>
          <t>TC-NOUS59_DEV-06</t>
        </is>
      </c>
      <c r="C10" s="5" t="inlineStr">
        <is>
          <t>runDueCycle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世界が running でなければ巡を始めない</t>
        </is>
      </c>
      <c r="G10" s="5" t="inlineStr">
        <is>
          <t>前提：paused の世界
入力：runDueCycle()</t>
        </is>
      </c>
      <c r="H10" s="5" t="inlineStr">
        <is>
          <t>false。runOpportunity は呼ばれない</t>
        </is>
      </c>
      <c r="I10" s="5" t="inlineStr">
        <is>
          <t>B13-T</t>
        </is>
      </c>
      <c r="J10" s="5" t="inlineStr">
        <is>
          <t>FakeClock 2026-10-22T09:00:00.000Z、runOpportunity・enterLimitStopped を vi.fn で差し替え、random → 0.5</t>
        </is>
      </c>
      <c r="K10" s="5" t="inlineStr"/>
      <c r="L10" s="5" t="inlineStr"/>
      <c r="M10" s="5" t="inlineStr">
        <is>
          <t>TC-NOUS59_DEV-06 世界が running でなければ巡を始めない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既存テスト：実装時のテスト（NOUS-59）</t>
        </is>
      </c>
    </row>
    <row r="11">
      <c r="A11" s="4" t="n">
        <v>7</v>
      </c>
      <c r="B11" s="4" t="inlineStr">
        <is>
          <t>TC-NOUS59_DEV-07</t>
        </is>
      </c>
      <c r="C11" s="5" t="inlineStr">
        <is>
          <t>start / loop / wake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loop は running でない間は待ち、wake で確かめ直して巡を始める</t>
        </is>
      </c>
      <c r="G11" s="5" t="inlineStr">
        <is>
          <t>前提：paused の世界、active 1 体
入力：start() → running にして wake()</t>
        </is>
      </c>
      <c r="H11" s="5" t="inlineStr">
        <is>
          <t>wake の前は呼ばれず、wake の後に 1 回呼ばれる</t>
        </is>
      </c>
      <c r="I11" s="5" t="inlineStr">
        <is>
          <t>B2-F, B3-F, B4-F, B17-F, B18-F, B19-F, B24-T, B25-F</t>
        </is>
      </c>
      <c r="J11" s="5" t="inlineStr">
        <is>
          <t>FakeClock 2026-10-22T09:00:00.000Z、runOpportunity・enterLimitStopped を vi.fn で差し替え、random → 0.5</t>
        </is>
      </c>
      <c r="K11" s="5" t="inlineStr"/>
      <c r="L11" s="5" t="inlineStr"/>
      <c r="M11" s="5" t="inlineStr">
        <is>
          <t>TC-NOUS59_DEV-07 start した loop は、running でない間は待ち、wake で確かめ直して巡を始める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既存テスト：実装時のテスト（NOUS-59）</t>
        </is>
      </c>
    </row>
    <row r="12">
      <c r="A12" s="4" t="n">
        <v>8</v>
      </c>
      <c r="B12" s="4" t="inlineStr">
        <is>
          <t>TC-NOUS59_DEV-08</t>
        </is>
      </c>
      <c r="C12" s="5" t="inlineStr">
        <is>
          <t>pickCount / shuffleBySeed / runCycle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activity_percent の割合（切り上げ）だけ選び、同じ種なら同じ順</t>
        </is>
      </c>
      <c r="G12" s="5" t="inlineStr">
        <is>
          <t>前提：running の世界（seedRunningWorld、既定の world_settings）、active 4 体、activity_percent 50
入力：pickCount(10,100)・(10,35)・(3,10)・(0,50)、shuffleBySeed(6 件, 101)</t>
        </is>
      </c>
      <c r="H12" s="5" t="inlineStr">
        <is>
          <t>10・4・1・0。同じ種で同じ順で要素は保存。巡では 2 体に割り当てる</t>
        </is>
      </c>
      <c r="I12" s="5" t="inlineStr">
        <is>
          <t>B1-T, B1-F</t>
        </is>
      </c>
      <c r="J12" s="5" t="inlineStr">
        <is>
          <t>FakeClock 2026-10-22T09:00:00.000Z、runOpportunity・enterLimitStopped を vi.fn で差し替え、random → 0.5</t>
        </is>
      </c>
      <c r="K12" s="5" t="inlineStr"/>
      <c r="L12" s="5" t="inlineStr"/>
      <c r="M12" s="5" t="inlineStr">
        <is>
          <t>TC-NOUS59_DEV-08 activity_percent の割合（切り上げ）だけ選び、同じ種なら同じ順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既存テスト：実装時のテスト（NOUS-59）</t>
        </is>
      </c>
    </row>
    <row r="13">
      <c r="A13" s="4" t="n">
        <v>9</v>
      </c>
      <c r="B13" s="4" t="inlineStr">
        <is>
          <t>TC-NOUS59_DEV-09</t>
        </is>
      </c>
      <c r="C13" s="5" t="inlineStr">
        <is>
          <t>stopAll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stopAll('pause') の後は新しい割り当てをせず、shouldContinue が false になり 0 を返す</t>
        </is>
      </c>
      <c r="G13" s="5" t="inlineStr">
        <is>
          <t>前提：running の世界（seedRunningWorld、既定の world_settings）、active 3 体、max_concurrency 1
入力：1 件目の実行中に stopAll('pause')</t>
        </is>
      </c>
      <c r="H13" s="5" t="inlineStr">
        <is>
          <t>0 を返す。shouldContinue false、signal は abort しない。2 件目以降は割り当てない</t>
        </is>
      </c>
      <c r="I13" s="5" t="inlineStr">
        <is>
          <t>B6-T, B21-T</t>
        </is>
      </c>
      <c r="J13" s="5" t="inlineStr">
        <is>
          <t>FakeClock 2026-10-22T09:00:00.000Z、runOpportunity・enterLimitStopped を vi.fn で差し替え、random → 0.5</t>
        </is>
      </c>
      <c r="K13" s="5" t="inlineStr"/>
      <c r="L13" s="5" t="inlineStr"/>
      <c r="M13" s="5" t="inlineStr">
        <is>
          <t>TC-NOUS59_DEV-09 stopAll('pause') の後は新しい割り当てをせず、shouldContinue が false になり、0 を返す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既存テスト：実装時のテスト（NOUS-59）</t>
        </is>
      </c>
    </row>
    <row r="14">
      <c r="A14" s="4" t="n">
        <v>10</v>
      </c>
      <c r="B14" s="4" t="inlineStr">
        <is>
          <t>TC-NOUS59_DEV-10</t>
        </is>
      </c>
      <c r="C14" s="5" t="inlineStr">
        <is>
          <t>stopAll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stopAll('emergency') は実行中の AbortController を止め、取り消した件数を返す</t>
        </is>
      </c>
      <c r="G14" s="5" t="inlineStr">
        <is>
          <t>前提：running の世界（seedRunningWorld、既定の world_settings）、active 2 体、running の生成イベント 2 件
入力：2 件の実行中に stopAll('emergency')</t>
        </is>
      </c>
      <c r="H14" s="5" t="inlineStr">
        <is>
          <t>2 を返す。両方の signal が abort。runningCount 0</t>
        </is>
      </c>
      <c r="I14" s="5" t="inlineStr">
        <is>
          <t>B20-F, B21-F, B22-T, B23-F</t>
        </is>
      </c>
      <c r="J14" s="5" t="inlineStr">
        <is>
          <t>FakeClock 2026-10-22T09:00:00.000Z、runOpportunity・enterLimitStopped を vi.fn で差し替え、random → 0.5</t>
        </is>
      </c>
      <c r="K14" s="5" t="inlineStr"/>
      <c r="L14" s="5" t="inlineStr"/>
      <c r="M14" s="5" t="inlineStr">
        <is>
          <t>TC-NOUS59_DEV-10 stopAll('emergency') は実行中の AbortController を止め、取り消した件数を返す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既存テスト：実装時のテスト（NOUS-59）</t>
        </is>
      </c>
    </row>
    <row r="15">
      <c r="A15" s="4" t="n">
        <v>11</v>
      </c>
      <c r="B15" s="4" t="inlineStr">
        <is>
          <t>TC-NOUS59_DEV-11</t>
        </is>
      </c>
      <c r="C15" s="5" t="inlineStr">
        <is>
          <t>stopAll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緊急停止の後 5 秒を過ぎても running の行は cancelled に直し、件数に入れる</t>
        </is>
      </c>
      <c r="G15" s="5" t="inlineStr">
        <is>
          <t>前提：running の世界（seedRunningWorld、既定の world_settings）、running の生成イベント 1 件
入力：abort を無視する runOpportunity、stopAll('emergency') → 5 秒進める</t>
        </is>
      </c>
      <c r="H15" s="5" t="inlineStr">
        <is>
          <t>1 を返す。行は cancelled（failure_kind cancelled）</t>
        </is>
      </c>
      <c r="I15" s="5" t="inlineStr">
        <is>
          <t>B22-T, B23-T</t>
        </is>
      </c>
      <c r="J15" s="5" t="inlineStr">
        <is>
          <t>FakeClock 2026-10-22T09:00:00.000Z、runOpportunity・enterLimitStopped を vi.fn で差し替え、random → 0.5</t>
        </is>
      </c>
      <c r="K15" s="5" t="inlineStr"/>
      <c r="L15" s="5" t="inlineStr"/>
      <c r="M15" s="5" t="inlineStr">
        <is>
          <t>TC-NOUS59_DEV-11 緊急停止の後 5 秒を過ぎても running の行は cancelled に直し、件数に入れる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既存テスト：実装時のテスト（NOUS-59）</t>
        </is>
      </c>
    </row>
    <row r="16">
      <c r="A16" s="4" t="n">
        <v>12</v>
      </c>
      <c r="B16" s="4" t="inlineStr">
        <is>
          <t>TC-NOUS59_DEV-12</t>
        </is>
      </c>
      <c r="C16" s="5" t="inlineStr">
        <is>
          <t>runOne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FreeTierExceededError で enterLimitStopped('free_tier_error')</t>
        </is>
      </c>
      <c r="G16" s="5" t="inlineStr">
        <is>
          <t>前提：running の世界（seedRunningWorld、既定の world_settings）、active 1 体
入力：runOpportunity が FreeTierExceededError</t>
        </is>
      </c>
      <c r="H16" s="5" t="inlineStr">
        <is>
          <t>enterLimitStopped('free_tier_error')</t>
        </is>
      </c>
      <c r="I16" s="5" t="inlineStr">
        <is>
          <t>B9-T</t>
        </is>
      </c>
      <c r="J16" s="5" t="inlineStr">
        <is>
          <t>FakeClock 2026-10-22T09:00:00.000Z、runOpportunity・enterLimitStopped を vi.fn で差し替え、random → 0.5</t>
        </is>
      </c>
      <c r="K16" s="5" t="inlineStr"/>
      <c r="L16" s="5" t="inlineStr"/>
      <c r="M16" s="5" t="inlineStr">
        <is>
          <t>TC-NOUS59_DEV-12 runOpportunity が FreeTierExceededError を投げたら enterLimitStopped('free_tier_error')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既存テスト：実装時のテスト（NOUS-59）</t>
        </is>
      </c>
    </row>
    <row r="17">
      <c r="A17" s="4" t="n">
        <v>13</v>
      </c>
      <c r="B17" s="4" t="inlineStr">
        <is>
          <t>TC-NOUS59_DEV-13</t>
        </is>
      </c>
      <c r="C17" s="5" t="inlineStr">
        <is>
          <t>runOne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行動機会の後に Neurons が上限に達していたら enterLimitStopped('neurons_limit') し、次を割り当てない</t>
        </is>
      </c>
      <c r="G17" s="5" t="inlineStr">
        <is>
          <t>前提：running の世界（seedRunningWorld、既定の world_settings）、active 2 体、max_concurrency 1
入力：行動機会の中で neurons 9500</t>
        </is>
      </c>
      <c r="H17" s="5" t="inlineStr">
        <is>
          <t>enterLimitStopped('neurons_limit')、runOpportunity は 1 回</t>
        </is>
      </c>
      <c r="I17" s="5" t="inlineStr">
        <is>
          <t>B8-F, B10-T, B11-T</t>
        </is>
      </c>
      <c r="J17" s="5" t="inlineStr">
        <is>
          <t>FakeClock 2026-10-22T09:00:00.000Z、runOpportunity・enterLimitStopped を vi.fn で差し替え、random → 0.5</t>
        </is>
      </c>
      <c r="K17" s="5" t="inlineStr"/>
      <c r="L17" s="5" t="inlineStr"/>
      <c r="M17" s="5" t="inlineStr">
        <is>
          <t>TC-NOUS59_DEV-13 行動機会の後に上限を超えていたら enterLimitStopped し、次を割り当てない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既存テスト：実装時のテスト（NOUS-59）</t>
        </is>
      </c>
    </row>
    <row r="18">
      <c r="A18" s="4" t="n">
        <v>14</v>
      </c>
      <c r="B18" s="4" t="inlineStr">
        <is>
          <t>TC-NOUS59_DEV-14</t>
        </is>
      </c>
      <c r="C18" s="5" t="inlineStr">
        <is>
          <t>runOne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行動機会の後に回数が上限に達していたら enterLimitStopped('runs_limit') し、次を割り当てない</t>
        </is>
      </c>
      <c r="G18" s="5" t="inlineStr">
        <is>
          <t>前提：running の世界（seedRunningWorld、既定の world_settings）、active 2 体、max_concurrency 1
入力：行動機会の中で runs 480</t>
        </is>
      </c>
      <c r="H18" s="5" t="inlineStr">
        <is>
          <t>enterLimitStopped('runs_limit')、runOpportunity は 1 回</t>
        </is>
      </c>
      <c r="I18" s="5" t="inlineStr">
        <is>
          <t>B8-F, B10-T, B11-T</t>
        </is>
      </c>
      <c r="J18" s="5" t="inlineStr">
        <is>
          <t>FakeClock 2026-10-22T09:00:00.000Z、runOpportunity・enterLimitStopped を vi.fn で差し替え、random → 0.5</t>
        </is>
      </c>
      <c r="K18" s="5" t="inlineStr"/>
      <c r="L18" s="5" t="inlineStr"/>
      <c r="M18" s="5" t="inlineStr">
        <is>
          <t>TC-NOUS59_DEV-14 行動機会の後に上限を超えていたら enterLimitStopped し、次を割り当てない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既存テスト：実装時のテスト（NOUS-59）</t>
        </is>
      </c>
    </row>
    <row r="19">
      <c r="A19" s="4" t="n">
        <v>15</v>
      </c>
      <c r="B19" s="4" t="inlineStr">
        <is>
          <t>TC-NOUS59_DEV-15</t>
        </is>
      </c>
      <c r="C19" s="5" t="inlineStr">
        <is>
          <t>runOne</t>
        </is>
      </c>
      <c r="D19" s="4" t="inlineStr">
        <is>
          <t>異常系</t>
        </is>
      </c>
      <c r="E19" s="4" t="inlineStr">
        <is>
          <t>開発者テスト</t>
        </is>
      </c>
      <c r="F19" s="5" t="inlineStr">
        <is>
          <t>runOpportunity の想定外の例外は記録して巡を続ける</t>
        </is>
      </c>
      <c r="G19" s="5" t="inlineStr">
        <is>
          <t>前提：running の世界（seedRunningWorld、既定の world_settings）、active 2 体、max_concurrency 1
入力：1 件目が Error('boom')</t>
        </is>
      </c>
      <c r="H19" s="5" t="inlineStr">
        <is>
          <t>2 件目も呼ばれる</t>
        </is>
      </c>
      <c r="I19" s="5" t="inlineStr">
        <is>
          <t>B9-F</t>
        </is>
      </c>
      <c r="J19" s="5" t="inlineStr">
        <is>
          <t>FakeClock 2026-10-22T09:00:00.000Z、runOpportunity・enterLimitStopped を vi.fn で差し替え、random → 0.5</t>
        </is>
      </c>
      <c r="K19" s="5" t="inlineStr"/>
      <c r="L19" s="5" t="inlineStr"/>
      <c r="M19" s="5" t="inlineStr">
        <is>
          <t>TC-NOUS59_DEV-15 runOpportunity の想定外の例外は記録して巡を続ける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既存テスト：実装時のテスト（NOUS-59）</t>
        </is>
      </c>
    </row>
    <row r="20">
      <c r="A20" s="4" t="n">
        <v>16</v>
      </c>
      <c r="B20" s="4" t="inlineStr">
        <is>
          <t>TC-NOUS59_DEV-16</t>
        </is>
      </c>
      <c r="C20" s="5" t="inlineStr">
        <is>
          <t>runningCount / stop</t>
        </is>
      </c>
      <c r="D20" s="4" t="inlineStr">
        <is>
          <t>正常系</t>
        </is>
      </c>
      <c r="E20" s="4" t="inlineStr">
        <is>
          <t>開発者テスト</t>
        </is>
      </c>
      <c r="F20" s="5" t="inlineStr">
        <is>
          <t>runningCount は実行中の数を返し、stop で取り消して 0 になる</t>
        </is>
      </c>
      <c r="G20" s="5" t="inlineStr">
        <is>
          <t>前提：running の世界（seedRunningWorld、既定の world_settings）、active 1 体
入力：start() → stop()</t>
        </is>
      </c>
      <c r="H20" s="5" t="inlineStr">
        <is>
          <t>実行中は 1、stop の後 0。signal が abort</t>
        </is>
      </c>
      <c r="I20" s="5" t="inlineStr"/>
      <c r="J20" s="5" t="inlineStr">
        <is>
          <t>FakeClock 2026-10-22T09:00:00.000Z、runOpportunity・enterLimitStopped を vi.fn で差し替え、random → 0.5</t>
        </is>
      </c>
      <c r="K20" s="5" t="inlineStr"/>
      <c r="L20" s="5" t="inlineStr"/>
      <c r="M20" s="5" t="inlineStr">
        <is>
          <t>TC-NOUS59_DEV-16 runningCount は実行中の数を返し、stop で取り消して 0 になる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既存テスト：実装時のテスト（NOUS-59）</t>
        </is>
      </c>
    </row>
    <row r="21">
      <c r="A21" s="4" t="n">
        <v>17</v>
      </c>
      <c r="B21" s="4" t="inlineStr">
        <is>
          <t>TC-NOUS59_DEV-17</t>
        </is>
      </c>
      <c r="C21" s="5" t="inlineStr">
        <is>
          <t>createScheduler（既定の enterLimitStopped）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既定の enterLimitStopped は世界を limit_stopped（free_tier_error）にする</t>
        </is>
      </c>
      <c r="G21" s="5" t="inlineStr">
        <is>
          <t>前提：running の世界（seedRunningWorld、既定の world_settings）、active 1 体
入力：enterLimitStopped を渡さず、runOpportunity が FreeTierExceededError</t>
        </is>
      </c>
      <c r="H21" s="5" t="inlineStr">
        <is>
          <t>worlds.state limit_stopped、stop_reason free_tier_error</t>
        </is>
      </c>
      <c r="I21" s="5" t="inlineStr">
        <is>
          <t>B26-F</t>
        </is>
      </c>
      <c r="J21" s="5" t="inlineStr">
        <is>
          <t>FakeClock 2026-10-22T09:00:00.000Z、runOpportunity を差し替え</t>
        </is>
      </c>
      <c r="K21" s="5" t="inlineStr"/>
      <c r="L21" s="5" t="inlineStr"/>
      <c r="M21" s="5" t="inlineStr">
        <is>
          <t>TC-NOUS59_DEV-17 既定の enterLimitStopped は世界を limit_stopped（free_tier_error）にする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既存テスト：実装時のテスト（NOUS-59）</t>
        </is>
      </c>
    </row>
    <row r="22">
      <c r="A22" s="4" t="n">
        <v>18</v>
      </c>
      <c r="B22" s="4" t="inlineStr">
        <is>
          <t>TC-NOUS83_DEV-09</t>
        </is>
      </c>
      <c r="C22" s="5" t="inlineStr">
        <is>
          <t>stopAll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stopAll('pause') は stopSignal を abort し、signal は abort せずに 0 を返す</t>
        </is>
      </c>
      <c r="G22" s="5" t="inlineStr">
        <is>
          <t>前提：running の世界（seedRunningWorld、既定の world_settings）、active 1 体
入力：実行中に stopAll('pause')</t>
        </is>
      </c>
      <c r="H22" s="5" t="inlineStr">
        <is>
          <t>0。stopSignal は abort、signal は abort しない</t>
        </is>
      </c>
      <c r="I22" s="5" t="inlineStr">
        <is>
          <t>B21-T</t>
        </is>
      </c>
      <c r="J22" s="5" t="inlineStr">
        <is>
          <t>FakeClock 2026-10-22T09:00:00.000Z、runOpportunity・enterLimitStopped を vi.fn で差し替え、random → 0.5</t>
        </is>
      </c>
      <c r="K22" s="5" t="inlineStr"/>
      <c r="L22" s="5" t="inlineStr"/>
      <c r="M22" s="5" t="inlineStr">
        <is>
          <t>TC-NOUS83_DEV-09 stopAll('pause') は実行中の行動機会の ctx.stopSignal を abort し ctx.signal は abort せずに 0 を返す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既存テスト：実装時のテスト（NOUS-83）</t>
        </is>
      </c>
    </row>
    <row r="23">
      <c r="A23" s="4" t="n">
        <v>19</v>
      </c>
      <c r="B23" s="4" t="inlineStr">
        <is>
          <t>TC-NOUS83_DEV-10</t>
        </is>
      </c>
      <c r="C23" s="5" t="inlineStr">
        <is>
          <t>stopAll</t>
        </is>
      </c>
      <c r="D23" s="4" t="inlineStr">
        <is>
          <t>正常系</t>
        </is>
      </c>
      <c r="E23" s="4" t="inlineStr">
        <is>
          <t>開発者テスト</t>
        </is>
      </c>
      <c r="F23" s="5" t="inlineStr">
        <is>
          <t>stopAll('limit') は stopSignal を abort し、signal は abort せずに 0 を返す</t>
        </is>
      </c>
      <c r="G23" s="5" t="inlineStr">
        <is>
          <t>前提：running の世界（seedRunningWorld、既定の world_settings）、active 1 体
入力：実行中に stopAll('limit')</t>
        </is>
      </c>
      <c r="H23" s="5" t="inlineStr">
        <is>
          <t>0。stopSignal は abort、signal は abort しない</t>
        </is>
      </c>
      <c r="I23" s="5" t="inlineStr">
        <is>
          <t>B21-T</t>
        </is>
      </c>
      <c r="J23" s="5" t="inlineStr">
        <is>
          <t>FakeClock 2026-10-22T09:00:00.000Z、runOpportunity・enterLimitStopped を vi.fn で差し替え、random → 0.5</t>
        </is>
      </c>
      <c r="K23" s="5" t="inlineStr"/>
      <c r="L23" s="5" t="inlineStr"/>
      <c r="M23" s="5" t="inlineStr">
        <is>
          <t>TC-NOUS83_DEV-10 stopAll('limit') は実行中の行動機会の ctx.stopSignal を abort し ctx.signal は abort せずに 0 を返す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既存テスト：実装時のテスト（NOUS-83）</t>
        </is>
      </c>
    </row>
    <row r="24">
      <c r="A24" s="4" t="n">
        <v>20</v>
      </c>
      <c r="B24" s="4" t="inlineStr">
        <is>
          <t>TC-NOUS83_DEV-11</t>
        </is>
      </c>
      <c r="C24" s="5" t="inlineStr">
        <is>
          <t>stopAll</t>
        </is>
      </c>
      <c r="D24" s="4" t="inlineStr">
        <is>
          <t>正常系</t>
        </is>
      </c>
      <c r="E24" s="4" t="inlineStr">
        <is>
          <t>開発者テスト</t>
        </is>
      </c>
      <c r="F24" s="5" t="inlineStr">
        <is>
          <t>stopAll('emergency') は signal を abort し、取り消した件数を返す</t>
        </is>
      </c>
      <c r="G24" s="5" t="inlineStr">
        <is>
          <t>前提：running の世界（seedRunningWorld、既定の world_settings）、active 1 体、running の生成イベント 1 件
入力：実行中に stopAll('emergency')</t>
        </is>
      </c>
      <c r="H24" s="5" t="inlineStr">
        <is>
          <t>1。signal が abort、runningCount 0</t>
        </is>
      </c>
      <c r="I24" s="5" t="inlineStr">
        <is>
          <t>B21-F, B22-T</t>
        </is>
      </c>
      <c r="J24" s="5" t="inlineStr">
        <is>
          <t>FakeClock 2026-10-22T09:00:00.000Z、runOpportunity・enterLimitStopped を vi.fn で差し替え、random → 0.5</t>
        </is>
      </c>
      <c r="K24" s="5" t="inlineStr"/>
      <c r="L24" s="5" t="inlineStr"/>
      <c r="M24" s="5" t="inlineStr">
        <is>
          <t>TC-NOUS83_DEV-11 stopAll('emergency') は実行中の行動機会の ctx.signal を abort し取り消した件数を返す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既存テスト：実装時のテスト（NOUS-83）</t>
        </is>
      </c>
    </row>
    <row r="25">
      <c r="A25" s="4" t="n">
        <v>21</v>
      </c>
      <c r="B25" s="4" t="inlineStr">
        <is>
          <t>TC-NOUS83_DEV-12</t>
        </is>
      </c>
      <c r="C25" s="5" t="inlineStr">
        <is>
          <t>stopAll</t>
        </is>
      </c>
      <c r="D25" s="4" t="inlineStr">
        <is>
          <t>正常系</t>
        </is>
      </c>
      <c r="E25" s="4" t="inlineStr">
        <is>
          <t>開発者テスト</t>
        </is>
      </c>
      <c r="F25" s="5" t="inlineStr">
        <is>
          <t>stopAll('pause') で再試行の待ちの途中の行動機会が、時計を進めずに stopped で閉じる</t>
        </is>
      </c>
      <c r="G25" s="5" t="inlineStr">
        <is>
          <t>前提：running の世界（seedRunningWorld、既定の world_settings）、active 1 体
入力：stopSignal を待つ runOpportunity、stopAll('pause')</t>
        </is>
      </c>
      <c r="H25" s="5" t="inlineStr">
        <is>
          <t>結果は cancelled・failureKind stopped、runningCount 0</t>
        </is>
      </c>
      <c r="I25" s="5" t="inlineStr">
        <is>
          <t>B21-T</t>
        </is>
      </c>
      <c r="J25" s="5" t="inlineStr">
        <is>
          <t>FakeClock 2026-10-22T09:00:00.000Z、runOpportunity・enterLimitStopped を vi.fn で差し替え、random → 0.5</t>
        </is>
      </c>
      <c r="K25" s="5" t="inlineStr"/>
      <c r="L25" s="5" t="inlineStr"/>
      <c r="M25" s="5" t="inlineStr">
        <is>
          <t>TC-NOUS83_DEV-12 stopAll('pause') により再試行の待ちの途中の行動機会が時計を進めずに stopped で閉じる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既存テスト：実装時のテスト（NOUS-83）</t>
        </is>
      </c>
    </row>
    <row r="26">
      <c r="A26" s="4" t="n">
        <v>22</v>
      </c>
      <c r="B26" s="4" t="inlineStr">
        <is>
          <t>TC-UT_SCH-001</t>
        </is>
      </c>
      <c r="C26" s="5" t="inlineStr">
        <is>
          <t>runDueCycle</t>
        </is>
      </c>
      <c r="D26" s="4" t="inlineStr">
        <is>
          <t>正常系</t>
        </is>
      </c>
      <c r="E26" s="4" t="inlineStr">
        <is>
          <t>境界値</t>
        </is>
      </c>
      <c r="F26" s="5" t="inlineStr">
        <is>
          <t>next_cycle_at の 1 ミリ秒前は巡を始めず、ちょうどで始める</t>
        </is>
      </c>
      <c r="G26" s="5" t="inlineStr">
        <is>
          <t>前提：running の世界（seedRunningWorld、既定の world_settings）、active 1 体、next_cycle_at = 09:01:00.000
入力：時計を 08:59.999 分進めて runDueCycle()、さらに 1 ミリ秒進めて runDueCycle()</t>
        </is>
      </c>
      <c r="H26" s="5" t="inlineStr">
        <is>
          <t>1 回目 false、2 回目 true。runOpportunity は 1 回</t>
        </is>
      </c>
      <c r="I26" s="5" t="inlineStr">
        <is>
          <t>B14-T, B14-F</t>
        </is>
      </c>
      <c r="J26" s="5" t="inlineStr">
        <is>
          <t>FakeClock 2026-10-22T09:00:00.000Z、runOpportunity・enterLimitStopped を vi.fn で差し替え、random → 0.5</t>
        </is>
      </c>
      <c r="K26" s="5" t="inlineStr"/>
      <c r="L26" s="5" t="inlineStr"/>
      <c r="M26" s="5" t="inlineStr">
        <is>
          <t>TC-UT_SCH-001 next_cycle_at の 1 ミリ秒前は巡を始めず、ちょうどになると巡を始める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TC-NOUS59_DEV-02（周期ちょうどの後だけ。1 ミリ秒前は見ていない）</t>
        </is>
      </c>
    </row>
    <row r="27">
      <c r="A27" s="4" t="n">
        <v>23</v>
      </c>
      <c r="B27" s="4" t="inlineStr">
        <is>
          <t>TC-UT_SCH-002</t>
        </is>
      </c>
      <c r="C27" s="5" t="inlineStr">
        <is>
          <t>runDueCycle</t>
        </is>
      </c>
      <c r="D27" s="4" t="inlineStr">
        <is>
          <t>正常系</t>
        </is>
      </c>
      <c r="E27" s="4" t="inlineStr">
        <is>
          <t>分岐網羅</t>
        </is>
      </c>
      <c r="F27" s="5" t="inlineStr">
        <is>
          <t>next_cycle_at が NULL の running の世界は、すぐに巡を始めて next_cycle_at を書く</t>
        </is>
      </c>
      <c r="G27" s="5" t="inlineStr">
        <is>
          <t>前提：running の世界（seedRunningWorld、既定の world_settings）、active 1 体、cycle_minutes 15、next_cycle_at NULL
入力：runDueCycle()</t>
        </is>
      </c>
      <c r="H27" s="5" t="inlineStr">
        <is>
          <t>true。next_cycle_at = 09:15:00.000Z</t>
        </is>
      </c>
      <c r="I27" s="5" t="inlineStr">
        <is>
          <t>B14-F, B16-F</t>
        </is>
      </c>
      <c r="J27" s="5" t="inlineStr">
        <is>
          <t>FakeClock 2026-10-22T09:00:00.000Z、runOpportunity・enterLimitStopped を vi.fn で差し替え、random → 0.5</t>
        </is>
      </c>
      <c r="K27" s="5" t="inlineStr"/>
      <c r="L27" s="5" t="inlineStr"/>
      <c r="M27" s="5" t="inlineStr">
        <is>
          <t>TC-UT_SCH-002 next_cycle_at が NULL の running の世界では、すぐに巡を始めて next_cycle_at を書く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TC-NOUS59_DEV-01（NULL のときの next_cycle_at の値は見ていない）</t>
        </is>
      </c>
    </row>
    <row r="28">
      <c r="A28" s="4" t="n">
        <v>24</v>
      </c>
      <c r="B28" s="4" t="inlineStr">
        <is>
          <t>TC-UT_SCH-003</t>
        </is>
      </c>
      <c r="C28" s="5" t="inlineStr">
        <is>
          <t>runDueCycle</t>
        </is>
      </c>
      <c r="D28" s="4" t="inlineStr">
        <is>
          <t>異常系</t>
        </is>
      </c>
      <c r="E28" s="4" t="inlineStr">
        <is>
          <t>分岐網羅</t>
        </is>
      </c>
      <c r="F28" s="5" t="inlineStr">
        <is>
          <t>現在の世界がないときは巡を始めず false を返す</t>
        </is>
      </c>
      <c r="G28" s="5" t="inlineStr">
        <is>
          <t>前提：世界を archived にする（現在の世界なし）
入力：runDueCycle()</t>
        </is>
      </c>
      <c r="H28" s="5" t="inlineStr">
        <is>
          <t>false。runOpportunity は呼ばれない</t>
        </is>
      </c>
      <c r="I28" s="5" t="inlineStr">
        <is>
          <t>B13-T</t>
        </is>
      </c>
      <c r="J28" s="5" t="inlineStr">
        <is>
          <t>FakeClock 2026-10-22T09:00:00.000Z、runOpportunity・enterLimitStopped を vi.fn で差し替え、random → 0.5</t>
        </is>
      </c>
      <c r="K28" s="5" t="inlineStr"/>
      <c r="L28" s="5" t="inlineStr"/>
      <c r="M28" s="5" t="inlineStr">
        <is>
          <t>TC-UT_SCH-003 現在の世界がないときは巡を始めず false を返す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既存テスト：なし（DEV-06 は paused の世界だけ）</t>
        </is>
      </c>
    </row>
    <row r="29">
      <c r="A29" s="4" t="n">
        <v>25</v>
      </c>
      <c r="B29" s="4" t="inlineStr">
        <is>
          <t>TC-UT_SCH-004</t>
        </is>
      </c>
      <c r="C29" s="5" t="inlineStr">
        <is>
          <t>runDueCycle</t>
        </is>
      </c>
      <c r="D29" s="4" t="inlineStr">
        <is>
          <t>異常系</t>
        </is>
      </c>
      <c r="E29" s="4" t="inlineStr">
        <is>
          <t>同値分割</t>
        </is>
      </c>
      <c r="F29" s="5" t="inlineStr">
        <is>
          <t>running でない状態（preparing・limit_stopped・emergency_stopped）では巡を始めず cycle_no も進めない</t>
        </is>
      </c>
      <c r="G29" s="5" t="inlineStr">
        <is>
          <t>前提：各状態の世界、active 1 体
入力：runDueCycle()</t>
        </is>
      </c>
      <c r="H29" s="5" t="inlineStr">
        <is>
          <t>false。runOpportunity は呼ばれず cycle_no 0 のまま</t>
        </is>
      </c>
      <c r="I29" s="5" t="inlineStr">
        <is>
          <t>B13-T</t>
        </is>
      </c>
      <c r="J29" s="5" t="inlineStr">
        <is>
          <t>FakeClock 2026-10-22T09:00:00.000Z、runOpportunity・enterLimitStopped を vi.fn で差し替え、random → 0.5</t>
        </is>
      </c>
      <c r="K29" s="5" t="inlineStr"/>
      <c r="L29" s="5" t="inlineStr"/>
      <c r="M29" s="5" t="inlineStr">
        <is>
          <t>TC-UT_SCH-004 世界が running でない状態では巡を始めず cycle_no も進めない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TC-NOUS59_DEV-06（paused だけ）</t>
        </is>
      </c>
    </row>
    <row r="30">
      <c r="A30" s="4" t="n">
        <v>26</v>
      </c>
      <c r="B30" s="4" t="inlineStr">
        <is>
          <t>TC-UT_SCH-005</t>
        </is>
      </c>
      <c r="C30" s="5" t="inlineStr">
        <is>
          <t>runDueCycle</t>
        </is>
      </c>
      <c r="D30" s="4" t="inlineStr">
        <is>
          <t>異常系</t>
        </is>
      </c>
      <c r="E30" s="4" t="inlineStr">
        <is>
          <t>エラー処理</t>
        </is>
      </c>
      <c r="F30" s="5" t="inlineStr">
        <is>
          <t>world_settings がない running の世界では例外を投げる</t>
        </is>
      </c>
      <c r="G30" s="5" t="inlineStr">
        <is>
          <t>前提：running の世界（seedRunningWorld、既定の world_settings）、world_settings を削除
入力：runDueCycle()</t>
        </is>
      </c>
      <c r="H30" s="5" t="inlineStr">
        <is>
          <t>Error（world_settings がありません）で拒否</t>
        </is>
      </c>
      <c r="I30" s="5" t="inlineStr">
        <is>
          <t>B13-F, B15-T</t>
        </is>
      </c>
      <c r="J30" s="5" t="inlineStr">
        <is>
          <t>FakeClock 2026-10-22T09:00:00.000Z、runOpportunity・enterLimitStopped を vi.fn で差し替え、random → 0.5</t>
        </is>
      </c>
      <c r="K30" s="5" t="inlineStr"/>
      <c r="L30" s="5" t="inlineStr"/>
      <c r="M30" s="5" t="inlineStr">
        <is>
          <t>TC-UT_SCH-005 world_settings がない running の世界では runDueCycle が例外を投げる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TC-UT_SCH-006</t>
        </is>
      </c>
      <c r="C31" s="5" t="inlineStr">
        <is>
          <t>runCycle</t>
        </is>
      </c>
      <c r="D31" s="4" t="inlineStr">
        <is>
          <t>正常系</t>
        </is>
      </c>
      <c r="E31" s="4" t="inlineStr">
        <is>
          <t>境界値</t>
        </is>
      </c>
      <c r="F31" s="5" t="inlineStr">
        <is>
          <t>active が 0 体でも巡は終わり、cycle_no と next_cycle_at を進める</t>
        </is>
      </c>
      <c r="G31" s="5" t="inlineStr">
        <is>
          <t>前提：running の世界（seedRunningWorld、既定の world_settings）、stopped 1 体だけ
入力：runDueCycle()</t>
        </is>
      </c>
      <c r="H31" s="5" t="inlineStr">
        <is>
          <t>true。runOpportunity は呼ばれず、cycle_no 1、next_cycle_at = 09:20:00.000Z</t>
        </is>
      </c>
      <c r="I31" s="5" t="inlineStr">
        <is>
          <t>B12-T</t>
        </is>
      </c>
      <c r="J31" s="5" t="inlineStr">
        <is>
          <t>FakeClock 2026-10-22T09:00:00.000Z、runOpportunity・enterLimitStopped を vi.fn で差し替え、random → 0.5</t>
        </is>
      </c>
      <c r="K31" s="5" t="inlineStr"/>
      <c r="L31" s="5" t="inlineStr"/>
      <c r="M31" s="5" t="inlineStr">
        <is>
          <t>TC-UT_SCH-006 active のエージェントが 0 体でも巡は終わり、cycle_no と next_cycle_at を進める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既存テスト：なし（DEV-08 の pickCount(0,50) は関数だけ）</t>
        </is>
      </c>
    </row>
    <row r="32">
      <c r="A32" s="4" t="n">
        <v>28</v>
      </c>
      <c r="B32" s="4" t="inlineStr">
        <is>
          <t>TC-UT_SCH-007</t>
        </is>
      </c>
      <c r="C32" s="5" t="inlineStr">
        <is>
          <t>runCycle</t>
        </is>
      </c>
      <c r="D32" s="4" t="inlineStr">
        <is>
          <t>正常系</t>
        </is>
      </c>
      <c r="E32" s="4" t="inlineStr">
        <is>
          <t>境界値</t>
        </is>
      </c>
      <c r="F32" s="5" t="inlineStr">
        <is>
          <t>max_concurrency が対象の数より大きいときは、対象の数まで同時に実行する</t>
        </is>
      </c>
      <c r="G32" s="5" t="inlineStr">
        <is>
          <t>前提：running の世界（seedRunningWorld、既定の world_settings）、active 2 体、max_concurrency 3
入力：runDueCycle()</t>
        </is>
      </c>
      <c r="H32" s="5" t="inlineStr">
        <is>
          <t>実行中の数は 2、同時の最大 2、呼び出し 2 回</t>
        </is>
      </c>
      <c r="I32" s="5" t="inlineStr"/>
      <c r="J32" s="5" t="inlineStr">
        <is>
          <t>FakeClock 2026-10-22T09:00:00.000Z、runOpportunity・enterLimitStopped を vi.fn で差し替え、random → 0.5、release まで終わらない runOpportunity</t>
        </is>
      </c>
      <c r="K32" s="5" t="inlineStr"/>
      <c r="L32" s="5" t="inlineStr"/>
      <c r="M32" s="5" t="inlineStr">
        <is>
          <t>TC-UT_SCH-007 max_concurrency が対象の数より大きいときは、対象の数まで同時に実行する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TC-NOUS59_DEV-04・05（対象の数より小さいときだけ）</t>
        </is>
      </c>
    </row>
    <row r="33">
      <c r="A33" s="4" t="n">
        <v>29</v>
      </c>
      <c r="B33" s="4" t="inlineStr">
        <is>
          <t>TC-UT_SCH-008</t>
        </is>
      </c>
      <c r="C33" s="5" t="inlineStr">
        <is>
          <t>canAssign</t>
        </is>
      </c>
      <c r="D33" s="4" t="inlineStr">
        <is>
          <t>異常系</t>
        </is>
      </c>
      <c r="E33" s="4" t="inlineStr">
        <is>
          <t>境界値</t>
        </is>
      </c>
      <c r="F33" s="5" t="inlineStr">
        <is>
          <t>巡の始めにその日の回数が上限ちょうどなら、1 件も割り当てない</t>
        </is>
      </c>
      <c r="G33" s="5" t="inlineStr">
        <is>
          <t>前提：running の世界（seedRunningWorld、既定の world_settings）、active 1 体、daily_runs_limit 480、daily_usage runs 480
入力：runDueCycle()</t>
        </is>
      </c>
      <c r="H33" s="5" t="inlineStr">
        <is>
          <t>true（巡は終わる）。runOpportunity は呼ばれない</t>
        </is>
      </c>
      <c r="I33" s="5" t="inlineStr">
        <is>
          <t>B8-F</t>
        </is>
      </c>
      <c r="J33" s="5" t="inlineStr">
        <is>
          <t>FakeClock 2026-10-22T09:00:00.000Z、runOpportunity・enterLimitStopped を vi.fn で差し替え、random → 0.5</t>
        </is>
      </c>
      <c r="K33" s="5" t="inlineStr"/>
      <c r="L33" s="5" t="inlineStr"/>
      <c r="M33" s="5" t="inlineStr">
        <is>
          <t>TC-UT_SCH-008 巡の始めにその日の回数が上限ちょうどなら、1件も割り当てない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既存テスト：なし（DEV-13・14 は行動機会の後の確認）</t>
        </is>
      </c>
    </row>
    <row r="34">
      <c r="A34" s="4" t="n">
        <v>30</v>
      </c>
      <c r="B34" s="4" t="inlineStr">
        <is>
          <t>TC-UT_SCH-009</t>
        </is>
      </c>
      <c r="C34" s="5" t="inlineStr">
        <is>
          <t>runOne</t>
        </is>
      </c>
      <c r="D34" s="4" t="inlineStr">
        <is>
          <t>正常系</t>
        </is>
      </c>
      <c r="E34" s="4" t="inlineStr">
        <is>
          <t>境界値</t>
        </is>
      </c>
      <c r="F34" s="5" t="inlineStr">
        <is>
          <t>行動機会の後の利用が上限の 1 つ手前なら上限停止にせず、次の住人にも割り当てる</t>
        </is>
      </c>
      <c r="G34" s="5" t="inlineStr">
        <is>
          <t>前提：running の世界（seedRunningWorld、既定の world_settings）、active 2 体、daily_usage neurons 9499・runs 479
入力：runDueCycle()</t>
        </is>
      </c>
      <c r="H34" s="5" t="inlineStr">
        <is>
          <t>enterLimitStopped は呼ばれない。runOpportunity は 2 回</t>
        </is>
      </c>
      <c r="I34" s="5" t="inlineStr">
        <is>
          <t>B8-T, B10-T, B11-F</t>
        </is>
      </c>
      <c r="J34" s="5" t="inlineStr">
        <is>
          <t>FakeClock 2026-10-22T09:00:00.000Z、runOpportunity・enterLimitStopped を vi.fn で差し替え、random → 0.5</t>
        </is>
      </c>
      <c r="K34" s="5" t="inlineStr"/>
      <c r="L34" s="5" t="inlineStr"/>
      <c r="M34" s="5" t="inlineStr">
        <is>
          <t>TC-UT_SCH-009 行動機会の後のその日の利用が上限の 1 つ手前なら上限停止にせず、次の住人にも割り当てる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既存テスト：一部 TC-NOUS59_DEV-13・14（上限ちょうどだけ）</t>
        </is>
      </c>
    </row>
    <row r="35">
      <c r="A35" s="4" t="n">
        <v>31</v>
      </c>
      <c r="B35" s="4" t="inlineStr">
        <is>
          <t>TC-UT_SCH-010</t>
        </is>
      </c>
      <c r="C35" s="5" t="inlineStr">
        <is>
          <t>pickCount</t>
        </is>
      </c>
      <c r="D35" s="4" t="inlineStr">
        <is>
          <t>正常系</t>
        </is>
      </c>
      <c r="E35" s="4" t="inlineStr">
        <is>
          <t>境界値</t>
        </is>
      </c>
      <c r="F35" s="5" t="inlineStr">
        <is>
          <t>割合を切り上げ、1 体以上なら最低 1 体、体数を超えない</t>
        </is>
      </c>
      <c r="G35" s="5" t="inlineStr">
        <is>
          <t>前提：なし
入力：(1,10)・(10,10)・(10,11)・(10,100)・(30,100)・(0,100)</t>
        </is>
      </c>
      <c r="H35" s="5" t="inlineStr">
        <is>
          <t>1・1・2・10・30・0</t>
        </is>
      </c>
      <c r="I35" s="5" t="inlineStr">
        <is>
          <t>B1-T, B1-F</t>
        </is>
      </c>
      <c r="J35" s="5" t="inlineStr">
        <is>
          <t>なし</t>
        </is>
      </c>
      <c r="K35" s="5" t="inlineStr"/>
      <c r="L35" s="5" t="inlineStr"/>
      <c r="M35" s="5" t="inlineStr">
        <is>
          <t>TC-UT_SCH-010 pickCount は割合を切り上げ、1 体以上なら最低 1 体、体数を超えない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TC-NOUS59_DEV-08（10%・11% の境目と 30 体は見ていない）
activity_percent は DB の CHECK で 10〜100</t>
        </is>
      </c>
    </row>
    <row r="36">
      <c r="A36" s="4" t="n">
        <v>32</v>
      </c>
      <c r="B36" s="4" t="inlineStr">
        <is>
          <t>TC-UT_SCH-011</t>
        </is>
      </c>
      <c r="C36" s="5" t="inlineStr">
        <is>
          <t>shuffleBySeed</t>
        </is>
      </c>
      <c r="D36" s="4" t="inlineStr">
        <is>
          <t>正常系</t>
        </is>
      </c>
      <c r="E36" s="4" t="inlineStr">
        <is>
          <t>境界値</t>
        </is>
      </c>
      <c r="F36" s="5" t="inlineStr">
        <is>
          <t>空と 1 件の配列をそのまま返し、元の配列を書き換えない</t>
        </is>
      </c>
      <c r="G36" s="5" t="inlineStr">
        <is>
          <t>前提：なし
入力：[]、["a"]、凍結した ["a","b","c"]（種 7）</t>
        </is>
      </c>
      <c r="H36" s="5" t="inlineStr">
        <is>
          <t>[]、["a"]、要素は同じで元の配列は変わらない</t>
        </is>
      </c>
      <c r="I36" s="5" t="inlineStr"/>
      <c r="J36" s="5" t="inlineStr">
        <is>
          <t>なし</t>
        </is>
      </c>
      <c r="K36" s="5" t="inlineStr"/>
      <c r="L36" s="5" t="inlineStr"/>
      <c r="M36" s="5" t="inlineStr">
        <is>
          <t>TC-UT_SCH-011 shuffleBySeed は空と 1 件の配列をそのまま返し、元の配列を書き換えない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TC-NOUS59_DEV-08（6 件だけ）</t>
        </is>
      </c>
    </row>
    <row r="37">
      <c r="A37" s="4" t="n">
        <v>33</v>
      </c>
      <c r="B37" s="4" t="inlineStr">
        <is>
          <t>TC-UT_SCH-012</t>
        </is>
      </c>
      <c r="C37" s="5" t="inlineStr">
        <is>
          <t>start</t>
        </is>
      </c>
      <c r="D37" s="4" t="inlineStr">
        <is>
          <t>正常系</t>
        </is>
      </c>
      <c r="E37" s="4" t="inlineStr">
        <is>
          <t>分岐網羅</t>
        </is>
      </c>
      <c r="F37" s="5" t="inlineStr">
        <is>
          <t>start を 2 回呼んでも loop は 1 つだけ動く</t>
        </is>
      </c>
      <c r="G37" s="5" t="inlineStr">
        <is>
          <t>前提：running の世界（seedRunningWorld、既定の world_settings）、active 1 体
入力：start() を 2 回</t>
        </is>
      </c>
      <c r="H37" s="5" t="inlineStr">
        <is>
          <t>runOpportunity は 1 回</t>
        </is>
      </c>
      <c r="I37" s="5" t="inlineStr">
        <is>
          <t>B17-T, B25-T</t>
        </is>
      </c>
      <c r="J37" s="5" t="inlineStr">
        <is>
          <t>FakeClock 2026-10-22T09:00:00.000Z、runOpportunity・enterLimitStopped を vi.fn で差し替え、random → 0.5</t>
        </is>
      </c>
      <c r="K37" s="5" t="inlineStr"/>
      <c r="L37" s="5" t="inlineStr"/>
      <c r="M37" s="5" t="inlineStr">
        <is>
          <t>TC-UT_SCH-012 start を 2 回呼んでも loop は 1 つだけ動く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</t>
        </is>
      </c>
    </row>
    <row r="38">
      <c r="A38" s="4" t="n">
        <v>34</v>
      </c>
      <c r="B38" s="4" t="inlineStr">
        <is>
          <t>TC-UT_SCH-013</t>
        </is>
      </c>
      <c r="C38" s="5" t="inlineStr">
        <is>
          <t>stop / start / wake</t>
        </is>
      </c>
      <c r="D38" s="4" t="inlineStr">
        <is>
          <t>正常系</t>
        </is>
      </c>
      <c r="E38" s="4" t="inlineStr">
        <is>
          <t>状態遷移</t>
        </is>
      </c>
      <c r="F38" s="5" t="inlineStr">
        <is>
          <t>stop の後は start も wake も巡を始めない</t>
        </is>
      </c>
      <c r="G38" s="5" t="inlineStr">
        <is>
          <t>前提：running の世界（seedRunningWorld、既定の world_settings）、active 1 体
入力：stop() → start() → wake() → 1 時間進める</t>
        </is>
      </c>
      <c r="H38" s="5" t="inlineStr">
        <is>
          <t>runOpportunity は呼ばれない</t>
        </is>
      </c>
      <c r="I38" s="5" t="inlineStr">
        <is>
          <t>B25-T, B24-F</t>
        </is>
      </c>
      <c r="J38" s="5" t="inlineStr">
        <is>
          <t>FakeClock 2026-10-22T09:00:00.000Z、runOpportunity・enterLimitStopped を vi.fn で差し替え、random → 0.5</t>
        </is>
      </c>
      <c r="K38" s="5" t="inlineStr"/>
      <c r="L38" s="5" t="inlineStr"/>
      <c r="M38" s="5" t="inlineStr">
        <is>
          <t>TC-UT_SCH-013 stop の後は start も wake も巡を始めない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既存テスト：なし（DEV-16 は start の後の stop）</t>
        </is>
      </c>
    </row>
    <row r="39">
      <c r="A39" s="4" t="n">
        <v>35</v>
      </c>
      <c r="B39" s="4" t="inlineStr">
        <is>
          <t>TC-UT_SCH-014</t>
        </is>
      </c>
      <c r="C39" s="5" t="inlineStr">
        <is>
          <t>loop</t>
        </is>
      </c>
      <c r="D39" s="4" t="inlineStr">
        <is>
          <t>正常系</t>
        </is>
      </c>
      <c r="E39" s="4" t="inlineStr">
        <is>
          <t>境界値</t>
        </is>
      </c>
      <c r="F39" s="5" t="inlineStr">
        <is>
          <t>loop は next_cycle_at まで時計で待ち、1 ミリ秒前では始めず、ちょうどで次の巡を始める</t>
        </is>
      </c>
      <c r="G39" s="5" t="inlineStr">
        <is>
          <t>前提：running の世界（seedRunningWorld、既定の world_settings）、active 1 体、cycle_minutes 20
入力：start() → 19:59.999 分進める → 1 ミリ秒進める</t>
        </is>
      </c>
      <c r="H39" s="5" t="inlineStr">
        <is>
          <t>1 ミリ秒前は 1 回、ちょうどで 2 回。cycle_no 2</t>
        </is>
      </c>
      <c r="I39" s="5" t="inlineStr">
        <is>
          <t>B17-T, B18-T</t>
        </is>
      </c>
      <c r="J39" s="5" t="inlineStr">
        <is>
          <t>FakeClock 2026-10-22T09:00:00.000Z、runOpportunity・enterLimitStopped を vi.fn で差し替え、random → 0.5</t>
        </is>
      </c>
      <c r="K39" s="5" t="inlineStr"/>
      <c r="L39" s="5" t="inlineStr"/>
      <c r="M39" s="5" t="inlineStr">
        <is>
          <t>TC-UT_SCH-014 loop は next_cycle_at まで時計で待ち、1 ミリ秒前では始めず、ちょうどで次の巡を始める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既存テスト：なし（DEV-02 は runDueCycle を直接呼ぶ）</t>
        </is>
      </c>
    </row>
    <row r="40">
      <c r="A40" s="4" t="n">
        <v>36</v>
      </c>
      <c r="B40" s="4" t="inlineStr">
        <is>
          <t>TC-UT_SCH-015</t>
        </is>
      </c>
      <c r="C40" s="5" t="inlineStr">
        <is>
          <t>loop</t>
        </is>
      </c>
      <c r="D40" s="4" t="inlineStr">
        <is>
          <t>異常系</t>
        </is>
      </c>
      <c r="E40" s="4" t="inlineStr">
        <is>
          <t>エラー処理</t>
        </is>
      </c>
      <c r="F40" s="5" t="inlineStr">
        <is>
          <t>loop の想定外の例外は error を記録し、60 秒後に続ける</t>
        </is>
      </c>
      <c r="G40" s="5" t="inlineStr">
        <is>
          <t>前提：running の世界（seedRunningWorld、既定の world_settings）、active 1 体、world_settings を削除
入力：start() → world_settings を戻す → 59.999 秒進める → 1 ミリ秒進める</t>
        </is>
      </c>
      <c r="H40" s="5" t="inlineStr">
        <is>
          <t>error が 1 件。60 秒の前は呼ばれず、60 秒で 1 回呼ばれる</t>
        </is>
      </c>
      <c r="I40" s="5" t="inlineStr">
        <is>
          <t>B19-T</t>
        </is>
      </c>
      <c r="J40" s="5" t="inlineStr">
        <is>
          <t>FakeClock 2026-10-22T09:00:00.000Z、runOpportunity・enterLimitStopped を vi.fn で差し替え、random → 0.5、captureLogger</t>
        </is>
      </c>
      <c r="K40" s="5" t="inlineStr"/>
      <c r="L40" s="5" t="inlineStr"/>
      <c r="M40" s="5" t="inlineStr">
        <is>
          <t>TC-UT_SCH-015 loop の想定外の例外は error を記録し、60 秒後に続ける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TC-UT_SCH-016</t>
        </is>
      </c>
      <c r="C41" s="5" t="inlineStr">
        <is>
          <t>stopAll</t>
        </is>
      </c>
      <c r="D41" s="4" t="inlineStr">
        <is>
          <t>正常系</t>
        </is>
      </c>
      <c r="E41" s="4" t="inlineStr">
        <is>
          <t>境界値</t>
        </is>
      </c>
      <c r="F41" s="5" t="inlineStr">
        <is>
          <t>emergency で実行中がなく running の生成イベントもなければ、待たずに 0 を返す</t>
        </is>
      </c>
      <c r="G41" s="5" t="inlineStr">
        <is>
          <t>前提：running の世界（seedRunningWorld、既定の world_settings）
入力：stopAll('emergency')</t>
        </is>
      </c>
      <c r="H41" s="5" t="inlineStr">
        <is>
          <t>0。時計の待ちを張らない（pendingCount 0）</t>
        </is>
      </c>
      <c r="I41" s="5" t="inlineStr">
        <is>
          <t>B22-F, B23-F</t>
        </is>
      </c>
      <c r="J41" s="5" t="inlineStr">
        <is>
          <t>FakeClock 2026-10-22T09:00:00.000Z、runOpportunity・enterLimitStopped を vi.fn で差し替え、random → 0.5</t>
        </is>
      </c>
      <c r="K41" s="5" t="inlineStr"/>
      <c r="L41" s="5" t="inlineStr"/>
      <c r="M41" s="5" t="inlineStr">
        <is>
          <t>TC-UT_SCH-016 stopAll('emergency') で実行中の行動機会がなく running の生成イベントもなければ、待たずに 0 を返す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</t>
        </is>
      </c>
    </row>
    <row r="42">
      <c r="A42" s="4" t="n">
        <v>38</v>
      </c>
      <c r="B42" s="4" t="inlineStr">
        <is>
          <t>TC-UT_SCH-017</t>
        </is>
      </c>
      <c r="C42" s="5" t="inlineStr">
        <is>
          <t>stopAll</t>
        </is>
      </c>
      <c r="D42" s="4" t="inlineStr">
        <is>
          <t>正常系</t>
        </is>
      </c>
      <c r="E42" s="4" t="inlineStr">
        <is>
          <t>分岐網羅</t>
        </is>
      </c>
      <c r="F42" s="5" t="inlineStr">
        <is>
          <t>emergency で実行中がなくても、残っている running の生成イベントは cancelled にして数える</t>
        </is>
      </c>
      <c r="G42" s="5" t="inlineStr">
        <is>
          <t>前提：running の世界（seedRunningWorld、既定の world_settings）、running の生成イベント 1 件（実行中の行動機会はない）
入力：stopAll('emergency')</t>
        </is>
      </c>
      <c r="H42" s="5" t="inlineStr">
        <is>
          <t>1。行は cancelled・failure_kind cancelled・finished_at 09:00:00.000Z</t>
        </is>
      </c>
      <c r="I42" s="5" t="inlineStr">
        <is>
          <t>B22-F, B23-T</t>
        </is>
      </c>
      <c r="J42" s="5" t="inlineStr">
        <is>
          <t>FakeClock 2026-10-22T09:00:00.000Z、runOpportunity・enterLimitStopped を vi.fn で差し替え、random → 0.5</t>
        </is>
      </c>
      <c r="K42" s="5" t="inlineStr"/>
      <c r="L42" s="5" t="inlineStr"/>
      <c r="M42" s="5" t="inlineStr">
        <is>
          <t>TC-UT_SCH-017 stopAll('emergency') で実行中の行動機会がなくても、残っている running の生成イベントは cancelled にして数える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既存テスト：なし</t>
        </is>
      </c>
    </row>
    <row r="43">
      <c r="A43" s="4" t="n">
        <v>39</v>
      </c>
      <c r="B43" s="4" t="inlineStr">
        <is>
          <t>TC-UT_SCH-018</t>
        </is>
      </c>
      <c r="C43" s="5" t="inlineStr">
        <is>
          <t>stopAll / runDueCycle</t>
        </is>
      </c>
      <c r="D43" s="4" t="inlineStr">
        <is>
          <t>正常系</t>
        </is>
      </c>
      <c r="E43" s="4" t="inlineStr">
        <is>
          <t>状態遷移</t>
        </is>
      </c>
      <c r="F43" s="5" t="inlineStr">
        <is>
          <t>stopAll('pause') の後に世界が running のまま次の巡が来たら、停止の指示を下ろして割り当てを再開する</t>
        </is>
      </c>
      <c r="G43" s="5" t="inlineStr">
        <is>
          <t>前提：running の世界（seedRunningWorld、既定の world_settings）、active 1 体
入力：stopAll('pause') → runDueCycle()</t>
        </is>
      </c>
      <c r="H43" s="5" t="inlineStr">
        <is>
          <t>true。runOpportunity は 1 回</t>
        </is>
      </c>
      <c r="I43" s="5" t="inlineStr">
        <is>
          <t>B6-F</t>
        </is>
      </c>
      <c r="J43" s="5" t="inlineStr">
        <is>
          <t>FakeClock 2026-10-22T09:00:00.000Z、runOpportunity・enterLimitStopped を vi.fn で差し替え、random → 0.5</t>
        </is>
      </c>
      <c r="K43" s="5" t="inlineStr"/>
      <c r="L43" s="5" t="inlineStr"/>
      <c r="M43" s="5" t="inlineStr">
        <is>
          <t>TC-UT_SCH-018 stopAll('pause') の後に世界が running のまま次の巡が来たら、停止の指示を下ろして割り当てを再開する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既存テスト：なし</t>
        </is>
      </c>
    </row>
    <row r="44">
      <c r="A44" s="4" t="n">
        <v>40</v>
      </c>
      <c r="B44" s="4" t="inlineStr">
        <is>
          <t>TC-UT_SCH-019</t>
        </is>
      </c>
      <c r="C44" s="5" t="inlineStr">
        <is>
          <t>runOne</t>
        </is>
      </c>
      <c r="D44" s="4" t="inlineStr">
        <is>
          <t>異常系</t>
        </is>
      </c>
      <c r="E44" s="4" t="inlineStr">
        <is>
          <t>依存</t>
        </is>
      </c>
      <c r="F44" s="5" t="inlineStr">
        <is>
          <t>FreeTierExceededError のときは free_tier_error だけにし、上限の理由で呼び直さない</t>
        </is>
      </c>
      <c r="G44" s="5" t="inlineStr">
        <is>
          <t>前提：running の世界（seedRunningWorld、既定の world_settings）、active 1 体、daily_runs_limit 480
入力：runOpportunity の中で runs 480 にして FreeTierExceededError</t>
        </is>
      </c>
      <c r="H44" s="5" t="inlineStr">
        <is>
          <t>enterLimitStopped は 1 回、引数 free_tier_error</t>
        </is>
      </c>
      <c r="I44" s="5" t="inlineStr">
        <is>
          <t>B9-T</t>
        </is>
      </c>
      <c r="J44" s="5" t="inlineStr">
        <is>
          <t>FakeClock 2026-10-22T09:00:00.000Z、runOpportunity・enterLimitStopped を vi.fn で差し替え、random → 0.5</t>
        </is>
      </c>
      <c r="K44" s="5" t="inlineStr"/>
      <c r="L44" s="5" t="inlineStr"/>
      <c r="M44" s="5" t="inlineStr">
        <is>
          <t>TC-UT_SCH-019 FreeTierExceededError のときは free_tier_error の上限停止だけにし、続けて上限の理由で呼び直さない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既存テスト：一部 TC-NOUS59_DEV-12（回数は見ていない）</t>
        </is>
      </c>
    </row>
    <row r="45">
      <c r="A45" s="4" t="n">
        <v>41</v>
      </c>
      <c r="B45" s="4" t="inlineStr">
        <is>
          <t>TC-UT_SCH-020</t>
        </is>
      </c>
      <c r="C45" s="5" t="inlineStr">
        <is>
          <t>shouldContinue</t>
        </is>
      </c>
      <c r="D45" s="4" t="inlineStr">
        <is>
          <t>正常系</t>
        </is>
      </c>
      <c r="E45" s="4" t="inlineStr">
        <is>
          <t>分岐網羅</t>
        </is>
      </c>
      <c r="F45" s="5" t="inlineStr">
        <is>
          <t>行動機会の途中で世界が running でなくなると shouldContinue が false を返す</t>
        </is>
      </c>
      <c r="G45" s="5" t="inlineStr">
        <is>
          <t>前提：running の世界（seedRunningWorld、既定の world_settings）、active 1 体
入力：実行中に worlds を paused にする</t>
        </is>
      </c>
      <c r="H45" s="5" t="inlineStr">
        <is>
          <t>paused の前 true、後 false</t>
        </is>
      </c>
      <c r="I45" s="5" t="inlineStr">
        <is>
          <t>B5-T, B5-F</t>
        </is>
      </c>
      <c r="J45" s="5" t="inlineStr">
        <is>
          <t>FakeClock 2026-10-22T09:00:00.000Z、runOpportunity・enterLimitStopped を vi.fn で差し替え、random → 0.5、release まで終わらない runOpportunity</t>
        </is>
      </c>
      <c r="K45" s="5" t="inlineStr"/>
      <c r="L45" s="5" t="inlineStr"/>
      <c r="M45" s="5" t="inlineStr">
        <is>
          <t>TC-UT_SCH-020 行動機会の途中で世界が running でなくなると shouldContinue が false を返す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既存テスト：なし（DEV-09 は stopAll による false）</t>
        </is>
      </c>
    </row>
    <row r="46">
      <c r="A46" s="4" t="n">
        <v>42</v>
      </c>
      <c r="B46" s="4" t="inlineStr">
        <is>
          <t>TC-UT_SCH-021</t>
        </is>
      </c>
      <c r="C46" s="5" t="inlineStr">
        <is>
          <t>runCycle</t>
        </is>
      </c>
      <c r="D46" s="4" t="inlineStr">
        <is>
          <t>正常系</t>
        </is>
      </c>
      <c r="E46" s="4" t="inlineStr">
        <is>
          <t>依存</t>
        </is>
      </c>
      <c r="F46" s="5" t="inlineStr">
        <is>
          <t>1 巡の全員に、random から作った同じ cycleSeed と同じ cycleNo を渡す</t>
        </is>
      </c>
      <c r="G46" s="5" t="inlineStr">
        <is>
          <t>前提：running の世界（seedRunningWorld、既定の world_settings）、active 2 体
入力：random → 0.25</t>
        </is>
      </c>
      <c r="H46" s="5" t="inlineStr">
        <is>
          <t>cycleSeed は 2 体とも 1073741824（floor(0.25×2^32)）、cycleNo は 1</t>
        </is>
      </c>
      <c r="I46" s="5" t="inlineStr"/>
      <c r="J46" s="5" t="inlineStr">
        <is>
          <t>FakeClock 2026-10-22T09:00:00.000Z、random → 0.25</t>
        </is>
      </c>
      <c r="K46" s="5" t="inlineStr"/>
      <c r="L46" s="5" t="inlineStr"/>
      <c r="M46" s="5" t="inlineStr">
        <is>
          <t>TC-UT_SCH-021 1 巡の全員に、random から作った同じ cycleSeed と同じ cycleNo を渡す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既存テスト：なし</t>
        </is>
      </c>
    </row>
    <row r="47">
      <c r="A47" s="4" t="n">
        <v>43</v>
      </c>
      <c r="B47" s="4" t="inlineStr">
        <is>
          <t>TC-UT_SCH-022</t>
        </is>
      </c>
      <c r="C47" s="5" t="inlineStr">
        <is>
          <t>wake / loop</t>
        </is>
      </c>
      <c r="D47" s="4" t="inlineStr">
        <is>
          <t>正常系</t>
        </is>
      </c>
      <c r="E47" s="4" t="inlineStr">
        <is>
          <t>分岐網羅</t>
        </is>
      </c>
      <c r="F47" s="5" t="inlineStr">
        <is>
          <t>巡の途中（loop が待っていないとき）に wake されても、次の巡は next_cycle_at まで始めない</t>
        </is>
      </c>
      <c r="G47" s="5" t="inlineStr">
        <is>
          <t>前提：running の世界（seedRunningWorld、既定の world_settings）、active 1 体
入力：start() → 巡の途中で wake() → 20 分進める</t>
        </is>
      </c>
      <c r="H47" s="5" t="inlineStr">
        <is>
          <t>wake の後は 1 回のまま、20 分で 2 回</t>
        </is>
      </c>
      <c r="I47" s="5" t="inlineStr">
        <is>
          <t>B3-T, B24-F</t>
        </is>
      </c>
      <c r="J47" s="5" t="inlineStr">
        <is>
          <t>FakeClock 2026-10-22T09:00:00.000Z、runOpportunity・enterLimitStopped を vi.fn で差し替え、random → 0.5、release まで終わらない runOpportunity</t>
        </is>
      </c>
      <c r="K47" s="5" t="inlineStr"/>
      <c r="L47" s="5" t="inlineStr"/>
      <c r="M47" s="5" t="inlineStr">
        <is>
          <t>TC-UT_SCH-022 巡の途中（loop が待っていないとき）に wake されても、次の巡は next_cycle_at まで始めない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既存テスト：なし</t>
        </is>
      </c>
    </row>
    <row r="48">
      <c r="A48" s="4" t="n">
        <v>44</v>
      </c>
      <c r="B48" s="4" t="inlineStr">
        <is>
          <t>TC-UT_SCH-023</t>
        </is>
      </c>
      <c r="C48" s="5" t="inlineStr">
        <is>
          <t>stopAll</t>
        </is>
      </c>
      <c r="D48" s="4" t="inlineStr">
        <is>
          <t>異常系</t>
        </is>
      </c>
      <c r="E48" s="4" t="inlineStr">
        <is>
          <t>分岐網羅</t>
        </is>
      </c>
      <c r="F48" s="5" t="inlineStr">
        <is>
          <t>現在の世界がないときの stopAll('emergency') は、生成イベントを読まずに 0 を返す</t>
        </is>
      </c>
      <c r="G48" s="5" t="inlineStr">
        <is>
          <t>前提：世界を archived にする。running の生成イベント 1 件
入力：stopAll('emergency')</t>
        </is>
      </c>
      <c r="H48" s="5" t="inlineStr">
        <is>
          <t>0。生成イベントは running のまま</t>
        </is>
      </c>
      <c r="I48" s="5" t="inlineStr">
        <is>
          <t>B20-T</t>
        </is>
      </c>
      <c r="J48" s="5" t="inlineStr">
        <is>
          <t>FakeClock 2026-10-22T09:00:00.000Z、runOpportunity・enterLimitStopped を vi.fn で差し替え、random → 0.5</t>
        </is>
      </c>
      <c r="K48" s="5" t="inlineStr"/>
      <c r="L48" s="5" t="inlineStr"/>
      <c r="M48" s="5" t="inlineStr">
        <is>
          <t>TC-UT_SCH-023 現在の世界がないときの stopAll('emergency') は、生成イベントを読まずに 0 を返す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既存テスト：なし
archived の世界の running の行は、次の起動の B07 が閉じる</t>
        </is>
      </c>
    </row>
  </sheetData>
  <autoFilter ref="A4:Q48"/>
  <conditionalFormatting sqref="A5:Q98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98" showDropDown="0" showInputMessage="0" showErrorMessage="0" allowBlank="1" type="list">
      <formula1>"未実施,OK,NG,保留,対象外"</formula1>
    </dataValidation>
    <dataValidation sqref="D5:D98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COUNTA(観点表!$B$5:$B$98)</f>
        <v/>
      </c>
    </row>
    <row r="6">
      <c r="A6" s="10" t="inlineStr">
        <is>
          <t>正常系</t>
        </is>
      </c>
      <c r="B6" s="10">
        <f>COUNTIF(観点表!$D$5:$D$98,"正常系")</f>
        <v/>
      </c>
    </row>
    <row r="7">
      <c r="A7" s="10" t="inlineStr">
        <is>
          <t>異常系</t>
        </is>
      </c>
      <c r="B7" s="10">
        <f>COUNTIF(観点表!$D$5:$D$98,"異常系")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COUNTIF(観点表!$E$5:$E$98,"エラー処理")</f>
        <v/>
      </c>
    </row>
    <row r="11">
      <c r="A11" s="10" t="inlineStr">
        <is>
          <t>依存</t>
        </is>
      </c>
      <c r="B11" s="10">
        <f>COUNTIF(観点表!$E$5:$E$98,"依存")</f>
        <v/>
      </c>
    </row>
    <row r="12">
      <c r="A12" s="10" t="inlineStr">
        <is>
          <t>分岐網羅</t>
        </is>
      </c>
      <c r="B12" s="10">
        <f>COUNTIF(観点表!$E$5:$E$98,"分岐網羅")</f>
        <v/>
      </c>
    </row>
    <row r="13">
      <c r="A13" s="10" t="inlineStr">
        <is>
          <t>同値分割</t>
        </is>
      </c>
      <c r="B13" s="10">
        <f>COUNTIF(観点表!$E$5:$E$98,"同値分割")</f>
        <v/>
      </c>
    </row>
    <row r="14">
      <c r="A14" s="10" t="inlineStr">
        <is>
          <t>境界値</t>
        </is>
      </c>
      <c r="B14" s="10">
        <f>COUNTIF(観点表!$E$5:$E$98,"境界値")</f>
        <v/>
      </c>
    </row>
    <row r="15">
      <c r="A15" s="10" t="inlineStr">
        <is>
          <t>状態遷移</t>
        </is>
      </c>
      <c r="B15" s="10">
        <f>COUNTIF(観点表!$E$5:$E$98,"状態遷移")</f>
        <v/>
      </c>
    </row>
    <row r="16">
      <c r="A16" s="10" t="inlineStr">
        <is>
          <t>開発者テスト</t>
        </is>
      </c>
      <c r="B16" s="10">
        <f>COUNTIF(観点表!$E$5:$E$98,"開発者テスト")</f>
        <v/>
      </c>
    </row>
    <row r="18">
      <c r="A18" s="8" t="inlineStr">
        <is>
          <t>テストデータ</t>
        </is>
      </c>
      <c r="B18" s="9" t="n"/>
      <c r="C18" s="9" t="n"/>
    </row>
    <row r="19">
      <c r="A19" s="10" t="inlineStr">
        <is>
          <t>作成済み</t>
        </is>
      </c>
      <c r="B19" s="10">
        <f>COUNTIF(観点表!$K$5:$K$98,"?*")</f>
        <v/>
      </c>
    </row>
    <row r="20">
      <c r="A20" s="10" t="inlineStr">
        <is>
          <t>未作成</t>
        </is>
      </c>
      <c r="B20" s="10">
        <f>B5-B19</f>
        <v/>
      </c>
    </row>
    <row r="22">
      <c r="A22" s="8" t="inlineStr">
        <is>
          <t>実施状況</t>
        </is>
      </c>
      <c r="B22" s="9" t="n"/>
      <c r="C22" s="9" t="n"/>
    </row>
    <row r="23">
      <c r="A23" s="10" t="inlineStr">
        <is>
          <t>未実施</t>
        </is>
      </c>
      <c r="B23" s="10">
        <f>COUNTIF(観点表!$N$5:$N$98,"未実施")</f>
        <v/>
      </c>
    </row>
    <row r="24">
      <c r="A24" s="10" t="inlineStr">
        <is>
          <t>OK</t>
        </is>
      </c>
      <c r="B24" s="10">
        <f>COUNTIF(観点表!$N$5:$N$98,"OK")</f>
        <v/>
      </c>
    </row>
    <row r="25">
      <c r="A25" s="10" t="inlineStr">
        <is>
          <t>NG</t>
        </is>
      </c>
      <c r="B25" s="10">
        <f>COUNTIF(観点表!$N$5:$N$98,"NG")</f>
        <v/>
      </c>
    </row>
    <row r="26">
      <c r="A26" s="10" t="inlineStr">
        <is>
          <t>保留</t>
        </is>
      </c>
      <c r="B26" s="10">
        <f>COUNTIF(観点表!$N$5:$N$98,"保留")</f>
        <v/>
      </c>
    </row>
    <row r="27">
      <c r="A27" s="10" t="inlineStr">
        <is>
          <t>対象外</t>
        </is>
      </c>
      <c r="B27" s="10">
        <f>COUNTIF(観点表!$N$5:$N$98,"対象外")</f>
        <v/>
      </c>
    </row>
    <row r="28">
      <c r="A28" s="10" t="inlineStr">
        <is>
          <t>消化率（未実施以外 / 総数）</t>
        </is>
      </c>
      <c r="B28" s="11">
        <f>IF(B5=0,0,(B5-B23)/B5)</f>
        <v/>
      </c>
    </row>
    <row r="29">
      <c r="A29" s="10" t="inlineStr">
        <is>
          <t>合格率（OK / (総数-対象外)）</t>
        </is>
      </c>
      <c r="B29" s="11">
        <f>IF(B5-B27=0,0,B24/(B5-B27))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TC-NOUS59_DEV-01</t>
        </is>
      </c>
      <c r="B5" s="13" t="inlineStr">
        <is>
          <t>running の世界で 1 巡を実行し、active の全員に 1 回ずつ割り当てる（stopped の住人は除く）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TC-NOUS59_DEV-02</t>
        </is>
      </c>
      <c r="B6" s="13" t="inlineStr">
        <is>
          <t>次の巡は巡の開始＋cycle_minutes で、それまでは巡を始めない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TC-NOUS59_DEV-03</t>
        </is>
      </c>
      <c r="B7" s="13" t="inlineStr">
        <is>
          <t>1 巡が周期より長ければ、次の巡を巡の終わりまで遅らせる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TC-NOUS59_DEV-04</t>
        </is>
      </c>
      <c r="B8" s="13" t="inlineStr">
        <is>
          <t>max_concurrency=1 を超えて同時に実行しない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TC-NOUS59_DEV-05</t>
        </is>
      </c>
      <c r="B9" s="13" t="inlineStr">
        <is>
          <t>max_concurrency=2 を超えて同時に実行しない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TC-NOUS59_DEV-06</t>
        </is>
      </c>
      <c r="B10" s="13" t="inlineStr">
        <is>
          <t>世界が running でなければ巡を始めない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TC-NOUS59_DEV-07</t>
        </is>
      </c>
      <c r="B11" s="13" t="inlineStr">
        <is>
          <t>loop は running でない間は待ち、wake で確かめ直して巡を始める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TC-NOUS59_DEV-08</t>
        </is>
      </c>
      <c r="B12" s="13" t="inlineStr">
        <is>
          <t>activity_percent の割合（切り上げ）だけ選び、同じ種なら同じ順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TC-NOUS59_DEV-09</t>
        </is>
      </c>
      <c r="B13" s="13" t="inlineStr">
        <is>
          <t>stopAll('pause') の後は新しい割り当てをせず、shouldContinue が false になり 0 を返す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TC-NOUS59_DEV-10</t>
        </is>
      </c>
      <c r="B14" s="13" t="inlineStr">
        <is>
          <t>stopAll('emergency') は実行中の AbortController を止め、取り消した件数を返す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TC-NOUS59_DEV-11</t>
        </is>
      </c>
      <c r="B15" s="13" t="inlineStr">
        <is>
          <t>緊急停止の後 5 秒を過ぎても running の行は cancelled に直し、件数に入れる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TC-NOUS59_DEV-12</t>
        </is>
      </c>
      <c r="B16" s="13" t="inlineStr">
        <is>
          <t>FreeTierExceededError で enterLimitStopped('free_tier_error')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TC-NOUS59_DEV-13</t>
        </is>
      </c>
      <c r="B17" s="13" t="inlineStr">
        <is>
          <t>行動機会の後に Neurons が上限に達していたら enterLimitStopped('neurons_limit') し、次を割り当てない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TC-NOUS59_DEV-14</t>
        </is>
      </c>
      <c r="B18" s="13" t="inlineStr">
        <is>
          <t>行動機会の後に回数が上限に達していたら enterLimitStopped('runs_limit') し、次を割り当てない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TC-NOUS59_DEV-15</t>
        </is>
      </c>
      <c r="B19" s="13" t="inlineStr">
        <is>
          <t>runOpportunity の想定外の例外は記録して巡を続ける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TC-NOUS59_DEV-16</t>
        </is>
      </c>
      <c r="B20" s="13" t="inlineStr">
        <is>
          <t>runningCount は実行中の数を返し、stop で取り消して 0 になる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TC-NOUS59_DEV-17</t>
        </is>
      </c>
      <c r="B21" s="13" t="inlineStr">
        <is>
          <t>既定の enterLimitStopped は世界を limit_stopped（free_tier_error）にする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TC-NOUS83_DEV-09</t>
        </is>
      </c>
      <c r="B22" s="13" t="inlineStr">
        <is>
          <t>stopAll('pause') は stopSignal を abort し、signal は abort せずに 0 を返す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TC-NOUS83_DEV-10</t>
        </is>
      </c>
      <c r="B23" s="13" t="inlineStr">
        <is>
          <t>stopAll('limit') は stopSignal を abort し、signal は abort せずに 0 を返す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TC-NOUS83_DEV-11</t>
        </is>
      </c>
      <c r="B24" s="13" t="inlineStr">
        <is>
          <t>stopAll('emergency') は signal を abort し、取り消した件数を返す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TC-NOUS83_DEV-12</t>
        </is>
      </c>
      <c r="B25" s="13" t="inlineStr">
        <is>
          <t>stopAll('pause') で再試行の待ちの途中の行動機会が、時計を進めずに stopped で閉じる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TC-UT_SCH-001</t>
        </is>
      </c>
      <c r="B26" s="13" t="inlineStr">
        <is>
          <t>next_cycle_at の 1 ミリ秒前は巡を始めず、ちょうどで始める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TC-UT_SCH-002</t>
        </is>
      </c>
      <c r="B27" s="13" t="inlineStr">
        <is>
          <t>next_cycle_at が NULL の running の世界は、すぐに巡を始めて next_cycle_at を書く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TC-UT_SCH-003</t>
        </is>
      </c>
      <c r="B28" s="13" t="inlineStr">
        <is>
          <t>現在の世界がないときは巡を始めず false を返す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TC-UT_SCH-004</t>
        </is>
      </c>
      <c r="B29" s="13" t="inlineStr">
        <is>
          <t>running でない状態（preparing・limit_stopped・emergency_stopped）では巡を始めず cycle_no も進めない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TC-UT_SCH-005</t>
        </is>
      </c>
      <c r="B30" s="13" t="inlineStr">
        <is>
          <t>world_settings がない running の世界では例外を投げる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TC-UT_SCH-006</t>
        </is>
      </c>
      <c r="B31" s="13" t="inlineStr">
        <is>
          <t>active が 0 体でも巡は終わり、cycle_no と next_cycle_at を進める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TC-UT_SCH-007</t>
        </is>
      </c>
      <c r="B32" s="13" t="inlineStr">
        <is>
          <t>max_concurrency が対象の数より大きいときは、対象の数まで同時に実行する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TC-UT_SCH-008</t>
        </is>
      </c>
      <c r="B33" s="13" t="inlineStr">
        <is>
          <t>巡の始めにその日の回数が上限ちょうどなら、1 件も割り当てない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TC-UT_SCH-009</t>
        </is>
      </c>
      <c r="B34" s="13" t="inlineStr">
        <is>
          <t>行動機会の後の利用が上限の 1 つ手前なら上限停止にせず、次の住人にも割り当てる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TC-UT_SCH-010</t>
        </is>
      </c>
      <c r="B35" s="13" t="inlineStr">
        <is>
          <t>割合を切り上げ、1 体以上なら最低 1 体、体数を超えない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TC-UT_SCH-011</t>
        </is>
      </c>
      <c r="B36" s="13" t="inlineStr">
        <is>
          <t>空と 1 件の配列をそのまま返し、元の配列を書き換えない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TC-UT_SCH-012</t>
        </is>
      </c>
      <c r="B37" s="13" t="inlineStr">
        <is>
          <t>start を 2 回呼んでも loop は 1 つだけ動く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TC-UT_SCH-013</t>
        </is>
      </c>
      <c r="B38" s="13" t="inlineStr">
        <is>
          <t>stop の後は start も wake も巡を始めない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TC-UT_SCH-014</t>
        </is>
      </c>
      <c r="B39" s="13" t="inlineStr">
        <is>
          <t>loop は next_cycle_at まで時計で待ち、1 ミリ秒前では始めず、ちょうどで次の巡を始める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TC-UT_SCH-015</t>
        </is>
      </c>
      <c r="B40" s="13" t="inlineStr">
        <is>
          <t>loop の想定外の例外は error を記録し、60 秒後に続ける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TC-UT_SCH-016</t>
        </is>
      </c>
      <c r="B41" s="13" t="inlineStr">
        <is>
          <t>emergency で実行中がなく running の生成イベントもなければ、待たずに 0 を返す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TC-UT_SCH-017</t>
        </is>
      </c>
      <c r="B42" s="13" t="inlineStr">
        <is>
          <t>emergency で実行中がなくても、残っている running の生成イベントは cancelled にして数える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TC-UT_SCH-018</t>
        </is>
      </c>
      <c r="B43" s="13" t="inlineStr">
        <is>
          <t>stopAll('pause') の後に世界が running のまま次の巡が来たら、停止の指示を下ろして割り当てを再開する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TC-UT_SCH-019</t>
        </is>
      </c>
      <c r="B44" s="13" t="inlineStr">
        <is>
          <t>FreeTierExceededError のときは free_tier_error だけにし、上限の理由で呼び直さない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TC-UT_SCH-020</t>
        </is>
      </c>
      <c r="B45" s="13" t="inlineStr">
        <is>
          <t>行動機会の途中で世界が running でなくなると shouldContinue が false を返す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TC-UT_SCH-021</t>
        </is>
      </c>
      <c r="B46" s="13" t="inlineStr">
        <is>
          <t>1 巡の全員に、random から作った同じ cycleSeed と同じ cycleNo を渡す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TC-UT_SCH-022</t>
        </is>
      </c>
      <c r="B47" s="13" t="inlineStr">
        <is>
          <t>巡の途中（loop が待っていないとき）に wake されても、次の巡は next_cycle_at まで始めない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TC-UT_SCH-023</t>
        </is>
      </c>
      <c r="B48" s="13" t="inlineStr">
        <is>
          <t>現在の世界がないときの stopAll('emergency') は、生成イベントを読まずに 0 を返す</t>
        </is>
      </c>
      <c r="C48" s="13" t="inlineStr">
        <is>
          <t>未作成</t>
        </is>
      </c>
      <c r="D48" s="13" t="inlineStr"/>
      <c r="E48" s="13" t="inlineStr"/>
      <c r="F48" s="13" t="inlineStr"/>
    </row>
  </sheetData>
  <autoFilter ref="A4:F4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スケジューラー B01（scheduler/scheduler.ts）</t>
        </is>
      </c>
    </row>
    <row r="4">
      <c r="A4" s="14" t="inlineStr">
        <is>
          <t>対象ファイル</t>
        </is>
      </c>
      <c r="B4" s="15" t="inlineStr">
        <is>
          <t>apps/server/src/scheduler/scheduler.ts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apps/server/src/scheduler/scheduler.test.ts（実装時、NOUS-59・83）, apps/server/src/scheduler/scheduler.ut.test.ts（単体テストで追加）</t>
        </is>
      </c>
    </row>
    <row r="7">
      <c r="A7" s="14" t="inlineStr">
        <is>
          <t>外部依存</t>
        </is>
      </c>
      <c r="B7" s="15" t="inlineStr">
        <is>
          <t>DB（一時 DB）, 時計（FakeClock）, runOpportunity（差し替え）, enterLimitStopped（差し替え、既定は worldService）, 乱数（random を差し替え）, LlmClient（呼ばれない差し替え）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pickCount：total &lt;= 0</t>
        </is>
      </c>
      <c r="C11" s="17" t="inlineStr">
        <is>
          <t>scheduler.ts:87</t>
        </is>
      </c>
    </row>
    <row r="12">
      <c r="A12" s="17" t="inlineStr">
        <is>
          <t>B2</t>
        </is>
      </c>
      <c r="B12" s="17" t="inlineStr">
        <is>
          <t>sleepUntilWake：closed なら待たない</t>
        </is>
      </c>
      <c r="C12" s="17" t="inlineStr">
        <is>
          <t>scheduler.ts:112</t>
        </is>
      </c>
    </row>
    <row r="13">
      <c r="A13" s="17" t="inlineStr">
        <is>
          <t>B3</t>
        </is>
      </c>
      <c r="B13" s="17" t="inlineStr">
        <is>
          <t>sleepUntilWake：wakePending（待ちの外で wake された）</t>
        </is>
      </c>
      <c r="C13" s="17" t="inlineStr">
        <is>
          <t>scheduler.ts:113</t>
        </is>
      </c>
    </row>
    <row r="14">
      <c r="A14" s="17" t="inlineStr">
        <is>
          <t>B4</t>
        </is>
      </c>
      <c r="B14" s="17" t="inlineStr">
        <is>
          <t>sleepUntilWake：abort 以外の例外を投げ直す（!controller.signal.aborted）</t>
        </is>
      </c>
      <c r="C14" s="17" t="inlineStr">
        <is>
          <t>scheduler.ts:122</t>
        </is>
      </c>
    </row>
    <row r="15">
      <c r="A15" s="17" t="inlineStr">
        <is>
          <t>B5</t>
        </is>
      </c>
      <c r="B15" s="17" t="inlineStr">
        <is>
          <t>isWorldRunning：現在の世界があり、同じ world_id で running</t>
        </is>
      </c>
      <c r="C15" s="17" t="inlineStr">
        <is>
          <t>scheduler.ts:130</t>
        </is>
      </c>
    </row>
    <row r="16">
      <c r="A16" s="17" t="inlineStr">
        <is>
          <t>B6</t>
        </is>
      </c>
      <c r="B16" s="17" t="inlineStr">
        <is>
          <t>canAssign：closed || stopRequested || !isWorldRunning</t>
        </is>
      </c>
      <c r="C16" s="17" t="inlineStr">
        <is>
          <t>scheduler.ts:135</t>
        </is>
      </c>
    </row>
    <row r="17">
      <c r="A17" s="17" t="inlineStr">
        <is>
          <t>B7</t>
        </is>
      </c>
      <c r="B17" s="17" t="inlineStr">
        <is>
          <t>canAssign：world_settings がない</t>
        </is>
      </c>
      <c r="C17" s="17" t="inlineStr">
        <is>
          <t>scheduler.ts:137</t>
        </is>
      </c>
    </row>
    <row r="18">
      <c r="A18" s="17" t="inlineStr">
        <is>
          <t>B8</t>
        </is>
      </c>
      <c r="B18" s="17" t="inlineStr">
        <is>
          <t>canAssign：isWithinLimits（その日の上限の中）</t>
        </is>
      </c>
      <c r="C18" s="17" t="inlineStr">
        <is>
          <t>scheduler.ts:138</t>
        </is>
      </c>
    </row>
    <row r="19">
      <c r="A19" s="17" t="inlineStr">
        <is>
          <t>B9</t>
        </is>
      </c>
      <c r="B19" s="17" t="inlineStr">
        <is>
          <t>runOne：例外が FreeTierExceededError</t>
        </is>
      </c>
      <c r="C19" s="17" t="inlineStr">
        <is>
          <t>scheduler.ts:165</t>
        </is>
      </c>
    </row>
    <row r="20">
      <c r="A20" s="17" t="inlineStr">
        <is>
          <t>B10</t>
        </is>
      </c>
      <c r="B20" s="17" t="inlineStr">
        <is>
          <t>runOne：行動機会の後に world_settings がある</t>
        </is>
      </c>
      <c r="C20" s="17" t="inlineStr">
        <is>
          <t>scheduler.ts:179</t>
        </is>
      </c>
    </row>
    <row r="21">
      <c r="A21" s="17" t="inlineStr">
        <is>
          <t>B11</t>
        </is>
      </c>
      <c r="B21" s="17" t="inlineStr">
        <is>
          <t>runOne：limitReason が null でない（上限に達した）</t>
        </is>
      </c>
      <c r="C21" s="17" t="inlineStr">
        <is>
          <t>scheduler.ts:181</t>
        </is>
      </c>
    </row>
    <row r="22">
      <c r="A22" s="17" t="inlineStr">
        <is>
          <t>B12</t>
        </is>
      </c>
      <c r="B22" s="17" t="inlineStr">
        <is>
          <t>worker：割り当てる住人が残っていない（targets[next] === undefined）</t>
        </is>
      </c>
      <c r="C22" s="17" t="inlineStr">
        <is>
          <t>scheduler.ts:220</t>
        </is>
      </c>
    </row>
    <row r="23">
      <c r="A23" s="17" t="inlineStr">
        <is>
          <t>B13</t>
        </is>
      </c>
      <c r="B23" s="17" t="inlineStr">
        <is>
          <t>runDueCycle：世界がない、または running でない</t>
        </is>
      </c>
      <c r="C23" s="17" t="inlineStr">
        <is>
          <t>scheduler.ts:231</t>
        </is>
      </c>
    </row>
    <row r="24">
      <c r="A24" s="17" t="inlineStr">
        <is>
          <t>B14</t>
        </is>
      </c>
      <c r="B24" s="17" t="inlineStr">
        <is>
          <t>runDueCycle：next_cycle_at があり、まだ来ていない</t>
        </is>
      </c>
      <c r="C24" s="17" t="inlineStr">
        <is>
          <t>scheduler.ts:232</t>
        </is>
      </c>
    </row>
    <row r="25">
      <c r="A25" s="17" t="inlineStr">
        <is>
          <t>B15</t>
        </is>
      </c>
      <c r="B25" s="17" t="inlineStr">
        <is>
          <t>runDueCycle：world_settings がない</t>
        </is>
      </c>
      <c r="C25" s="17" t="inlineStr">
        <is>
          <t>scheduler.ts:234</t>
        </is>
      </c>
    </row>
    <row r="26">
      <c r="A26" s="17" t="inlineStr">
        <is>
          <t>B16</t>
        </is>
      </c>
      <c r="B26" s="17" t="inlineStr">
        <is>
          <t>runDueCycle：巡が周期より長い（巡の終わり &gt; 巡の開始＋周期）</t>
        </is>
      </c>
      <c r="C26" s="17" t="inlineStr">
        <is>
          <t>scheduler.ts:241</t>
        </is>
      </c>
    </row>
    <row r="27">
      <c r="A27" s="17" t="inlineStr">
        <is>
          <t>B17</t>
        </is>
      </c>
      <c r="B27" s="17" t="inlineStr">
        <is>
          <t>loop：runDueCycle が true（巡を実行した）</t>
        </is>
      </c>
      <c r="C27" s="17" t="inlineStr">
        <is>
          <t>scheduler.ts:253</t>
        </is>
      </c>
    </row>
    <row r="28">
      <c r="A28" s="17" t="inlineStr">
        <is>
          <t>B18</t>
        </is>
      </c>
      <c r="B28" s="17" t="inlineStr">
        <is>
          <t>loop：running で next_cycle_at がある（next_cycle_at まで待つ）</t>
        </is>
      </c>
      <c r="C28" s="17" t="inlineStr">
        <is>
          <t>scheduler.ts:255</t>
        </is>
      </c>
    </row>
    <row r="29">
      <c r="A29" s="17" t="inlineStr">
        <is>
          <t>B19</t>
        </is>
      </c>
      <c r="B29" s="17" t="inlineStr">
        <is>
          <t>loop：想定外の例外（catch）</t>
        </is>
      </c>
      <c r="C29" s="17" t="inlineStr">
        <is>
          <t>scheduler.ts:261</t>
        </is>
      </c>
    </row>
    <row r="30">
      <c r="A30" s="17" t="inlineStr">
        <is>
          <t>B20</t>
        </is>
      </c>
      <c r="B30" s="17" t="inlineStr">
        <is>
          <t>runningEventIds：現在の世界がない</t>
        </is>
      </c>
      <c r="C30" s="17" t="inlineStr">
        <is>
          <t>scheduler.ts:274</t>
        </is>
      </c>
    </row>
    <row r="31">
      <c r="A31" s="17" t="inlineStr">
        <is>
          <t>B21</t>
        </is>
      </c>
      <c r="B31" s="17" t="inlineStr">
        <is>
          <t>stopAll：mode が emergency でない（pause・limit）</t>
        </is>
      </c>
      <c r="C31" s="17" t="inlineStr">
        <is>
          <t>scheduler.ts:288</t>
        </is>
      </c>
    </row>
    <row r="32">
      <c r="A32" s="17" t="inlineStr">
        <is>
          <t>B22</t>
        </is>
      </c>
      <c r="B32" s="17" t="inlineStr">
        <is>
          <t>stopAll：実行中の行動機会がある（entries.length &gt; 0）</t>
        </is>
      </c>
      <c r="C32" s="17" t="inlineStr">
        <is>
          <t>scheduler.ts:297</t>
        </is>
      </c>
    </row>
    <row r="33">
      <c r="A33" s="17" t="inlineStr">
        <is>
          <t>B23</t>
        </is>
      </c>
      <c r="B33" s="17" t="inlineStr">
        <is>
          <t>stopAll：5 秒の後も running の生成イベントがある</t>
        </is>
      </c>
      <c r="C33" s="17" t="inlineStr">
        <is>
          <t>scheduler.ts:308</t>
        </is>
      </c>
    </row>
    <row r="34">
      <c r="A34" s="17" t="inlineStr">
        <is>
          <t>B24</t>
        </is>
      </c>
      <c r="B34" s="17" t="inlineStr">
        <is>
          <t>wake：loop が待っている（wakeController がある）</t>
        </is>
      </c>
      <c r="C34" s="17" t="inlineStr">
        <is>
          <t>scheduler.ts:320</t>
        </is>
      </c>
    </row>
    <row r="35">
      <c r="A35" s="17" t="inlineStr">
        <is>
          <t>B25</t>
        </is>
      </c>
      <c r="B35" s="17" t="inlineStr">
        <is>
          <t>start：started || closed</t>
        </is>
      </c>
      <c r="C35" s="17" t="inlineStr">
        <is>
          <t>scheduler.ts:329</t>
        </is>
      </c>
    </row>
    <row r="36">
      <c r="A36" s="17" t="inlineStr">
        <is>
          <t>B26</t>
        </is>
      </c>
      <c r="B36" s="17" t="inlineStr">
        <is>
          <t>createScheduler：deps.enterLimitStopped を渡した</t>
        </is>
      </c>
      <c r="C36" s="17" t="inlineStr">
        <is>
          <t>scheduler.ts:347</t>
        </is>
      </c>
    </row>
    <row r="38">
      <c r="A38" s="14" t="inlineStr">
        <is>
          <t>確認事項・潜在バグ</t>
        </is>
      </c>
    </row>
    <row r="39" ht="30" customHeight="1">
      <c r="A39" s="18" t="inlineStr">
        <is>
          <t>・確認事項 1：B2-T（closed のときの sleepUntilWake）・B4-T（abort 以外の sleep の例外）・B7-T と B10-F（巡の途中で world_settings が消える）は、公開の操作からは起こせない（または FakeClock では起きない）ため、ケースを作っていない。</t>
        </is>
      </c>
    </row>
    <row r="40" ht="30" customHeight="1">
      <c r="A40" s="18" t="inlineStr">
        <is>
          <t>・確認事項 2：設計書（world 4章 runCycle 3）は「そのエージェントが active か」を割り当ての前に確かめるとしているが、Scheduler は巡の始めに active を選ぶだけで、割り当ての時点の確認は runOpportunity が行う（opportunityRunner.ts）。両方を合わせて設計どおりと見て、Scheduler の単体テストでは扱わない（NOUS-104 の範囲）。</t>
        </is>
      </c>
    </row>
  </sheetData>
  <mergeCells count="2">
    <mergeCell ref="A40:C40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2026-10-23T07:23:02Z</dcterms:created>
  <dcterms:modified xsi:type="dcterms:W3CDTF">2026-10-23T07:23:02Z</dcterms:modified>
</cp:coreProperties>
</file>