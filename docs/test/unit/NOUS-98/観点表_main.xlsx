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'観点表'!$A$4:$Q$15</definedName>
    <definedName name="_xlnm.Print_Titles" localSheetId="0">'観点表'!$4:$4</definedName>
    <definedName name="_xlnm._FilterDatabase" localSheetId="2" hidden="1">'テストデータ'!$A$4:$F$15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起動と終了（main.ts・index.ts）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TC-NOUS60_DEV-19</t>
        </is>
      </c>
      <c r="C5" s="5" t="inlineStr">
        <is>
          <t>startApp</t>
        </is>
      </c>
      <c r="D5" s="4" t="inlineStr">
        <is>
          <t>正常系</t>
        </is>
      </c>
      <c r="E5" s="4" t="inlineStr">
        <is>
          <t>開発者テスト</t>
        </is>
      </c>
      <c r="F5" s="5" t="inlineStr">
        <is>
          <t>起動の順が recover → backup → observer → admin → scheduler.start で、初回の世界が作られ、Scheduler が管理 API に渡る</t>
        </is>
      </c>
      <c r="G5" s="5" t="inlineStr">
        <is>
          <t>前提：世界なし
入力：startApp</t>
        </is>
      </c>
      <c r="H5" s="5" t="inlineStr">
        <is>
          <t>順が一致、世界「世界 2026-10-22」、resolveScheduler が渡した Scheduler</t>
        </is>
      </c>
      <c r="I5" s="5" t="inlineStr">
        <is>
          <t>B2-F, B3-T, B4-F, B5-T, B7-F</t>
        </is>
      </c>
      <c r="J5" s="5" t="inlineStr">
        <is>
          <t>FakeClock 2026-10-22T00:00:00.000Z、一時 DB、recover・backup・startObserver・startAdmin・createScheduler を差し替え</t>
        </is>
      </c>
      <c r="K5" s="5" t="inlineStr"/>
      <c r="L5" s="5" t="inlineStr"/>
      <c r="M5" s="5" t="inlineStr">
        <is>
          <t>TC-NOUS60_DEV-19 startApp の順が recover → backup → observer → admin → scheduler.start であり、初回の世界が作られ、Scheduler が管理 API に渡る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既存テスト：実装時のテスト（NOUS-60）</t>
        </is>
      </c>
    </row>
    <row r="6">
      <c r="A6" s="4" t="n">
        <v>2</v>
      </c>
      <c r="B6" s="4" t="inlineStr">
        <is>
          <t>TC-NOUS60_DEV-20</t>
        </is>
      </c>
      <c r="C6" s="5" t="inlineStr">
        <is>
          <t>startApp</t>
        </is>
      </c>
      <c r="D6" s="4" t="inlineStr">
        <is>
          <t>異常系</t>
        </is>
      </c>
      <c r="E6" s="4" t="inlineStr">
        <is>
          <t>開発者テスト</t>
        </is>
      </c>
      <c r="F6" s="5" t="inlineStr">
        <is>
          <t>バックアップが失敗してもエラーを記録して起動が続く</t>
        </is>
      </c>
      <c r="G6" s="5" t="inlineStr">
        <is>
          <t>前提：世界なし
入力：backup が BackupError</t>
        </is>
      </c>
      <c r="H6" s="5" t="inlineStr">
        <is>
          <t>順は同じで起動する、error が記録される</t>
        </is>
      </c>
      <c r="I6" s="5" t="inlineStr">
        <is>
          <t>B4-T</t>
        </is>
      </c>
      <c r="J6" s="5" t="inlineStr">
        <is>
          <t>FakeClock 2026-10-22T00:00:00.000Z、一時 DB、recover・backup・startObserver・startAdmin・createScheduler を差し替え</t>
        </is>
      </c>
      <c r="K6" s="5" t="inlineStr"/>
      <c r="L6" s="5" t="inlineStr"/>
      <c r="M6" s="5" t="inlineStr">
        <is>
          <t>TC-NOUS60_DEV-20 バックアップが失敗してもエラーを記録して起動が続く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既存テスト：実装時のテスト（NOUS-60）</t>
        </is>
      </c>
    </row>
    <row r="7">
      <c r="A7" s="4" t="n">
        <v>3</v>
      </c>
      <c r="B7" s="4" t="inlineStr">
        <is>
          <t>TC-NOUS60_DEV-21</t>
        </is>
      </c>
      <c r="C7" s="5" t="inlineStr">
        <is>
          <t>startApp</t>
        </is>
      </c>
      <c r="D7" s="4" t="inlineStr">
        <is>
          <t>異常系</t>
        </is>
      </c>
      <c r="E7" s="4" t="inlineStr">
        <is>
          <t>開発者テスト</t>
        </is>
      </c>
      <c r="F7" s="5" t="inlineStr">
        <is>
          <t>recover が失敗したらサーバーや Scheduler を起動せず例外を投げる</t>
        </is>
      </c>
      <c r="G7" s="5" t="inlineStr">
        <is>
          <t>前提：世界なし
入力：recover が Error</t>
        </is>
      </c>
      <c r="H7" s="5" t="inlineStr">
        <is>
          <t>recover failed で拒否、recover の後は何も呼ばれない</t>
        </is>
      </c>
      <c r="I7" s="5" t="inlineStr">
        <is>
          <t>B7-T</t>
        </is>
      </c>
      <c r="J7" s="5" t="inlineStr">
        <is>
          <t>FakeClock 2026-10-22T00:00:00.000Z、一時 DB、recover・backup・startObserver・startAdmin・createScheduler を差し替え</t>
        </is>
      </c>
      <c r="K7" s="5" t="inlineStr"/>
      <c r="L7" s="5" t="inlineStr"/>
      <c r="M7" s="5" t="inlineStr">
        <is>
          <t>TC-NOUS60_DEV-21 recover が失敗したらサーバーや Scheduler を起動せず例外を投げる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既存テスト：実装時のテスト（NOUS-60）</t>
        </is>
      </c>
    </row>
    <row r="8">
      <c r="A8" s="4" t="n">
        <v>4</v>
      </c>
      <c r="B8" s="4" t="inlineStr">
        <is>
          <t>TC-NOUS60_DEV-22</t>
        </is>
      </c>
      <c r="C8" s="5" t="inlineStr">
        <is>
          <t>startApp / close</t>
        </is>
      </c>
      <c r="D8" s="4" t="inlineStr">
        <is>
          <t>正常系</t>
        </is>
      </c>
      <c r="E8" s="4" t="inlineStr">
        <is>
          <t>開発者テスト</t>
        </is>
      </c>
      <c r="F8" s="5" t="inlineStr">
        <is>
          <t>close でタイマー・scheduler・両サーバー・DB が止まる</t>
        </is>
      </c>
      <c r="G8" s="5" t="inlineStr">
        <is>
          <t>前提：世界なし
入力：startApp → close</t>
        </is>
      </c>
      <c r="H8" s="5" t="inlineStr">
        <is>
          <t>タイマー 2 → 0、scheduler.stop → admin → observer の順、DB が閉じる</t>
        </is>
      </c>
      <c r="I8" s="5" t="inlineStr">
        <is>
          <t>B1-F, B6-F</t>
        </is>
      </c>
      <c r="J8" s="5" t="inlineStr">
        <is>
          <t>FakeClock 2026-10-22T00:00:00.000Z、一時 DB、recover・backup・startObserver・startAdmin・createScheduler を差し替え</t>
        </is>
      </c>
      <c r="K8" s="5" t="inlineStr"/>
      <c r="L8" s="5" t="inlineStr"/>
      <c r="M8" s="5" t="inlineStr">
        <is>
          <t>TC-NOUS60_DEV-22 close でタイマー・scheduler・両サーバー・DB が止まる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既存テスト：実装時のテスト（NOUS-60）</t>
        </is>
      </c>
    </row>
    <row r="9">
      <c r="A9" s="4" t="n">
        <v>5</v>
      </c>
      <c r="B9" s="4" t="inlineStr">
        <is>
          <t>TC-UT_BOOT-001</t>
        </is>
      </c>
      <c r="C9" s="5" t="inlineStr">
        <is>
          <t>startApp</t>
        </is>
      </c>
      <c r="D9" s="4" t="inlineStr">
        <is>
          <t>正常系</t>
        </is>
      </c>
      <c r="E9" s="4" t="inlineStr">
        <is>
          <t>分岐網羅</t>
        </is>
      </c>
      <c r="F9" s="5" t="inlineStr">
        <is>
          <t>現在の世界がすでにあるときは初回の世界を作らず、その世界のまま起動する</t>
        </is>
      </c>
      <c r="G9" s="5" t="inlineStr">
        <is>
          <t>前提：running の世界 1 つ
入力：startApp → close</t>
        </is>
      </c>
      <c r="H9" s="5" t="inlineStr">
        <is>
          <t>worlds は 1 行のまま、現在の世界は同じ world_id</t>
        </is>
      </c>
      <c r="I9" s="5" t="inlineStr">
        <is>
          <t>B3-F</t>
        </is>
      </c>
      <c r="J9" s="5" t="inlineStr">
        <is>
          <t>FakeClock 2026-10-22T23:58:00.000Z、一時 DB、recover・backup・startObserver・startAdmin・createScheduler を差し替え</t>
        </is>
      </c>
      <c r="K9" s="5" t="inlineStr"/>
      <c r="L9" s="5" t="inlineStr"/>
      <c r="M9" s="5" t="inlineStr">
        <is>
          <t>TC-UT_BOOT-001 現在の世界がすでにあるときは初回の世界を作らず、その世界のまま起動する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既存テスト：なし（DEV-19 は世界なしだけ）</t>
        </is>
      </c>
    </row>
    <row r="10">
      <c r="A10" s="4" t="n">
        <v>6</v>
      </c>
      <c r="B10" s="4" t="inlineStr">
        <is>
          <t>TC-UT_BOOT-002</t>
        </is>
      </c>
      <c r="C10" s="5" t="inlineStr">
        <is>
          <t>startApp</t>
        </is>
      </c>
      <c r="D10" s="4" t="inlineStr">
        <is>
          <t>正常系</t>
        </is>
      </c>
      <c r="E10" s="4" t="inlineStr">
        <is>
          <t>依存</t>
        </is>
      </c>
      <c r="F10" s="5" t="inlineStr">
        <is>
          <t>recover と backup に起動時の時刻を渡し、backup には env.backupDir を渡す</t>
        </is>
      </c>
      <c r="G10" s="5" t="inlineStr">
        <is>
          <t>前提：世界なし
入力：startApp → close</t>
        </is>
      </c>
      <c r="H10" s="5" t="inlineStr">
        <is>
          <t>recover は (db・clock, 23:58)、backup は (db・backupDir, 23:58) で呼ばれる</t>
        </is>
      </c>
      <c r="I10" s="5" t="inlineStr"/>
      <c r="J10" s="5" t="inlineStr">
        <is>
          <t>FakeClock 2026-10-22T23:58:00.000Z、一時 DB、recover・backup・startObserver・startAdmin・createScheduler を差し替え</t>
        </is>
      </c>
      <c r="K10" s="5" t="inlineStr"/>
      <c r="L10" s="5" t="inlineStr"/>
      <c r="M10" s="5" t="inlineStr">
        <is>
          <t>TC-UT_BOOT-002 recover と backup に起動時の時刻を渡し、backup には env.backupDir を渡す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既存テスト：一部 TC-NOUS60_DEV-19（呼ばれた順だけで引数は見ていない）</t>
        </is>
      </c>
    </row>
    <row r="11">
      <c r="A11" s="4" t="n">
        <v>7</v>
      </c>
      <c r="B11" s="4" t="inlineStr">
        <is>
          <t>TC-UT_BOOT-003</t>
        </is>
      </c>
      <c r="C11" s="5" t="inlineStr">
        <is>
          <t>close</t>
        </is>
      </c>
      <c r="D11" s="4" t="inlineStr">
        <is>
          <t>正常系</t>
        </is>
      </c>
      <c r="E11" s="4" t="inlineStr">
        <is>
          <t>分岐網羅</t>
        </is>
      </c>
      <c r="F11" s="5" t="inlineStr">
        <is>
          <t>close を 2 回呼んでも、Scheduler の停止とサーバーの終了は 1 回だけ</t>
        </is>
      </c>
      <c r="G11" s="5" t="inlineStr">
        <is>
          <t>前提：世界なし
入力：close を 2 回</t>
        </is>
      </c>
      <c r="H11" s="5" t="inlineStr">
        <is>
          <t>scheduler.stop・observer.close・admin.close がそれぞれ 1 回</t>
        </is>
      </c>
      <c r="I11" s="5" t="inlineStr">
        <is>
          <t>B6-T</t>
        </is>
      </c>
      <c r="J11" s="5" t="inlineStr">
        <is>
          <t>FakeClock 2026-10-22T23:58:00.000Z、一時 DB、recover・backup・startObserver・startAdmin・createScheduler を差し替え</t>
        </is>
      </c>
      <c r="K11" s="5" t="inlineStr"/>
      <c r="L11" s="5" t="inlineStr"/>
      <c r="M11" s="5" t="inlineStr">
        <is>
          <t>TC-UT_BOOT-003 close を 2 回呼んでも、Scheduler の停止とサーバーの終了は 1 回だけ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既存テスト：なし</t>
        </is>
      </c>
    </row>
    <row r="12">
      <c r="A12" s="4" t="n">
        <v>8</v>
      </c>
      <c r="B12" s="4" t="inlineStr">
        <is>
          <t>TC-UT_BOOT-004</t>
        </is>
      </c>
      <c r="C12" s="5" t="inlineStr">
        <is>
          <t>startApp</t>
        </is>
      </c>
      <c r="D12" s="4" t="inlineStr">
        <is>
          <t>異常系</t>
        </is>
      </c>
      <c r="E12" s="4" t="inlineStr">
        <is>
          <t>エラー処理</t>
        </is>
      </c>
      <c r="F12" s="5" t="inlineStr">
        <is>
          <t>管理サーバーの起動に失敗したら例外を投げ、起動済みの観察サーバーを閉じ、Scheduler を動かさない</t>
        </is>
      </c>
      <c r="G12" s="5" t="inlineStr">
        <is>
          <t>前提：世界なし
入力：startAdmin が Error('admin bind failed')</t>
        </is>
      </c>
      <c r="H12" s="5" t="inlineStr">
        <is>
          <t>admin bind failed で拒否。scheduler.start は呼ばれない。観察サーバーの close が 1 回。タイマーは張られない</t>
        </is>
      </c>
      <c r="I12" s="5" t="inlineStr">
        <is>
          <t>B7-T</t>
        </is>
      </c>
      <c r="J12" s="5" t="inlineStr">
        <is>
          <t>FakeClock 2026-10-22T23:58:00.000Z、一時 DB、recover・backup・startObserver・startAdmin・createScheduler を差し替え</t>
        </is>
      </c>
      <c r="K12" s="5" t="inlineStr"/>
      <c r="L12" s="5" t="inlineStr"/>
      <c r="M12" s="5" t="inlineStr">
        <is>
          <t>TC-UT_BOOT-004 管理サーバーの起動に失敗したら例外を投げ、起動済みの観察サーバーを閉じ、Scheduler を動かさない</t>
        </is>
      </c>
      <c r="N12" s="6" t="inlineStr">
        <is>
          <t>未実施</t>
        </is>
      </c>
      <c r="O12" s="6" t="inlineStr"/>
      <c r="P12" s="6" t="inlineStr"/>
      <c r="Q12" s="7" t="inlineStr">
        <is>
          <t>既存テスト：なし
疑い：startApp の catch は自分で開いた DB を閉じるだけで、起動済みの観察サーバーを閉じない。実際の起動では観察サーバーの待ち受けが残り、exitCode=1 でもプロセスが終わらない疑い（設計書 world 4章 startApp：起動時の例外は起動を止める）</t>
        </is>
      </c>
    </row>
    <row r="13">
      <c r="A13" s="4" t="n">
        <v>9</v>
      </c>
      <c r="B13" s="4" t="inlineStr">
        <is>
          <t>TC-UT_BOOT-005</t>
        </is>
      </c>
      <c r="C13" s="5" t="inlineStr">
        <is>
          <t>startApp</t>
        </is>
      </c>
      <c r="D13" s="4" t="inlineStr">
        <is>
          <t>異常系</t>
        </is>
      </c>
      <c r="E13" s="4" t="inlineStr">
        <is>
          <t>分岐網羅</t>
        </is>
      </c>
      <c r="F13" s="5" t="inlineStr">
        <is>
          <t>options.db を渡して起動に失敗したときは、渡された DB を閉じない</t>
        </is>
      </c>
      <c r="G13" s="5" t="inlineStr">
        <is>
          <t>前提：世界なし
入力：recover が Error</t>
        </is>
      </c>
      <c r="H13" s="5" t="inlineStr">
        <is>
          <t>recover failed で拒否、t.db は開いたまま</t>
        </is>
      </c>
      <c r="I13" s="5" t="inlineStr">
        <is>
          <t>B7-T, B8-F</t>
        </is>
      </c>
      <c r="J13" s="5" t="inlineStr">
        <is>
          <t>FakeClock 2026-10-22T23:58:00.000Z、一時 DB、recover・backup・startObserver・startAdmin・createScheduler を差し替え</t>
        </is>
      </c>
      <c r="K13" s="5" t="inlineStr"/>
      <c r="L13" s="5" t="inlineStr"/>
      <c r="M13" s="5" t="inlineStr">
        <is>
          <t>TC-UT_BOOT-005 options.db を渡して起動に失敗したときは、渡された DB を閉じない</t>
        </is>
      </c>
      <c r="N13" s="6" t="inlineStr">
        <is>
          <t>未実施</t>
        </is>
      </c>
      <c r="O13" s="6" t="inlineStr"/>
      <c r="P13" s="6" t="inlineStr"/>
      <c r="Q13" s="7" t="inlineStr">
        <is>
          <t>既存テスト：一部 TC-NOUS60_DEV-21（DB の開閉は見ていない）</t>
        </is>
      </c>
    </row>
    <row r="14">
      <c r="A14" s="4" t="n">
        <v>10</v>
      </c>
      <c r="B14" s="4" t="inlineStr">
        <is>
          <t>TC-UT_BOOT-006</t>
        </is>
      </c>
      <c r="C14" s="5" t="inlineStr">
        <is>
          <t>startApp（B08・B02 のタイマー）</t>
        </is>
      </c>
      <c r="D14" s="4" t="inlineStr">
        <is>
          <t>正常系</t>
        </is>
      </c>
      <c r="E14" s="4" t="inlineStr">
        <is>
          <t>境界値</t>
        </is>
      </c>
      <c r="F14" s="5" t="inlineStr">
        <is>
          <t>起動後、60 秒ごとに生存時刻が更新され、00:00:00.000 UTC で日の区切りが走る（23:59:59.999 では走らない）</t>
        </is>
      </c>
      <c r="G14" s="5" t="inlineStr">
        <is>
          <t>前提：running の世界（running_since 23:58）
入力：60 秒進める → 23:59:59.999 まで → 00:00:00.000 まで</t>
        </is>
      </c>
      <c r="H14" s="5" t="inlineStr">
        <is>
          <t>heartbeat_at 23:59:00.000、23:59:59.999 では daily_usage 0 行、00:00 で 2026-10-23 の行</t>
        </is>
      </c>
      <c r="I14" s="5" t="inlineStr"/>
      <c r="J14" s="5" t="inlineStr">
        <is>
          <t>FakeClock 2026-10-22T23:58:00.000Z、一時 DB、recover・backup・サーバー・Scheduler を差し替え（B08・B02 は実物）</t>
        </is>
      </c>
      <c r="K14" s="5" t="inlineStr"/>
      <c r="L14" s="5" t="inlineStr"/>
      <c r="M14" s="5" t="inlineStr">
        <is>
          <t>TC-UT_BOOT-006 起動後、FakeClock で 60 秒ごとに生存時刻が更新され、00:00:00.000 UTC で日の区切りが走る（23:59:59.999 では走らない）</t>
        </is>
      </c>
      <c r="N14" s="6" t="inlineStr">
        <is>
          <t>未実施</t>
        </is>
      </c>
      <c r="O14" s="6" t="inlineStr"/>
      <c r="P14" s="6" t="inlineStr"/>
      <c r="Q14" s="7" t="inlineStr">
        <is>
          <t>既存テスト：一部 TC-NOUS60_DEV-22（タイマーが 2 つ張られることだけ）</t>
        </is>
      </c>
    </row>
    <row r="15">
      <c r="A15" s="4" t="n">
        <v>11</v>
      </c>
      <c r="B15" s="4" t="inlineStr">
        <is>
          <t>TC-UT_BOOT-007</t>
        </is>
      </c>
      <c r="C15" s="5" t="inlineStr">
        <is>
          <t>startApp</t>
        </is>
      </c>
      <c r="D15" s="4" t="inlineStr">
        <is>
          <t>正常系</t>
        </is>
      </c>
      <c r="E15" s="4" t="inlineStr">
        <is>
          <t>分岐網羅</t>
        </is>
      </c>
      <c r="F15" s="5" t="inlineStr">
        <is>
          <t>createScheduler を渡さないときは、既定の Scheduler を作って管理 API に渡し、close で止める</t>
        </is>
      </c>
      <c r="G15" s="5" t="inlineStr">
        <is>
          <t>前提：世界なし（preparing の世界ができる）
入力：createScheduler を省いて startApp → close</t>
        </is>
      </c>
      <c r="H15" s="5" t="inlineStr">
        <is>
          <t>resolveScheduler が app.scheduler と同じ、runningCount を持つ、close の後 pendingCount 0</t>
        </is>
      </c>
      <c r="I15" s="5" t="inlineStr">
        <is>
          <t>B5-F</t>
        </is>
      </c>
      <c r="J15" s="5" t="inlineStr">
        <is>
          <t>FakeClock 2026-10-22T23:58:00.000Z、一時 DB、recover・backup・サーバーを差し替え（Scheduler・generation.json・固定応答の LlmClient は実物）</t>
        </is>
      </c>
      <c r="K15" s="5" t="inlineStr"/>
      <c r="L15" s="5" t="inlineStr"/>
      <c r="M15" s="5" t="inlineStr">
        <is>
          <t>TC-UT_BOOT-007 createScheduler を渡さないときは、既定の Scheduler を作って管理 API に渡し、close で止める</t>
        </is>
      </c>
      <c r="N15" s="6" t="inlineStr">
        <is>
          <t>未実施</t>
        </is>
      </c>
      <c r="O15" s="6" t="inlineStr"/>
      <c r="P15" s="6" t="inlineStr"/>
      <c r="Q15" s="7" t="inlineStr">
        <is>
          <t>既存テスト：なし</t>
        </is>
      </c>
    </row>
  </sheetData>
  <autoFilter ref="A4:Q15"/>
  <conditionalFormatting sqref="A5:Q65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65" showDropDown="0" showInputMessage="0" showErrorMessage="0" allowBlank="1" type="list">
      <formula1>"未実施,OK,NG,保留,対象外"</formula1>
    </dataValidation>
    <dataValidation sqref="D5:D65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COUNTA(観点表!$B$5:$B$65)</f>
        <v/>
      </c>
    </row>
    <row r="6">
      <c r="A6" s="10" t="inlineStr">
        <is>
          <t>正常系</t>
        </is>
      </c>
      <c r="B6" s="10">
        <f>COUNTIF(観点表!$D$5:$D$65,"正常系")</f>
        <v/>
      </c>
    </row>
    <row r="7">
      <c r="A7" s="10" t="inlineStr">
        <is>
          <t>異常系</t>
        </is>
      </c>
      <c r="B7" s="10">
        <f>COUNTIF(観点表!$D$5:$D$65,"異常系")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エラー処理</t>
        </is>
      </c>
      <c r="B10" s="10">
        <f>COUNTIF(観点表!$E$5:$E$65,"エラー処理")</f>
        <v/>
      </c>
    </row>
    <row r="11">
      <c r="A11" s="10" t="inlineStr">
        <is>
          <t>依存</t>
        </is>
      </c>
      <c r="B11" s="10">
        <f>COUNTIF(観点表!$E$5:$E$65,"依存")</f>
        <v/>
      </c>
    </row>
    <row r="12">
      <c r="A12" s="10" t="inlineStr">
        <is>
          <t>分岐網羅</t>
        </is>
      </c>
      <c r="B12" s="10">
        <f>COUNTIF(観点表!$E$5:$E$65,"分岐網羅")</f>
        <v/>
      </c>
    </row>
    <row r="13">
      <c r="A13" s="10" t="inlineStr">
        <is>
          <t>境界値</t>
        </is>
      </c>
      <c r="B13" s="10">
        <f>COUNTIF(観点表!$E$5:$E$65,"境界値")</f>
        <v/>
      </c>
    </row>
    <row r="14">
      <c r="A14" s="10" t="inlineStr">
        <is>
          <t>開発者テスト</t>
        </is>
      </c>
      <c r="B14" s="10">
        <f>COUNTIF(観点表!$E$5:$E$65,"開発者テスト")</f>
        <v/>
      </c>
    </row>
    <row r="16">
      <c r="A16" s="8" t="inlineStr">
        <is>
          <t>テストデータ</t>
        </is>
      </c>
      <c r="B16" s="9" t="n"/>
      <c r="C16" s="9" t="n"/>
    </row>
    <row r="17">
      <c r="A17" s="10" t="inlineStr">
        <is>
          <t>作成済み</t>
        </is>
      </c>
      <c r="B17" s="10">
        <f>COUNTIF(観点表!$K$5:$K$65,"?*")</f>
        <v/>
      </c>
    </row>
    <row r="18">
      <c r="A18" s="10" t="inlineStr">
        <is>
          <t>未作成</t>
        </is>
      </c>
      <c r="B18" s="10">
        <f>B5-B17</f>
        <v/>
      </c>
    </row>
    <row r="20">
      <c r="A20" s="8" t="inlineStr">
        <is>
          <t>実施状況</t>
        </is>
      </c>
      <c r="B20" s="9" t="n"/>
      <c r="C20" s="9" t="n"/>
    </row>
    <row r="21">
      <c r="A21" s="10" t="inlineStr">
        <is>
          <t>未実施</t>
        </is>
      </c>
      <c r="B21" s="10">
        <f>COUNTIF(観点表!$N$5:$N$65,"未実施")</f>
        <v/>
      </c>
    </row>
    <row r="22">
      <c r="A22" s="10" t="inlineStr">
        <is>
          <t>OK</t>
        </is>
      </c>
      <c r="B22" s="10">
        <f>COUNTIF(観点表!$N$5:$N$65,"OK")</f>
        <v/>
      </c>
    </row>
    <row r="23">
      <c r="A23" s="10" t="inlineStr">
        <is>
          <t>NG</t>
        </is>
      </c>
      <c r="B23" s="10">
        <f>COUNTIF(観点表!$N$5:$N$65,"NG")</f>
        <v/>
      </c>
    </row>
    <row r="24">
      <c r="A24" s="10" t="inlineStr">
        <is>
          <t>保留</t>
        </is>
      </c>
      <c r="B24" s="10">
        <f>COUNTIF(観点表!$N$5:$N$65,"保留")</f>
        <v/>
      </c>
    </row>
    <row r="25">
      <c r="A25" s="10" t="inlineStr">
        <is>
          <t>対象外</t>
        </is>
      </c>
      <c r="B25" s="10">
        <f>COUNTIF(観点表!$N$5:$N$65,"対象外")</f>
        <v/>
      </c>
    </row>
    <row r="26">
      <c r="A26" s="10" t="inlineStr">
        <is>
          <t>消化率（未実施以外 / 総数）</t>
        </is>
      </c>
      <c r="B26" s="11">
        <f>IF(B5=0,0,(B5-B21)/B5)</f>
        <v/>
      </c>
    </row>
    <row r="27">
      <c r="A27" s="10" t="inlineStr">
        <is>
          <t>合格率（OK / (総数-対象外)）</t>
        </is>
      </c>
      <c r="B27" s="11">
        <f>IF(B5-B25=0,0,B22/(B5-B25))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TC-NOUS60_DEV-19</t>
        </is>
      </c>
      <c r="B5" s="13" t="inlineStr">
        <is>
          <t>起動の順が recover → backup → observer → admin → scheduler.start で、初回の世界が作られ、Scheduler が管理 API に渡る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TC-NOUS60_DEV-20</t>
        </is>
      </c>
      <c r="B6" s="13" t="inlineStr">
        <is>
          <t>バックアップが失敗してもエラーを記録して起動が続く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3" t="inlineStr">
        <is>
          <t>TC-NOUS60_DEV-21</t>
        </is>
      </c>
      <c r="B7" s="13" t="inlineStr">
        <is>
          <t>recover が失敗したらサーバーや Scheduler を起動せず例外を投げる</t>
        </is>
      </c>
      <c r="C7" s="13" t="inlineStr">
        <is>
          <t>未作成</t>
        </is>
      </c>
      <c r="D7" s="13" t="inlineStr"/>
      <c r="E7" s="13" t="inlineStr"/>
      <c r="F7" s="13" t="inlineStr"/>
    </row>
    <row r="8">
      <c r="A8" s="13" t="inlineStr">
        <is>
          <t>TC-NOUS60_DEV-22</t>
        </is>
      </c>
      <c r="B8" s="13" t="inlineStr">
        <is>
          <t>close でタイマー・scheduler・両サーバー・DB が止まる</t>
        </is>
      </c>
      <c r="C8" s="13" t="inlineStr">
        <is>
          <t>未作成</t>
        </is>
      </c>
      <c r="D8" s="13" t="inlineStr"/>
      <c r="E8" s="13" t="inlineStr"/>
      <c r="F8" s="13" t="inlineStr"/>
    </row>
    <row r="9">
      <c r="A9" s="13" t="inlineStr">
        <is>
          <t>TC-UT_BOOT-001</t>
        </is>
      </c>
      <c r="B9" s="13" t="inlineStr">
        <is>
          <t>現在の世界がすでにあるときは初回の世界を作らず、その世界のまま起動する</t>
        </is>
      </c>
      <c r="C9" s="13" t="inlineStr">
        <is>
          <t>未作成</t>
        </is>
      </c>
      <c r="D9" s="13" t="inlineStr"/>
      <c r="E9" s="13" t="inlineStr"/>
      <c r="F9" s="13" t="inlineStr"/>
    </row>
    <row r="10">
      <c r="A10" s="13" t="inlineStr">
        <is>
          <t>TC-UT_BOOT-002</t>
        </is>
      </c>
      <c r="B10" s="13" t="inlineStr">
        <is>
          <t>recover と backup に起動時の時刻を渡し、backup には env.backupDir を渡す</t>
        </is>
      </c>
      <c r="C10" s="13" t="inlineStr">
        <is>
          <t>未作成</t>
        </is>
      </c>
      <c r="D10" s="13" t="inlineStr"/>
      <c r="E10" s="13" t="inlineStr"/>
      <c r="F10" s="13" t="inlineStr"/>
    </row>
    <row r="11">
      <c r="A11" s="13" t="inlineStr">
        <is>
          <t>TC-UT_BOOT-003</t>
        </is>
      </c>
      <c r="B11" s="13" t="inlineStr">
        <is>
          <t>close を 2 回呼んでも、Scheduler の停止とサーバーの終了は 1 回だけ</t>
        </is>
      </c>
      <c r="C11" s="13" t="inlineStr">
        <is>
          <t>未作成</t>
        </is>
      </c>
      <c r="D11" s="13" t="inlineStr"/>
      <c r="E11" s="13" t="inlineStr"/>
      <c r="F11" s="13" t="inlineStr"/>
    </row>
    <row r="12">
      <c r="A12" s="13" t="inlineStr">
        <is>
          <t>TC-UT_BOOT-004</t>
        </is>
      </c>
      <c r="B12" s="13" t="inlineStr">
        <is>
          <t>管理サーバーの起動に失敗したら例外を投げ、起動済みの観察サーバーを閉じ、Scheduler を動かさない</t>
        </is>
      </c>
      <c r="C12" s="13" t="inlineStr">
        <is>
          <t>未作成</t>
        </is>
      </c>
      <c r="D12" s="13" t="inlineStr"/>
      <c r="E12" s="13" t="inlineStr"/>
      <c r="F12" s="13" t="inlineStr"/>
    </row>
    <row r="13">
      <c r="A13" s="13" t="inlineStr">
        <is>
          <t>TC-UT_BOOT-005</t>
        </is>
      </c>
      <c r="B13" s="13" t="inlineStr">
        <is>
          <t>options.db を渡して起動に失敗したときは、渡された DB を閉じない</t>
        </is>
      </c>
      <c r="C13" s="13" t="inlineStr">
        <is>
          <t>未作成</t>
        </is>
      </c>
      <c r="D13" s="13" t="inlineStr"/>
      <c r="E13" s="13" t="inlineStr"/>
      <c r="F13" s="13" t="inlineStr"/>
    </row>
    <row r="14">
      <c r="A14" s="13" t="inlineStr">
        <is>
          <t>TC-UT_BOOT-006</t>
        </is>
      </c>
      <c r="B14" s="13" t="inlineStr">
        <is>
          <t>起動後、60 秒ごとに生存時刻が更新され、00:00:00.000 UTC で日の区切りが走る（23:59:59.999 では走らない）</t>
        </is>
      </c>
      <c r="C14" s="13" t="inlineStr">
        <is>
          <t>未作成</t>
        </is>
      </c>
      <c r="D14" s="13" t="inlineStr"/>
      <c r="E14" s="13" t="inlineStr"/>
      <c r="F14" s="13" t="inlineStr"/>
    </row>
    <row r="15">
      <c r="A15" s="13" t="inlineStr">
        <is>
          <t>TC-UT_BOOT-007</t>
        </is>
      </c>
      <c r="B15" s="13" t="inlineStr">
        <is>
          <t>createScheduler を渡さないときは、既定の Scheduler を作って管理 API に渡し、close で止める</t>
        </is>
      </c>
      <c r="C15" s="13" t="inlineStr">
        <is>
          <t>未作成</t>
        </is>
      </c>
      <c r="D15" s="13" t="inlineStr"/>
      <c r="E15" s="13" t="inlineStr"/>
      <c r="F15" s="13" t="inlineStr"/>
    </row>
  </sheetData>
  <autoFilter ref="A4:F15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4" t="inlineStr">
        <is>
          <t>タイトル</t>
        </is>
      </c>
      <c r="B3" s="15" t="inlineStr">
        <is>
          <t>起動と終了（main.ts・index.ts）</t>
        </is>
      </c>
    </row>
    <row r="4">
      <c r="A4" s="14" t="inlineStr">
        <is>
          <t>対象ファイル</t>
        </is>
      </c>
      <c r="B4" s="15" t="inlineStr">
        <is>
          <t>apps/server/src/main.ts, apps/server/src/index.ts</t>
        </is>
      </c>
    </row>
    <row r="5">
      <c r="A5" s="14" t="inlineStr">
        <is>
          <t>言語 / フレームワーク</t>
        </is>
      </c>
      <c r="B5" s="15" t="inlineStr">
        <is>
          <t>TypeScript / Vitest 2.1.9（environment: node）</t>
        </is>
      </c>
    </row>
    <row r="6">
      <c r="A6" s="14" t="inlineStr">
        <is>
          <t>テストファイル</t>
        </is>
      </c>
      <c r="B6" s="15" t="inlineStr">
        <is>
          <t>apps/server/src/main.test.ts（実装時、NOUS-60）, apps/server/src/main.ut.test.ts（単体テストで追加）</t>
        </is>
      </c>
    </row>
    <row r="7">
      <c r="A7" s="14" t="inlineStr">
        <is>
          <t>外部依存</t>
        </is>
      </c>
      <c r="B7" s="15" t="inlineStr">
        <is>
          <t>DB（一時 DB）, 時計（FakeClock）, 観察・管理サーバー（差し替え）, recover・backup・createScheduler（差し替え）, config/generation.json（BOOT-007 だけ実物）</t>
        </is>
      </c>
    </row>
    <row r="8">
      <c r="A8" s="14" t="inlineStr">
        <is>
          <t>作成日</t>
        </is>
      </c>
      <c r="B8" s="15" t="inlineStr">
        <is>
          <t>2026-10-23</t>
        </is>
      </c>
    </row>
    <row r="10">
      <c r="A10" s="16" t="inlineStr">
        <is>
          <t>分岐ID</t>
        </is>
      </c>
      <c r="B10" s="16" t="inlineStr">
        <is>
          <t>条件</t>
        </is>
      </c>
      <c r="C10" s="16" t="inlineStr">
        <is>
          <t>場所</t>
        </is>
      </c>
    </row>
    <row r="11">
      <c r="A11" s="17" t="inlineStr">
        <is>
          <t>B1</t>
        </is>
      </c>
      <c r="B11" s="17" t="inlineStr">
        <is>
          <t>closeServerHandle：Node のサーバー（listen がある）</t>
        </is>
      </c>
      <c r="C11" s="17" t="inlineStr">
        <is>
          <t>main.ts:63</t>
        </is>
      </c>
    </row>
    <row r="12">
      <c r="A12" s="17" t="inlineStr">
        <is>
          <t>B2</t>
        </is>
      </c>
      <c r="B12" s="17" t="inlineStr">
        <is>
          <t>startApp：env・clock・logger・db を省略したときの既定（??）</t>
        </is>
      </c>
      <c r="C12" s="17" t="inlineStr">
        <is>
          <t>main.ts:83-86</t>
        </is>
      </c>
    </row>
    <row r="13">
      <c r="A13" s="17" t="inlineStr">
        <is>
          <t>B3</t>
        </is>
      </c>
      <c r="B13" s="17" t="inlineStr">
        <is>
          <t>startApp：現在の世界がない（createInitialWorld）</t>
        </is>
      </c>
      <c r="C13" s="17" t="inlineStr">
        <is>
          <t>main.ts:92</t>
        </is>
      </c>
    </row>
    <row r="14">
      <c r="A14" s="17" t="inlineStr">
        <is>
          <t>B4</t>
        </is>
      </c>
      <c r="B14" s="17" t="inlineStr">
        <is>
          <t>startApp：起動時のバックアップの失敗（catch）</t>
        </is>
      </c>
      <c r="C14" s="17" t="inlineStr">
        <is>
          <t>main.ts:103</t>
        </is>
      </c>
    </row>
    <row r="15">
      <c r="A15" s="17" t="inlineStr">
        <is>
          <t>B5</t>
        </is>
      </c>
      <c r="B15" s="17" t="inlineStr">
        <is>
          <t>startApp：options.createScheduler を渡した</t>
        </is>
      </c>
      <c r="C15" s="17" t="inlineStr">
        <is>
          <t>main.ts:110</t>
        </is>
      </c>
    </row>
    <row r="16">
      <c r="A16" s="17" t="inlineStr">
        <is>
          <t>B6</t>
        </is>
      </c>
      <c r="B16" s="17" t="inlineStr">
        <is>
          <t>close：closed（2 回目）</t>
        </is>
      </c>
      <c r="C16" s="17" t="inlineStr">
        <is>
          <t>main.ts:149</t>
        </is>
      </c>
    </row>
    <row r="17">
      <c r="A17" s="17" t="inlineStr">
        <is>
          <t>B7</t>
        </is>
      </c>
      <c r="B17" s="17" t="inlineStr">
        <is>
          <t>startApp：起動の失敗（catch）</t>
        </is>
      </c>
      <c r="C17" s="17" t="inlineStr">
        <is>
          <t>main.ts:159</t>
        </is>
      </c>
    </row>
    <row r="18">
      <c r="A18" s="17" t="inlineStr">
        <is>
          <t>B8</t>
        </is>
      </c>
      <c r="B18" s="17" t="inlineStr">
        <is>
          <t>startApp の catch：options.db を渡していない（自分で開いた DB を閉じる）</t>
        </is>
      </c>
      <c r="C18" s="17" t="inlineStr">
        <is>
          <t>main.ts:160</t>
        </is>
      </c>
    </row>
    <row r="19">
      <c r="A19" s="17" t="inlineStr">
        <is>
          <t>B9</t>
        </is>
      </c>
      <c r="B19" s="17" t="inlineStr">
        <is>
          <t>isMainModule（node で直接起動したとき、SIGINT・SIGTERM の登録）</t>
        </is>
      </c>
      <c r="C19" s="17" t="inlineStr">
        <is>
          <t>main.ts:169</t>
        </is>
      </c>
    </row>
    <row r="21">
      <c r="A21" s="14" t="inlineStr">
        <is>
          <t>確認事項・潜在バグ</t>
        </is>
      </c>
    </row>
    <row r="22" ht="30" customHeight="1">
      <c r="A22" s="18" t="inlineStr">
        <is>
          <t>・疑い 1：startApp で管理サーバーの起動に失敗したとき（AdminBindError など）、起動済みの観察サーバーを閉じない。待ち受けが残るとプロセスが終わらない可能性がある（TC-UT_BOOT-004）。</t>
        </is>
      </c>
    </row>
    <row r="23" ht="30" customHeight="1">
      <c r="A23" s="18" t="inlineStr">
        <is>
          <t>・確認事項 1：B1-T（Node のサーバーの close）・B2（env・clock・logger・db の既定）・B8-T（自分で開いた DB を閉じる）・B9（直接起動とシグナル）は、実際のポートや環境変数・プロセスを使うため単体テストでは扱わず、結合テスト以降で見る。</t>
        </is>
      </c>
    </row>
    <row r="24" ht="30" customHeight="1">
      <c r="A24" s="18" t="inlineStr">
        <is>
          <t>・確認事項 2：apps/server/src/index.ts は `export {};` だけで処理がないため、観点を作っていない。</t>
        </is>
      </c>
    </row>
  </sheetData>
  <mergeCells count="3">
    <mergeCell ref="A23:C23"/>
    <mergeCell ref="A24:C24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2026-10-23T07:23:02Z</dcterms:created>
  <dcterms:modified xsi:type="dcterms:W3CDTF">2026-10-23T07:23:02Z</dcterms:modified>
</cp:coreProperties>
</file>