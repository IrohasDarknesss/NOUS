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'観点表'!$A$4:$Q$37</definedName>
    <definedName name="_xlnm.Print_Titles" localSheetId="0">'観点表'!$4:$4</definedName>
    <definedName name="_xlnm._FilterDatabase" localSheetId="2" hidden="1">'テストデータ'!$A$4:$F$37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1 回の行動機会の実行（generation/opportunityRunner.ts）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TC-NOUS63_DEV-15</t>
        </is>
      </c>
      <c r="C5" s="5" t="inlineStr">
        <is>
          <t>runOpportunity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稼働中でなければ生成イベントを作らず skipped</t>
        </is>
      </c>
      <c r="G5" s="5" t="inlineStr">
        <is>
          <t>前提：一時 DB（createTestDb）、FakeClock 2026-10-22T09:00:00.000Z、停止中のエージェント
入力：停止中の agentId</t>
        </is>
      </c>
      <c r="H5" s="5" t="inlineStr">
        <is>
          <t>skipped、LLM を呼ばない、生成イベント 0 件</t>
        </is>
      </c>
      <c r="I5" s="5" t="inlineStr">
        <is>
          <t>B15-T</t>
        </is>
      </c>
      <c r="J5" s="5" t="inlineStr">
        <is>
          <t>LLM の差し替え</t>
        </is>
      </c>
      <c r="K5" s="5" t="inlineStr"/>
      <c r="L5" s="5" t="inlineStr"/>
      <c r="M5" s="5" t="inlineStr">
        <is>
          <t>TC-NOUS63_DEV-15 対象のエージェントが稼働中でなければ生成イベントを作らず skipped 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既存テスト：実装時のテスト（NOUS-63）</t>
        </is>
      </c>
    </row>
    <row r="6">
      <c r="A6" s="4" t="n">
        <v>2</v>
      </c>
      <c r="B6" s="4" t="inlineStr">
        <is>
          <t>TC-NOUS63_DEV-16</t>
        </is>
      </c>
      <c r="C6" s="5" t="inlineStr">
        <is>
          <t>runOpportunity / closeGateNone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gate で不参加なら LLM を呼ばず nones だけ +1</t>
        </is>
      </c>
      <c r="G6" s="5" t="inlineStr">
        <is>
          <t>前提：一時 DB（createTestDb）、FakeClock 2026-10-22T09:00:00.000Z
入力：参加の確率 0</t>
        </is>
      </c>
      <c r="H6" s="5" t="inlineStr">
        <is>
          <t>succeeded・none・gate、nones=1、daily_usage 0 件</t>
        </is>
      </c>
      <c r="I6" s="5" t="inlineStr">
        <is>
          <t>B16-T</t>
        </is>
      </c>
      <c r="J6" s="5" t="inlineStr">
        <is>
          <t>LLM の差し替え</t>
        </is>
      </c>
      <c r="K6" s="5" t="inlineStr"/>
      <c r="L6" s="5" t="inlineStr"/>
      <c r="M6" s="5" t="inlineStr">
        <is>
          <t>TC-NOUS63_DEV-16 gate で不参加のときは closeGateNone で閉じ、LLM を呼ばず daily_metrics.nones だけ +1 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既存テスト：実装時のテスト（NOUS-63）</t>
        </is>
      </c>
    </row>
    <row r="7">
      <c r="A7" s="4" t="n">
        <v>3</v>
      </c>
      <c r="B7" s="4" t="inlineStr">
        <is>
          <t>TC-NOUS63_DEV-17</t>
        </is>
      </c>
      <c r="C7" s="5" t="inlineStr">
        <is>
          <t>runOpportunity / commitAction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post の成功で入力・出力・投稿・記憶・矛盾・利用量・指標を記録</t>
        </is>
      </c>
      <c r="G7" s="5" t="inlineStr">
        <is>
          <t>前提：一時 DB（createTestDb）、FakeClock 2026-10-22T09:00:00.000Z
入力：post の JSON</t>
        </is>
      </c>
      <c r="H7" s="5" t="inlineStr">
        <is>
          <t>succeeded・post、各テーブルの値</t>
        </is>
      </c>
      <c r="I7" s="5" t="inlineStr">
        <is>
          <t>B5-T, B6-T, B7-T, B8-F, B9-F, B13-F, B14-F, B15-F, B16-F, B17-F, B25-F</t>
        </is>
      </c>
      <c r="J7" s="5" t="inlineStr">
        <is>
          <t>LLM の差し替え</t>
        </is>
      </c>
      <c r="K7" s="5" t="inlineStr"/>
      <c r="L7" s="5" t="inlineStr"/>
      <c r="M7" s="5" t="inlineStr">
        <is>
          <t>TC-NOUS63_DEV-17 参加して post が成功すると入力・出力・投稿・記憶・矛盾フラグ・daily_usage・daily_metrics が記録される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既存テスト：実装時のテスト（NOUS-63）</t>
        </is>
      </c>
    </row>
    <row r="8">
      <c r="A8" s="4" t="n">
        <v>4</v>
      </c>
      <c r="B8" s="4" t="inlineStr">
        <is>
          <t>TC-NOUS63_DEV-18</t>
        </is>
      </c>
      <c r="C8" s="5" t="inlineStr">
        <is>
          <t>runOpportunity / generateAndValidate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1 回目が不正な形式でも 1 回だけ再生成して成功</t>
        </is>
      </c>
      <c r="G8" s="5" t="inlineStr">
        <is>
          <t>前提：一時 DB（createTestDb）、FakeClock 2026-10-22T09:00:00.000Z
入力：不正な出力 → post</t>
        </is>
      </c>
      <c r="H8" s="5" t="inlineStr">
        <is>
          <t>succeeded、試行 2 件、daily_usage calls=2・runs=1</t>
        </is>
      </c>
      <c r="I8" s="5" t="inlineStr">
        <is>
          <t>B9-T, B10-T</t>
        </is>
      </c>
      <c r="J8" s="5" t="inlineStr">
        <is>
          <t>LLM の差し替え</t>
        </is>
      </c>
      <c r="K8" s="5" t="inlineStr"/>
      <c r="L8" s="5" t="inlineStr"/>
      <c r="M8" s="5" t="inlineStr">
        <is>
          <t>TC-NOUS63_DEV-18 1 回目の出力が不正な形式でも同じ prompt で 1 回だけ再生成して成功できる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既存テスト：実装時のテスト（NOUS-63）
疑い：1 回目（invalid_format）の Neurons を 0 とし、daily_usage.neurons を 7.0 とする期待値が、疑い 1 と食い違う</t>
        </is>
      </c>
    </row>
    <row r="9">
      <c r="A9" s="4" t="n">
        <v>5</v>
      </c>
      <c r="B9" s="4" t="inlineStr">
        <is>
          <t>TC-NOUS63_DEV-19</t>
        </is>
      </c>
      <c r="C9" s="5" t="inlineStr">
        <is>
          <t>runOpportunity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再生成でも不正なら invalid_format で閉じ、最後の出力を残す</t>
        </is>
      </c>
      <c r="G9" s="5" t="inlineStr">
        <is>
          <t>前提：一時 DB（createTestDb）、FakeClock 2026-10-22T09:00:00.000Z
入力：不正な出力 2 回</t>
        </is>
      </c>
      <c r="H9" s="5" t="inlineStr">
        <is>
          <t>failed・invalid_format、output_text は 2 回目</t>
        </is>
      </c>
      <c r="I9" s="5" t="inlineStr">
        <is>
          <t>B10-F, B23-T, B4-T</t>
        </is>
      </c>
      <c r="J9" s="5" t="inlineStr">
        <is>
          <t>LLM の差し替え</t>
        </is>
      </c>
      <c r="K9" s="5" t="inlineStr"/>
      <c r="L9" s="5" t="inlineStr"/>
      <c r="M9" s="5" t="inlineStr">
        <is>
          <t>TC-NOUS63_DEV-19 再生成でも不正な形式なら closeFailed（invalid_format）で閉じ、最後の output_text を残す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既存テスト：実装時のテスト（NOUS-63）</t>
        </is>
      </c>
    </row>
    <row r="10">
      <c r="A10" s="4" t="n">
        <v>6</v>
      </c>
      <c r="B10" s="4" t="inlineStr">
        <is>
          <t>TC-NOUS63_DEV-20</t>
        </is>
      </c>
      <c r="C10" s="5" t="inlineStr">
        <is>
          <t>commitAction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DuplicateActionError でロールバックし、invalid_format と error_detail を記録</t>
        </is>
      </c>
      <c r="G10" s="5" t="inlineStr">
        <is>
          <t>前提：一時 DB（createTestDb）、FakeClock 2026-10-22T09:00:00.000Z、いいね済みの投稿
入力：同じ投稿へのいいね</t>
        </is>
      </c>
      <c r="H10" s="5" t="inlineStr">
        <is>
          <t>failed・invalid_format、最後の試行の error_detail</t>
        </is>
      </c>
      <c r="I10" s="5" t="inlineStr">
        <is>
          <t>B11-T, B12-T</t>
        </is>
      </c>
      <c r="J10" s="5" t="inlineStr">
        <is>
          <t>なし</t>
        </is>
      </c>
      <c r="K10" s="5" t="inlineStr"/>
      <c r="L10" s="5" t="inlineStr"/>
      <c r="M10" s="5" t="inlineStr">
        <is>
          <t>TC-NOUS63_DEV-20 commitAction で DuplicateActionError が起きたらロールバックし、別トランザクションで invalid_format と error_detail を記録する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既存テスト：実装時のテスト（NOUS-63）</t>
        </is>
      </c>
    </row>
    <row r="11">
      <c r="A11" s="4" t="n">
        <v>7</v>
      </c>
      <c r="B11" s="4" t="inlineStr">
        <is>
          <t>TC-NOUS63_DEV-21</t>
        </is>
      </c>
      <c r="C11" s="5" t="inlineStr">
        <is>
          <t>runOpportunity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3036 は free_tier で閉じてから投げ直す</t>
        </is>
      </c>
      <c r="G11" s="5" t="inlineStr">
        <is>
          <t>前提：一時 DB（createTestDb）、FakeClock 2026-10-22T09:00:00.000Z
入力：FreeTierExceededError</t>
        </is>
      </c>
      <c r="H11" s="5" t="inlineStr">
        <is>
          <t>例外、failed・free_tier、runs=1・failures=1</t>
        </is>
      </c>
      <c r="I11" s="5" t="inlineStr">
        <is>
          <t>B18-T</t>
        </is>
      </c>
      <c r="J11" s="5" t="inlineStr">
        <is>
          <t>LLM の差し替え</t>
        </is>
      </c>
      <c r="K11" s="5" t="inlineStr"/>
      <c r="L11" s="5" t="inlineStr"/>
      <c r="M11" s="5" t="inlineStr">
        <is>
          <t>TC-NOUS63_DEV-21 FreeTierExceededError は closeFailed（free_tier）で閉じてから呼び出し元に投げ直す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既存テスト：実装時のテスト（NOUS-63）</t>
        </is>
      </c>
    </row>
    <row r="12">
      <c r="A12" s="4" t="n">
        <v>8</v>
      </c>
      <c r="B12" s="4" t="inlineStr">
        <is>
          <t>TC-NOUS63_DEV-22</t>
        </is>
      </c>
      <c r="C12" s="5" t="inlineStr">
        <is>
          <t>runOpportunity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取り消しの 3 通りは cancelled で閉じる</t>
        </is>
      </c>
      <c r="G12" s="5" t="inlineStr">
        <is>
          <t>前提：一時 DB（createTestDb）、FakeClock 2026-10-22T09:00:00.000Z
入力：LLM・時計の CancelledError、abort 済みの signal</t>
        </is>
      </c>
      <c r="H12" s="5" t="inlineStr">
        <is>
          <t>cancelled・cancelled、runs=3</t>
        </is>
      </c>
      <c r="I12" s="5" t="inlineStr">
        <is>
          <t>B19-T</t>
        </is>
      </c>
      <c r="J12" s="5" t="inlineStr">
        <is>
          <t>LLM の差し替え</t>
        </is>
      </c>
      <c r="K12" s="5" t="inlineStr"/>
      <c r="L12" s="5" t="inlineStr"/>
      <c r="M12" s="5" t="inlineStr">
        <is>
          <t>TC-NOUS63_DEV-22 取り消し（ClockCancelledError・LlmCancelledError・signal.aborted）は closeCancelled（cancelled）で閉じる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既存テスト：実装時のテスト（NOUS-63）</t>
        </is>
      </c>
    </row>
    <row r="13">
      <c r="A13" s="4" t="n">
        <v>9</v>
      </c>
      <c r="B13" s="4" t="inlineStr">
        <is>
          <t>TC-NOUS63_DEV-23</t>
        </is>
      </c>
      <c r="C13" s="5" t="inlineStr">
        <is>
          <t>runOpportunity / closeCancelled / closeFailed / closeGateNone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待ちの後の StoppedError は stopped で閉じる（close の関数の単体呼び出しも）</t>
        </is>
      </c>
      <c r="G13" s="5" t="inlineStr">
        <is>
          <t>前提：一時 DB（createTestDb）、FakeClock 2026-10-22T09:00:00.000Z
入力：429 の後に shouldContinue=false</t>
        </is>
      </c>
      <c r="H13" s="5" t="inlineStr">
        <is>
          <t>cancelled・stopped</t>
        </is>
      </c>
      <c r="I13" s="5" t="inlineStr">
        <is>
          <t>B20-T, B4-T</t>
        </is>
      </c>
      <c r="J13" s="5" t="inlineStr">
        <is>
          <t>LLM の差し替え</t>
        </is>
      </c>
      <c r="K13" s="5" t="inlineStr"/>
      <c r="L13" s="5" t="inlineStr"/>
      <c r="M13" s="5" t="inlineStr">
        <is>
          <t>TC-NOUS63_DEV-23 StoppedError（再試行待機後の停止）とイベント作成後の AgentNotActiveError は closeCancelled（stopped）で閉じる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既存テスト：実装時のテスト（NOUS-63）
確認事項 3・4</t>
        </is>
      </c>
    </row>
    <row r="14">
      <c r="A14" s="4" t="n">
        <v>10</v>
      </c>
      <c r="B14" s="4" t="inlineStr">
        <is>
          <t>TC-NOUS63_DEV-24</t>
        </is>
      </c>
      <c r="C14" s="5" t="inlineStr">
        <is>
          <t>runOpportunity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TemporaryFailureError と想定外の例外は closeFailed で閉じ、投げ直さない</t>
        </is>
      </c>
      <c r="G14" s="5" t="inlineStr">
        <is>
          <t>前提：一時 DB（createTestDb）、FakeClock 2026-10-22T09:00:00.000Z
入力：timeout が続く／TypeError</t>
        </is>
      </c>
      <c r="H14" s="5" t="inlineStr">
        <is>
          <t>failed・timeout／failed・server_error</t>
        </is>
      </c>
      <c r="I14" s="5" t="inlineStr">
        <is>
          <t>B22-T, B24-T</t>
        </is>
      </c>
      <c r="J14" s="5" t="inlineStr">
        <is>
          <t>LLM の差し替え</t>
        </is>
      </c>
      <c r="K14" s="5" t="inlineStr"/>
      <c r="L14" s="5" t="inlineStr"/>
      <c r="M14" s="5" t="inlineStr">
        <is>
          <t>TC-NOUS63_DEV-24 TemporaryFailureError と想定外の例外は closeFailed で閉じ、想定外の例外も投げ直さない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既存テスト：実装時のテスト（NOUS-63）
確認事項 4</t>
        </is>
      </c>
    </row>
    <row r="15">
      <c r="A15" s="4" t="n">
        <v>11</v>
      </c>
      <c r="B15" s="4" t="inlineStr">
        <is>
          <t>TC-NOUS83_DEV-06</t>
        </is>
      </c>
      <c r="C15" s="5" t="inlineStr">
        <is>
          <t>runOpportunity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待ち中の stopSignal で時計を進めずに cancelled・stopped（AC-P06）</t>
        </is>
      </c>
      <c r="G15" s="5" t="inlineStr">
        <is>
          <t>前提：一時 DB（createTestDb）、FakeClock 2026-10-22T09:00:00.000Z
入力：429 の後に stopSignal を abort</t>
        </is>
      </c>
      <c r="H15" s="5" t="inlineStr">
        <is>
          <t>cancelled・stopped、呼び出し 1 回</t>
        </is>
      </c>
      <c r="I15" s="5" t="inlineStr">
        <is>
          <t>B20-T</t>
        </is>
      </c>
      <c r="J15" s="5" t="inlineStr">
        <is>
          <t>LLM の差し替え</t>
        </is>
      </c>
      <c r="K15" s="5" t="inlineStr"/>
      <c r="L15" s="5" t="inlineStr"/>
      <c r="M15" s="5" t="inlineStr">
        <is>
          <t>TC-NOUS83_DEV-06 runOpportunity は一時的な失敗の再試行待ちの途中で stopSignal が abort されたら時計を進めずに status=cancelled かつ failureKind=stopped で閉じる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既存テスト：実装時のテスト（NOUS-83）</t>
        </is>
      </c>
    </row>
    <row r="16">
      <c r="A16" s="4" t="n">
        <v>12</v>
      </c>
      <c r="B16" s="4" t="inlineStr">
        <is>
          <t>TC-NOUS83_DEV-07</t>
        </is>
      </c>
      <c r="C16" s="5" t="inlineStr">
        <is>
          <t>runOpportunity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stopSignal が無くても shouldContinue の停止で stopped</t>
        </is>
      </c>
      <c r="G16" s="5" t="inlineStr">
        <is>
          <t>前提：一時 DB（createTestDb）、FakeClock 2026-10-22T09:00:00.000Z
入力：429 の後に shouldContinue=false</t>
        </is>
      </c>
      <c r="H16" s="5" t="inlineStr">
        <is>
          <t>cancelled・stopped</t>
        </is>
      </c>
      <c r="I16" s="5" t="inlineStr">
        <is>
          <t>B20-T</t>
        </is>
      </c>
      <c r="J16" s="5" t="inlineStr">
        <is>
          <t>LLM の差し替え</t>
        </is>
      </c>
      <c r="K16" s="5" t="inlineStr"/>
      <c r="L16" s="5" t="inlineStr"/>
      <c r="M16" s="5" t="inlineStr">
        <is>
          <t>TC-NOUS83_DEV-07 runOpportunity は stopSignal が渡されない場合でも従来どおり shouldContinue の停止で stopped で閉じる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既存テスト：実装時のテスト（NOUS-83）
確認事項 4</t>
        </is>
      </c>
    </row>
    <row r="17">
      <c r="A17" s="4" t="n">
        <v>13</v>
      </c>
      <c r="B17" s="4" t="inlineStr">
        <is>
          <t>TC-NOUS83_DEV-08</t>
        </is>
      </c>
      <c r="C17" s="5" t="inlineStr">
        <is>
          <t>runOpportunity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LLM の呼び出し中の stopSignal では中止せずに succeeded</t>
        </is>
      </c>
      <c r="G17" s="5" t="inlineStr">
        <is>
          <t>前提：一時 DB（createTestDb）、FakeClock 2026-10-22T09:00:00.000Z
入力：呼び出し中に stopSignal を abort して post</t>
        </is>
      </c>
      <c r="H17" s="5" t="inlineStr">
        <is>
          <t>succeeded・post</t>
        </is>
      </c>
      <c r="I17" s="5" t="inlineStr">
        <is>
          <t>B17-F</t>
        </is>
      </c>
      <c r="J17" s="5" t="inlineStr">
        <is>
          <t>LLM の差し替え</t>
        </is>
      </c>
      <c r="K17" s="5" t="inlineStr"/>
      <c r="L17" s="5" t="inlineStr"/>
      <c r="M17" s="5" t="inlineStr">
        <is>
          <t>TC-NOUS83_DEV-08 runOpportunity は LLM 呼び出し中に stopSignal が abort されても中止せず完了して succeeded で閉じる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既存テスト：実装時のテスト（NOUS-83）</t>
        </is>
      </c>
    </row>
    <row r="18">
      <c r="A18" s="4" t="n">
        <v>14</v>
      </c>
      <c r="B18" s="4" t="inlineStr">
        <is>
          <t>TC-UT_RUN-001</t>
        </is>
      </c>
      <c r="C18" s="5" t="inlineStr">
        <is>
          <t>runOpportunity</t>
        </is>
      </c>
      <c r="D18" s="4" t="inlineStr">
        <is>
          <t>異常系</t>
        </is>
      </c>
      <c r="E18" s="4" t="inlineStr">
        <is>
          <t>分岐網羅</t>
        </is>
      </c>
      <c r="F18" s="5" t="inlineStr">
        <is>
          <t>世界が無ければ生成イベントを作らずに例外</t>
        </is>
      </c>
      <c r="G18" s="5" t="inlineStr">
        <is>
          <t>前提：一時 DB（createTestDb）、FakeClock 2026-10-22T09:00:00.000Z
入力：存在しない worldId</t>
        </is>
      </c>
      <c r="H18" s="5" t="inlineStr">
        <is>
          <t>例外（World not found）、生成イベント 0 件</t>
        </is>
      </c>
      <c r="I18" s="5" t="inlineStr">
        <is>
          <t>B13-T</t>
        </is>
      </c>
      <c r="J18" s="5" t="inlineStr">
        <is>
          <t>LLM の差し替え</t>
        </is>
      </c>
      <c r="K18" s="5" t="inlineStr"/>
      <c r="L18" s="5" t="inlineStr"/>
      <c r="M18" s="5" t="inlineStr">
        <is>
          <t>TC-UT_RUN-001 世界が無ければ生成イベントを作らずに例外を投げる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TC-UT_RUN-002</t>
        </is>
      </c>
      <c r="C19" s="5" t="inlineStr">
        <is>
          <t>runOpportunity</t>
        </is>
      </c>
      <c r="D19" s="4" t="inlineStr">
        <is>
          <t>異常系</t>
        </is>
      </c>
      <c r="E19" s="4" t="inlineStr">
        <is>
          <t>分岐網羅</t>
        </is>
      </c>
      <c r="F19" s="5" t="inlineStr">
        <is>
          <t>world_settings が無ければ生成イベントを作らずに例外</t>
        </is>
      </c>
      <c r="G19" s="5" t="inlineStr">
        <is>
          <t>前提：一時 DB（createTestDb）、FakeClock 2026-10-22T09:00:00.000Z、world_settings の無い世界
入力：その世界の worldId・agentId</t>
        </is>
      </c>
      <c r="H19" s="5" t="inlineStr">
        <is>
          <t>例外（World settings not found）、生成イベント 0 件</t>
        </is>
      </c>
      <c r="I19" s="5" t="inlineStr">
        <is>
          <t>B14-T</t>
        </is>
      </c>
      <c r="J19" s="5" t="inlineStr">
        <is>
          <t>LLM の差し替え</t>
        </is>
      </c>
      <c r="K19" s="5" t="inlineStr"/>
      <c r="L19" s="5" t="inlineStr"/>
      <c r="M19" s="5" t="inlineStr">
        <is>
          <t>TC-UT_RUN-002 world_settings が無ければ生成イベントを作らずに例外を投げる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TC-UT_RUN-003</t>
        </is>
      </c>
      <c r="C20" s="5" t="inlineStr">
        <is>
          <t>runOpportunity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LLM が none を選んだら succeeded・decided_by=llm、runs と nones を 1 加算</t>
        </is>
      </c>
      <c r="G20" s="5" t="inlineStr">
        <is>
          <t>前提：一時 DB（createTestDb）、FakeClock 2026-10-22T09:00:00.000Z
入力：none の JSON</t>
        </is>
      </c>
      <c r="H20" s="5" t="inlineStr">
        <is>
          <t>succeeded・none・llm、daily_metrics runs=1・nones=1・posts=0、daily_usage calls=1・runs=1</t>
        </is>
      </c>
      <c r="I20" s="5" t="inlineStr">
        <is>
          <t>B9-F, B17-F</t>
        </is>
      </c>
      <c r="J20" s="5" t="inlineStr">
        <is>
          <t>LLM の差し替え</t>
        </is>
      </c>
      <c r="K20" s="5" t="inlineStr"/>
      <c r="L20" s="5" t="inlineStr"/>
      <c r="M20" s="5" t="inlineStr">
        <is>
          <t>TC-UT_RUN-003 LLM が none を選んだら succeeded・decided_by=llm で閉じ、daily_metrics は runs と nones を 1 加算する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既存テスト：なし（DEV は gate の none と post だけ）
行動生成とプロンプトの設計 3章：LLM の none はエラー率の分母に入る</t>
        </is>
      </c>
    </row>
    <row r="21">
      <c r="A21" s="4" t="n">
        <v>17</v>
      </c>
      <c r="B21" s="4" t="inlineStr">
        <is>
          <t>TC-UT_RUN-004</t>
        </is>
      </c>
      <c r="C21" s="5" t="inlineStr">
        <is>
          <t>runOpportunity / generateAndValidate</t>
        </is>
      </c>
      <c r="D21" s="4" t="inlineStr">
        <is>
          <t>異常系</t>
        </is>
      </c>
      <c r="E21" s="4" t="inlineStr">
        <is>
          <t>境界値</t>
        </is>
      </c>
      <c r="F21" s="5" t="inlineStr">
        <is>
          <t>最初の生成で 3 試行かかって不正なら、再生成は 4 回目の 1 回だけ。失敗すれば timeout で閉じる</t>
        </is>
      </c>
      <c r="G21" s="5" t="inlineStr">
        <is>
          <t>前提：一時 DB（createTestDb）、FakeClock 2026-10-22T09:00:00.000Z
入力：timeout・timeout・不正な出力・timeout</t>
        </is>
      </c>
      <c r="H21" s="5" t="inlineStr">
        <is>
          <t>failed・timeout、呼び出し 4 回、試行 1〜4（timeout・timeout・invalid_format・timeout）</t>
        </is>
      </c>
      <c r="I21" s="5" t="inlineStr">
        <is>
          <t>B10-T, B22-T</t>
        </is>
      </c>
      <c r="J21" s="5" t="inlineStr">
        <is>
          <t>FakeClock 2026-10-22T09:00:00.000Z、LLM の差し替え</t>
        </is>
      </c>
      <c r="K21" s="5" t="inlineStr"/>
      <c r="L21" s="5" t="inlineStr"/>
      <c r="M21" s="5" t="inlineStr">
        <is>
          <t>TC-UT_RUN-004 最初の生成で 3 試行かかって不正な形式なら、再生成は 4 回目の 1 回だけで、失敗すれば timeout で閉じる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NOUS-63 の決定：1 つの生成イベントの試行は 4 回まで（attempt_no の CHECK）</t>
        </is>
      </c>
    </row>
    <row r="22">
      <c r="A22" s="4" t="n">
        <v>18</v>
      </c>
      <c r="B22" s="4" t="inlineStr">
        <is>
          <t>TC-UT_RUN-005</t>
        </is>
      </c>
      <c r="C22" s="5" t="inlineStr">
        <is>
          <t>runOpportunity / generateAndValidate</t>
        </is>
      </c>
      <c r="D22" s="4" t="inlineStr">
        <is>
          <t>異常系</t>
        </is>
      </c>
      <c r="E22" s="4" t="inlineStr">
        <is>
          <t>境界値</t>
        </is>
      </c>
      <c r="F22" s="5" t="inlineStr">
        <is>
          <t>最初の生成が 1 試行で不正なら、再生成の側は 2〜4 回目の 3 回まで再試行する</t>
        </is>
      </c>
      <c r="G22" s="5" t="inlineStr">
        <is>
          <t>前提：一時 DB（createTestDb）、FakeClock 2026-10-22T09:00:00.000Z
入力：不正な出力・timeout×3</t>
        </is>
      </c>
      <c r="H22" s="5" t="inlineStr">
        <is>
          <t>failed・timeout、呼び出し 4 回、試行 1〜4、daily_usage calls=4・runs=1</t>
        </is>
      </c>
      <c r="I22" s="5" t="inlineStr">
        <is>
          <t>B10-T, B22-T</t>
        </is>
      </c>
      <c r="J22" s="5" t="inlineStr">
        <is>
          <t>FakeClock 2026-10-22T09:00:00.000Z、LLM の差し替え</t>
        </is>
      </c>
      <c r="K22" s="5" t="inlineStr"/>
      <c r="L22" s="5" t="inlineStr"/>
      <c r="M22" s="5" t="inlineStr">
        <is>
          <t>TC-UT_RUN-005 最初の生成が 1 試行で不正な形式なら、再生成の側は 2〜4 回目の 3 回まで再試行する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TC-UT_RUN-006</t>
        </is>
      </c>
      <c r="C23" s="5" t="inlineStr">
        <is>
          <t>runOpportunity</t>
        </is>
      </c>
      <c r="D23" s="4" t="inlineStr">
        <is>
          <t>異常系</t>
        </is>
      </c>
      <c r="E23" s="4" t="inlineStr">
        <is>
          <t>状態遷移</t>
        </is>
      </c>
      <c r="F23" s="5" t="inlineStr">
        <is>
          <t>生成イベントを作った後にエージェントが停止されたら、LLM を呼ばずに cancelled（stopped）で閉じる</t>
        </is>
      </c>
      <c r="G23" s="5" t="inlineStr">
        <is>
          <t>前提：一時 DB（createTestDb）、FakeClock 2026-10-22T09:00:00.000Z
入力：参加の判定の時点でエージェントを停止する</t>
        </is>
      </c>
      <c r="H23" s="5" t="inlineStr">
        <is>
          <t>cancelled・stopped、LLM を呼ばない、daily_metrics runs=1・failures=0</t>
        </is>
      </c>
      <c r="I23" s="5" t="inlineStr">
        <is>
          <t>B21-T</t>
        </is>
      </c>
      <c r="J23" s="5" t="inlineStr">
        <is>
          <t>GenerationConfig の participation を読むときに agents.state を stopped にする</t>
        </is>
      </c>
      <c r="K23" s="5" t="inlineStr"/>
      <c r="L23" s="5" t="inlineStr"/>
      <c r="M23" s="5" t="inlineStr">
        <is>
          <t>TC-UT_RUN-006 生成イベントを作った後にエージェントが停止されたら、LLM を呼ばずに cancelled（stopped）で閉じる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既存テスト：なし（DEV-23 は名前にあるが経路を通っていない）
設計書 6章：作った後なら cancelled（stopped）</t>
        </is>
      </c>
    </row>
    <row r="24">
      <c r="A24" s="4" t="n">
        <v>20</v>
      </c>
      <c r="B24" s="4" t="inlineStr">
        <is>
          <t>TC-UT_RUN-007</t>
        </is>
      </c>
      <c r="C24" s="5" t="inlineStr">
        <is>
          <t>runOpportunity</t>
        </is>
      </c>
      <c r="D24" s="4" t="inlineStr">
        <is>
          <t>異常系</t>
        </is>
      </c>
      <c r="E24" s="4" t="inlineStr">
        <is>
          <t>エラー処理</t>
        </is>
      </c>
      <c r="F24" s="5" t="inlineStr">
        <is>
          <t>再生成の側が再試行しない失敗（401）なら server_error で閉じ、1 回目の不正な出力を残す</t>
        </is>
      </c>
      <c r="G24" s="5" t="inlineStr">
        <is>
          <t>前提：一時 DB（createTestDb）、FakeClock 2026-10-22T09:00:00.000Z
入力：不正な出力・ServerError(401)</t>
        </is>
      </c>
      <c r="H24" s="5" t="inlineStr">
        <is>
          <t>failed・server_error、output_text は 1 回目、runs=1・failures=1</t>
        </is>
      </c>
      <c r="I24" s="5" t="inlineStr">
        <is>
          <t>B22-T, B4-T</t>
        </is>
      </c>
      <c r="J24" s="5" t="inlineStr">
        <is>
          <t>LLM の差し替え</t>
        </is>
      </c>
      <c r="K24" s="5" t="inlineStr"/>
      <c r="L24" s="5" t="inlineStr"/>
      <c r="M24" s="5" t="inlineStr">
        <is>
          <t>TC-UT_RUN-007 再生成の側が再試行しない失敗（401）なら server_error で閉じ、output_text に 1 回目の不正な出力を残す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</t>
        </is>
      </c>
    </row>
    <row r="25">
      <c r="A25" s="4" t="n">
        <v>21</v>
      </c>
      <c r="B25" s="4" t="inlineStr">
        <is>
          <t>TC-UT_RUN-008</t>
        </is>
      </c>
      <c r="C25" s="5" t="inlineStr">
        <is>
          <t>createEvent</t>
        </is>
      </c>
      <c r="D25" s="4" t="inlineStr">
        <is>
          <t>正常系</t>
        </is>
      </c>
      <c r="E25" s="4" t="inlineStr">
        <is>
          <t>境界値</t>
        </is>
      </c>
      <c r="F25" s="5" t="inlineStr">
        <is>
          <t>usage_date を時計の UTC の日付にする（00:00 UTC の両側）</t>
        </is>
      </c>
      <c r="G25" s="5" t="inlineStr">
        <is>
          <t>前提：一時 DB（createTestDb）
入力：時計 2026-10-22T23:59:59.999Z・2026-10-23T00:00:00.000Z</t>
        </is>
      </c>
      <c r="H25" s="5" t="inlineStr">
        <is>
          <t>running・llm、usage_date 2026-10-22・2026-10-23、started_at は時計の時刻</t>
        </is>
      </c>
      <c r="I25" s="5" t="inlineStr">
        <is>
          <t>B2-T, B3-T</t>
        </is>
      </c>
      <c r="J25" s="5" t="inlineStr">
        <is>
          <t>FakeClock（各時刻）</t>
        </is>
      </c>
      <c r="K25" s="5" t="inlineStr"/>
      <c r="L25" s="5" t="inlineStr"/>
      <c r="M25" s="5" t="inlineStr">
        <is>
          <t>TC-UT_RUN-008 createEvent は usage_date を時計の UTC の日付にする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TC-UT_RUN-009</t>
        </is>
      </c>
      <c r="C26" s="5" t="inlineStr">
        <is>
          <t>runOpportunity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00:00 UTC をまたいで再試行したら、試行は呼んだ日の daily_usage に、指標は生成イベントの日の daily_metrics に入る</t>
        </is>
      </c>
      <c r="G26" s="5" t="inlineStr">
        <is>
          <t>前提：一時 DB（createTestDb）、FakeClock 2026-10-22T23:59:50.000Z
入力：timeout・post</t>
        </is>
      </c>
      <c r="H26" s="5" t="inlineStr">
        <is>
          <t>生成イベントの usage_date 2026-10-22、daily_usage 22 日 calls=1・runs=1、23 日 calls=1・runs=0・Neurons 6.5、daily_metrics は 22 日だけ</t>
        </is>
      </c>
      <c r="I26" s="5" t="inlineStr">
        <is>
          <t>B1-T</t>
        </is>
      </c>
      <c r="J26" s="5" t="inlineStr">
        <is>
          <t>FakeClock、LLM の差し替え</t>
        </is>
      </c>
      <c r="K26" s="5" t="inlineStr"/>
      <c r="L26" s="5" t="inlineStr"/>
      <c r="M26" s="5" t="inlineStr">
        <is>
          <t>TC-UT_RUN-009 00:00 UTC をまたいで再試行したら、試行は呼んだ日の daily_usage に、指標は生成イベントの日の daily_metrics に入る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
確認事項 2。設計書に記載なし。実装の値</t>
        </is>
      </c>
    </row>
    <row r="27">
      <c r="A27" s="4" t="n">
        <v>23</v>
      </c>
      <c r="B27" s="4" t="inlineStr">
        <is>
          <t>TC-UT_RUN-010</t>
        </is>
      </c>
      <c r="C27" s="5" t="inlineStr">
        <is>
          <t>commitAction</t>
        </is>
      </c>
      <c r="D27" s="4" t="inlineStr">
        <is>
          <t>異常系</t>
        </is>
      </c>
      <c r="E27" s="4" t="inlineStr">
        <is>
          <t>エラー処理</t>
        </is>
      </c>
      <c r="F27" s="5" t="inlineStr">
        <is>
          <t>DuplicateActionError 以外の例外（外部キーの違反）ならロールバックして、そのまま投げる</t>
        </is>
      </c>
      <c r="G27" s="5" t="inlineStr">
        <is>
          <t>前提：一時 DB（createTestDb）、FakeClock 2026-10-22T09:00:00.000Z
入力：存在しない投稿へのいいね</t>
        </is>
      </c>
      <c r="H27" s="5" t="inlineStr">
        <is>
          <t>例外（DuplicateActionError でない）、likes 0 件、生成イベントは running のまま、daily_metrics 0 件</t>
        </is>
      </c>
      <c r="I27" s="5" t="inlineStr">
        <is>
          <t>B11-F</t>
        </is>
      </c>
      <c r="J27" s="5" t="inlineStr">
        <is>
          <t>なし</t>
        </is>
      </c>
      <c r="K27" s="5" t="inlineStr"/>
      <c r="L27" s="5" t="inlineStr"/>
      <c r="M27" s="5" t="inlineStr">
        <is>
          <t>TC-UT_RUN-010 commitAction は DuplicateActionError 以外の例外（外部キーの違反）ならロールバックして、そのまま投げる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
設計書 6章：ロールバックの後に呼び出し元が closeFailed（想定外の例外は server_error）</t>
        </is>
      </c>
    </row>
    <row r="28">
      <c r="A28" s="4" t="n">
        <v>24</v>
      </c>
      <c r="B28" s="4" t="inlineStr">
        <is>
          <t>TC-UT_RUN-011</t>
        </is>
      </c>
      <c r="C28" s="5" t="inlineStr">
        <is>
          <t>closeCancelled</t>
        </is>
      </c>
      <c r="D28" s="4" t="inlineStr">
        <is>
          <t>異常系</t>
        </is>
      </c>
      <c r="E28" s="4" t="inlineStr">
        <is>
          <t>分岐網羅</t>
        </is>
      </c>
      <c r="F28" s="5" t="inlineStr">
        <is>
          <t>生成イベントが見つからないとき、時計の UTC の日付の daily_metrics に runs を加算する</t>
        </is>
      </c>
      <c r="G28" s="5" t="inlineStr">
        <is>
          <t>前提：一時 DB（createTestDb）、FakeClock 2026-10-23T01:00:00.000Z
入力：存在しない eventId</t>
        </is>
      </c>
      <c r="H28" s="5" t="inlineStr">
        <is>
          <t>daily_metrics（2026-10-23）runs=1・failures=0</t>
        </is>
      </c>
      <c r="I28" s="5" t="inlineStr">
        <is>
          <t>B1-F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TC-UT_RUN-011 closeCancelled は生成イベントが見つからないとき、時計の UTC の日付の daily_metrics に runs を加算する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
設計書に記載なし。実装の値（防御の分岐）</t>
        </is>
      </c>
    </row>
    <row r="29">
      <c r="A29" s="4" t="n">
        <v>25</v>
      </c>
      <c r="B29" s="4" t="inlineStr">
        <is>
          <t>TC-UT_RUN-012</t>
        </is>
      </c>
      <c r="C29" s="5" t="inlineStr">
        <is>
          <t>closeFailed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lastOutput が null なら output_text を上書きしない</t>
        </is>
      </c>
      <c r="G29" s="5" t="inlineStr">
        <is>
          <t>前提：一時 DB（createTestDb）、FakeClock 2026-10-22T09:00:00.000Z、output_text='前の出力' の生成イベント
入力：lastOutput=null</t>
        </is>
      </c>
      <c r="H29" s="5" t="inlineStr">
        <is>
          <t>failed・server_error、output_text='前の出力'</t>
        </is>
      </c>
      <c r="I29" s="5" t="inlineStr">
        <is>
          <t>B4-F</t>
        </is>
      </c>
      <c r="J29" s="5" t="inlineStr">
        <is>
          <t>なし</t>
        </is>
      </c>
      <c r="K29" s="5" t="inlineStr"/>
      <c r="L29" s="5" t="inlineStr"/>
      <c r="M29" s="5" t="inlineStr">
        <is>
          <t>TC-UT_RUN-012 closeFailed は lastOutput が null なら output_text を上書きしない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 は出力ありだけ）</t>
        </is>
      </c>
    </row>
    <row r="30">
      <c r="A30" s="4" t="n">
        <v>26</v>
      </c>
      <c r="B30" s="4" t="inlineStr">
        <is>
          <t>TC-UT_RUN-013</t>
        </is>
      </c>
      <c r="C30" s="5" t="inlineStr">
        <is>
          <t>generateAndValidate</t>
        </is>
      </c>
      <c r="D30" s="4" t="inlineStr">
        <is>
          <t>正常系</t>
        </is>
      </c>
      <c r="E30" s="4" t="inlineStr">
        <is>
          <t>分岐網羅</t>
        </is>
      </c>
      <c r="F30" s="5" t="inlineStr">
        <is>
          <t>設定が DB にも ctx にも無ければ、既定のモデル・出力の上限 300 で呼び、ハンドルを DB から読む</t>
        </is>
      </c>
      <c r="G30" s="5" t="inlineStr">
        <is>
          <t>前提：一時 DB（createTestDb）、FakeClock 2026-10-22T09:00:00.000Z、world_settings の無い世界
入力：settings・validationContext・handle なし、cycleNo=7</t>
        </is>
      </c>
      <c r="H30" s="5" t="inlineStr">
        <is>
          <t>none、LLM の要求 modelId=@cf/google/gemma-4-26b-a4b-it・maxTokens=300・fixtureKey {zen, 7}</t>
        </is>
      </c>
      <c r="I30" s="5" t="inlineStr">
        <is>
          <t>B5-F, B6-F, B7-T, B8-F</t>
        </is>
      </c>
      <c r="J30" s="5" t="inlineStr">
        <is>
          <t>LLM の差し替え（要求を残す）</t>
        </is>
      </c>
      <c r="K30" s="5" t="inlineStr"/>
      <c r="L30" s="5" t="inlineStr"/>
      <c r="M30" s="5" t="inlineStr">
        <is>
          <t>TC-UT_RUN-013 generateAndValidate は設定が DB にも ctx にも無ければ、既定のモデル・出力の上限 300 で呼び、ハンドルを DB から読む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
設計書に記載なし。実装の値（world_settings の既定値と同じ）</t>
        </is>
      </c>
    </row>
    <row r="31">
      <c r="A31" s="4" t="n">
        <v>27</v>
      </c>
      <c r="B31" s="4" t="inlineStr">
        <is>
          <t>TC-UT_RUN-014</t>
        </is>
      </c>
      <c r="C31" s="5" t="inlineStr">
        <is>
          <t>generateAndValidate</t>
        </is>
      </c>
      <c r="D31" s="4" t="inlineStr">
        <is>
          <t>正常系</t>
        </is>
      </c>
      <c r="E31" s="4" t="inlineStr">
        <is>
          <t>分岐網羅</t>
        </is>
      </c>
      <c r="F31" s="5" t="inlineStr">
        <is>
          <t>ctx の settings・validationContext・handle を渡されたら、それを使い DB の文脈を読まない</t>
        </is>
      </c>
      <c r="G31" s="5" t="inlineStr">
        <is>
          <t>前提：一時 DB（createTestDb）、FakeClock 2026-10-22T09:00:00.000Z、エージェントを停止しておく
入力：settings {qwen3, 150}、validationContext、handle='given_handle'</t>
        </is>
      </c>
      <c r="H31" s="5" t="inlineStr">
        <is>
          <t>none、要求 modelId=@cf/qwen/qwen3-30b-a3b-fp8・maxTokens=150・handle=given_handle（停止中でも例外にならない）</t>
        </is>
      </c>
      <c r="I31" s="5" t="inlineStr">
        <is>
          <t>B5-T, B6-T, B7-F, B8-F</t>
        </is>
      </c>
      <c r="J31" s="5" t="inlineStr">
        <is>
          <t>LLM の差し替え（要求を残す）</t>
        </is>
      </c>
      <c r="K31" s="5" t="inlineStr"/>
      <c r="L31" s="5" t="inlineStr"/>
      <c r="M31" s="5" t="inlineStr">
        <is>
          <t>TC-UT_RUN-014 generateAndValidate は ctx の settings・validationContext・handle を渡されたら、それを使い DB の文脈を読まない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TC-UT_RUN-015</t>
        </is>
      </c>
      <c r="C32" s="5" t="inlineStr">
        <is>
          <t>generateAndValidate</t>
        </is>
      </c>
      <c r="D32" s="4" t="inlineStr">
        <is>
          <t>正常系</t>
        </is>
      </c>
      <c r="E32" s="4" t="inlineStr">
        <is>
          <t>分岐網羅</t>
        </is>
      </c>
      <c r="F32" s="5" t="inlineStr">
        <is>
          <t>validationContext だけ渡されハンドルが無ければ、エージェントからハンドルを読む</t>
        </is>
      </c>
      <c r="G32" s="5" t="inlineStr">
        <is>
          <t>前提：一時 DB（createTestDb）、FakeClock 2026-10-22T09:00:00.000Z
入力：validationContext のみ</t>
        </is>
      </c>
      <c r="H32" s="5" t="inlineStr">
        <is>
          <t>要求の fixtureKey.handle=minato</t>
        </is>
      </c>
      <c r="I32" s="5" t="inlineStr">
        <is>
          <t>B7-F, B8-T</t>
        </is>
      </c>
      <c r="J32" s="5" t="inlineStr">
        <is>
          <t>LLM の差し替え（要求を残す）</t>
        </is>
      </c>
      <c r="K32" s="5" t="inlineStr"/>
      <c r="L32" s="5" t="inlineStr"/>
      <c r="M32" s="5" t="inlineStr">
        <is>
          <t>TC-UT_RUN-015 generateAndValidate は validationContext だけ渡されてハンドルが無ければ、エージェントからハンドルを読む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TC-UT_RUN-016</t>
        </is>
      </c>
      <c r="C33" s="5" t="inlineStr">
        <is>
          <t>generateAndValidate</t>
        </is>
      </c>
      <c r="D33" s="4" t="inlineStr">
        <is>
          <t>異常系</t>
        </is>
      </c>
      <c r="E33" s="4" t="inlineStr">
        <is>
          <t>分岐網羅</t>
        </is>
      </c>
      <c r="F33" s="5" t="inlineStr">
        <is>
          <t>world_settings が無いとき ctx.settings の上限で待ちの後の停止を判定する</t>
        </is>
      </c>
      <c r="G33" s="5" t="inlineStr">
        <is>
          <t>前提：一時 DB（createTestDb）、FakeClock 2026-10-22T09:00:00.000Z、world_settings の無い世界
入力：timeout、settings の runs 上限 1</t>
        </is>
      </c>
      <c r="H33" s="5" t="inlineStr">
        <is>
          <t>StoppedError、呼び出し 1 回</t>
        </is>
      </c>
      <c r="I33" s="5" t="inlineStr">
        <is>
          <t>B6-T</t>
        </is>
      </c>
      <c r="J33" s="5" t="inlineStr">
        <is>
          <t>FakeClock 2026-10-22T09:00:00.000Z、LLM の差し替え</t>
        </is>
      </c>
      <c r="K33" s="5" t="inlineStr"/>
      <c r="L33" s="5" t="inlineStr"/>
      <c r="M33" s="5" t="inlineStr">
        <is>
          <t>TC-UT_RUN-016 generateAndValidate は world_settings が無いとき ctx.settings の上限で待ちの後の停止を判定する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</t>
        </is>
      </c>
    </row>
    <row r="34">
      <c r="A34" s="4" t="n">
        <v>30</v>
      </c>
      <c r="B34" s="4" t="inlineStr">
        <is>
          <t>TC-UT_RUN-017</t>
        </is>
      </c>
      <c r="C34" s="5" t="inlineStr">
        <is>
          <t>runOpportunity / generateAndValidate</t>
        </is>
      </c>
      <c r="D34" s="4" t="inlineStr">
        <is>
          <t>正常系</t>
        </is>
      </c>
      <c r="E34" s="4" t="inlineStr">
        <is>
          <t>同値分割</t>
        </is>
      </c>
      <c r="F34" s="5" t="inlineStr">
        <is>
          <t>不正な形式の試行で使った Neurons も、daily_usage・生成イベント・戻り値の neurons に入る</t>
        </is>
      </c>
      <c r="G34" s="5" t="inlineStr">
        <is>
          <t>前提：一時 DB（createTestDb）、FakeClock 2026-10-22T09:00:00.000Z
入力：不正な出力（Neurons 4）・post（Neurons 7）</t>
        </is>
      </c>
      <c r="H34" s="5" t="inlineStr">
        <is>
          <t>succeeded、neurons=11、生成イベント 11、daily_usage calls=2・runs=1・Neurons 11</t>
        </is>
      </c>
      <c r="I34" s="5" t="inlineStr">
        <is>
          <t>B9-T, B10-T</t>
        </is>
      </c>
      <c r="J34" s="5" t="inlineStr">
        <is>
          <t>LLM の差し替え</t>
        </is>
      </c>
      <c r="K34" s="5" t="inlineStr"/>
      <c r="L34" s="5" t="inlineStr"/>
      <c r="M34" s="5" t="inlineStr">
        <is>
          <t>TC-UT_RUN-017 不正な形式の試行で使った Neurons も、daily_usage・生成イベント・戻り値の neurons に入る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既存テスト：なし（DEV-18 は 1 回目を 0 とする）
疑い：不正な形式の試行の Neurons が 0 で記録される（疑い 1）</t>
        </is>
      </c>
    </row>
    <row r="35">
      <c r="A35" s="4" t="n">
        <v>31</v>
      </c>
      <c r="B35" s="4" t="inlineStr">
        <is>
          <t>TC-UT_RUN-018</t>
        </is>
      </c>
      <c r="C35" s="5" t="inlineStr">
        <is>
          <t>runOpportunity / generateAndValidate</t>
        </is>
      </c>
      <c r="D35" s="4" t="inlineStr">
        <is>
          <t>正常系</t>
        </is>
      </c>
      <c r="E35" s="4" t="inlineStr">
        <is>
          <t>状態遷移</t>
        </is>
      </c>
      <c r="F35" s="5" t="inlineStr">
        <is>
          <t>1 回目が不正な形式のとき、その呼び出し中に stopSignal が abort されていても再生成を 1 回呼ぶ</t>
        </is>
      </c>
      <c r="G35" s="5" t="inlineStr">
        <is>
          <t>前提：一時 DB（createTestDb）、FakeClock 2026-10-22T09:00:00.000Z
入力：呼び出し中に stopSignal を abort して不正な出力・post</t>
        </is>
      </c>
      <c r="H35" s="5" t="inlineStr">
        <is>
          <t>呼び出し 2 回、succeeded・post</t>
        </is>
      </c>
      <c r="I35" s="5" t="inlineStr">
        <is>
          <t>B10-T</t>
        </is>
      </c>
      <c r="J35" s="5" t="inlineStr">
        <is>
          <t>LLM の差し替え</t>
        </is>
      </c>
      <c r="K35" s="5" t="inlineStr"/>
      <c r="L35" s="5" t="inlineStr"/>
      <c r="M35" s="5" t="inlineStr">
        <is>
          <t>TC-UT_RUN-018 1 回目が不正な形式のとき、その呼び出し中に stopSignal が abort されていても再生成を 1 回呼ぶ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
確認事項 1。設計書に記載なし。実装の値</t>
        </is>
      </c>
    </row>
    <row r="36">
      <c r="A36" s="4" t="n">
        <v>32</v>
      </c>
      <c r="B36" s="4" t="inlineStr">
        <is>
          <t>TC-UT_RUN-019</t>
        </is>
      </c>
      <c r="C36" s="5" t="inlineStr">
        <is>
          <t>runOpportunity</t>
        </is>
      </c>
      <c r="D36" s="4" t="inlineStr">
        <is>
          <t>異常系</t>
        </is>
      </c>
      <c r="E36" s="4" t="inlineStr">
        <is>
          <t>エラー処理</t>
        </is>
      </c>
      <c r="F36" s="5" t="inlineStr">
        <is>
          <t>再生成の側で 3036 になったら free_tier で閉じて投げ直し、1 回目の出力を残す</t>
        </is>
      </c>
      <c r="G36" s="5" t="inlineStr">
        <is>
          <t>前提：一時 DB（createTestDb）、FakeClock 2026-10-22T09:00:00.000Z
入力：不正な出力・FreeTierExceededError</t>
        </is>
      </c>
      <c r="H36" s="5" t="inlineStr">
        <is>
          <t>例外、failed・free_tier、output_text は 1 回目、試行 invalid_format・free_tier</t>
        </is>
      </c>
      <c r="I36" s="5" t="inlineStr">
        <is>
          <t>B18-T, B4-T</t>
        </is>
      </c>
      <c r="J36" s="5" t="inlineStr">
        <is>
          <t>LLM の差し替え</t>
        </is>
      </c>
      <c r="K36" s="5" t="inlineStr"/>
      <c r="L36" s="5" t="inlineStr"/>
      <c r="M36" s="5" t="inlineStr">
        <is>
          <t>TC-UT_RUN-019 再生成の側で 3036 になったら free_tier で閉じて投げ直し、output_text に 1 回目の出力を残す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TC-NOUS63_DEV-21（1 回目の 3036 だけ）</t>
        </is>
      </c>
    </row>
    <row r="37">
      <c r="A37" s="4" t="n">
        <v>33</v>
      </c>
      <c r="B37" s="4" t="inlineStr">
        <is>
          <t>TC-UT_RUN-020</t>
        </is>
      </c>
      <c r="C37" s="5" t="inlineStr">
        <is>
          <t>runOpportunity</t>
        </is>
      </c>
      <c r="D37" s="4" t="inlineStr">
        <is>
          <t>異常系</t>
        </is>
      </c>
      <c r="E37" s="4" t="inlineStr">
        <is>
          <t>状態遷移</t>
        </is>
      </c>
      <c r="F37" s="5" t="inlineStr">
        <is>
          <t>再試行の待ちの途中で signal と stopSignal の両方が abort されたら、緊急停止を優先して cancelled（cancelled）で閉じる</t>
        </is>
      </c>
      <c r="G37" s="5" t="inlineStr">
        <is>
          <t>前提：一時 DB（createTestDb）、FakeClock 2026-10-22T09:00:00.000Z
入力：timeout の後、待ち中に stopSignal・signal の順に abort</t>
        </is>
      </c>
      <c r="H37" s="5" t="inlineStr">
        <is>
          <t>cancelled・cancelled</t>
        </is>
      </c>
      <c r="I37" s="5" t="inlineStr">
        <is>
          <t>B19-T</t>
        </is>
      </c>
      <c r="J37" s="5" t="inlineStr">
        <is>
          <t>FakeClock 2026-10-22T09:00:00.000Z、LLM の差し替え</t>
        </is>
      </c>
      <c r="K37" s="5" t="inlineStr"/>
      <c r="L37" s="5" t="inlineStr"/>
      <c r="M37" s="5" t="inlineStr">
        <is>
          <t>TC-UT_RUN-020 再試行の待ちの途中で signal と stopSignal の両方が abort されたら、緊急停止を優先して cancelled（cancelled）で閉じる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TC-NOUS83_DEV-02（waitOrStop の単体だけ）
NOUS-83 の決定：両方なら signal を優先</t>
        </is>
      </c>
    </row>
  </sheetData>
  <autoFilter ref="A4:Q37"/>
  <conditionalFormatting sqref="A5:Q8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7" showDropDown="0" showInputMessage="0" showErrorMessage="0" allowBlank="1" type="list">
      <formula1>"未実施,OK,NG,保留,対象外"</formula1>
    </dataValidation>
    <dataValidation sqref="D5:D8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COUNTA(観点表!$B$5:$B$87)</f>
        <v/>
      </c>
    </row>
    <row r="6">
      <c r="A6" s="10" t="inlineStr">
        <is>
          <t>正常系</t>
        </is>
      </c>
      <c r="B6" s="10">
        <f>COUNTIF(観点表!$D$5:$D$87,"正常系")</f>
        <v/>
      </c>
    </row>
    <row r="7">
      <c r="A7" s="10" t="inlineStr">
        <is>
          <t>異常系</t>
        </is>
      </c>
      <c r="B7" s="10">
        <f>COUNTIF(観点表!$D$5:$D$87,"異常系")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COUNTIF(観点表!$E$5:$E$87,"エラー処理")</f>
        <v/>
      </c>
    </row>
    <row r="11">
      <c r="A11" s="10" t="inlineStr">
        <is>
          <t>分岐網羅</t>
        </is>
      </c>
      <c r="B11" s="10">
        <f>COUNTIF(観点表!$E$5:$E$87,"分岐網羅")</f>
        <v/>
      </c>
    </row>
    <row r="12">
      <c r="A12" s="10" t="inlineStr">
        <is>
          <t>同値分割</t>
        </is>
      </c>
      <c r="B12" s="10">
        <f>COUNTIF(観点表!$E$5:$E$87,"同値分割")</f>
        <v/>
      </c>
    </row>
    <row r="13">
      <c r="A13" s="10" t="inlineStr">
        <is>
          <t>境界値</t>
        </is>
      </c>
      <c r="B13" s="10">
        <f>COUNTIF(観点表!$E$5:$E$87,"境界値")</f>
        <v/>
      </c>
    </row>
    <row r="14">
      <c r="A14" s="10" t="inlineStr">
        <is>
          <t>状態遷移</t>
        </is>
      </c>
      <c r="B14" s="10">
        <f>COUNTIF(観点表!$E$5:$E$87,"状態遷移")</f>
        <v/>
      </c>
    </row>
    <row r="15">
      <c r="A15" s="10" t="inlineStr">
        <is>
          <t>開発者テスト</t>
        </is>
      </c>
      <c r="B15" s="10">
        <f>COUNTIF(観点表!$E$5:$E$87,"開発者テスト")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COUNTIF(観点表!$K$5:$K$87,"?*")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COUNTIF(観点表!$N$5:$N$87,"未実施")</f>
        <v/>
      </c>
    </row>
    <row r="23">
      <c r="A23" s="10" t="inlineStr">
        <is>
          <t>OK</t>
        </is>
      </c>
      <c r="B23" s="10">
        <f>COUNTIF(観点表!$N$5:$N$87,"OK")</f>
        <v/>
      </c>
    </row>
    <row r="24">
      <c r="A24" s="10" t="inlineStr">
        <is>
          <t>NG</t>
        </is>
      </c>
      <c r="B24" s="10">
        <f>COUNTIF(観点表!$N$5:$N$87,"NG")</f>
        <v/>
      </c>
    </row>
    <row r="25">
      <c r="A25" s="10" t="inlineStr">
        <is>
          <t>保留</t>
        </is>
      </c>
      <c r="B25" s="10">
        <f>COUNTIF(観点表!$N$5:$N$87,"保留")</f>
        <v/>
      </c>
    </row>
    <row r="26">
      <c r="A26" s="10" t="inlineStr">
        <is>
          <t>対象外</t>
        </is>
      </c>
      <c r="B26" s="10">
        <f>COUNTIF(観点表!$N$5:$N$87,"対象外")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TC-NOUS63_DEV-15</t>
        </is>
      </c>
      <c r="B5" s="13" t="inlineStr">
        <is>
          <t>稼働中でなければ生成イベントを作らず skipped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TC-NOUS63_DEV-16</t>
        </is>
      </c>
      <c r="B6" s="13" t="inlineStr">
        <is>
          <t>gate で不参加なら LLM を呼ばず nones だけ +1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TC-NOUS63_DEV-17</t>
        </is>
      </c>
      <c r="B7" s="13" t="inlineStr">
        <is>
          <t>post の成功で入力・出力・投稿・記憶・矛盾・利用量・指標を記録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TC-NOUS63_DEV-18</t>
        </is>
      </c>
      <c r="B8" s="13" t="inlineStr">
        <is>
          <t>1 回目が不正な形式でも 1 回だけ再生成して成功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TC-NOUS63_DEV-19</t>
        </is>
      </c>
      <c r="B9" s="13" t="inlineStr">
        <is>
          <t>再生成でも不正なら invalid_format で閉じ、最後の出力を残す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TC-NOUS63_DEV-20</t>
        </is>
      </c>
      <c r="B10" s="13" t="inlineStr">
        <is>
          <t>DuplicateActionError でロールバックし、invalid_format と error_detail を記録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TC-NOUS63_DEV-21</t>
        </is>
      </c>
      <c r="B11" s="13" t="inlineStr">
        <is>
          <t>3036 は free_tier で閉じてから投げ直す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TC-NOUS63_DEV-22</t>
        </is>
      </c>
      <c r="B12" s="13" t="inlineStr">
        <is>
          <t>取り消しの 3 通りは cancelled で閉じる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TC-NOUS63_DEV-23</t>
        </is>
      </c>
      <c r="B13" s="13" t="inlineStr">
        <is>
          <t>待ちの後の StoppedError は stopped で閉じる（close の関数の単体呼び出しも）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TC-NOUS63_DEV-24</t>
        </is>
      </c>
      <c r="B14" s="13" t="inlineStr">
        <is>
          <t>TemporaryFailureError と想定外の例外は closeFailed で閉じ、投げ直さない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TC-NOUS83_DEV-06</t>
        </is>
      </c>
      <c r="B15" s="13" t="inlineStr">
        <is>
          <t>待ち中の stopSignal で時計を進めずに cancelled・stopped（AC-P06）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TC-NOUS83_DEV-07</t>
        </is>
      </c>
      <c r="B16" s="13" t="inlineStr">
        <is>
          <t>stopSignal が無くても shouldContinue の停止で stopped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TC-NOUS83_DEV-08</t>
        </is>
      </c>
      <c r="B17" s="13" t="inlineStr">
        <is>
          <t>LLM の呼び出し中の stopSignal では中止せずに succeeded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TC-UT_RUN-001</t>
        </is>
      </c>
      <c r="B18" s="13" t="inlineStr">
        <is>
          <t>世界が無ければ生成イベントを作らずに例外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TC-UT_RUN-002</t>
        </is>
      </c>
      <c r="B19" s="13" t="inlineStr">
        <is>
          <t>world_settings が無ければ生成イベントを作らずに例外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TC-UT_RUN-003</t>
        </is>
      </c>
      <c r="B20" s="13" t="inlineStr">
        <is>
          <t>LLM が none を選んだら succeeded・decided_by=llm、runs と nones を 1 加算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TC-UT_RUN-004</t>
        </is>
      </c>
      <c r="B21" s="13" t="inlineStr">
        <is>
          <t>最初の生成で 3 試行かかって不正なら、再生成は 4 回目の 1 回だけ。失敗すれば timeout で閉じる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TC-UT_RUN-005</t>
        </is>
      </c>
      <c r="B22" s="13" t="inlineStr">
        <is>
          <t>最初の生成が 1 試行で不正なら、再生成の側は 2〜4 回目の 3 回まで再試行する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TC-UT_RUN-006</t>
        </is>
      </c>
      <c r="B23" s="13" t="inlineStr">
        <is>
          <t>生成イベントを作った後にエージェントが停止されたら、LLM を呼ばずに cancelled（stopped）で閉じる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TC-UT_RUN-007</t>
        </is>
      </c>
      <c r="B24" s="13" t="inlineStr">
        <is>
          <t>再生成の側が再試行しない失敗（401）なら server_error で閉じ、1 回目の不正な出力を残す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TC-UT_RUN-008</t>
        </is>
      </c>
      <c r="B25" s="13" t="inlineStr">
        <is>
          <t>usage_date を時計の UTC の日付にする（00:00 UTC の両側）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TC-UT_RUN-009</t>
        </is>
      </c>
      <c r="B26" s="13" t="inlineStr">
        <is>
          <t>00:00 UTC をまたいで再試行したら、試行は呼んだ日の daily_usage に、指標は生成イベントの日の daily_metrics に入る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TC-UT_RUN-010</t>
        </is>
      </c>
      <c r="B27" s="13" t="inlineStr">
        <is>
          <t>DuplicateActionError 以外の例外（外部キーの違反）ならロールバックして、そのまま投げる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TC-UT_RUN-011</t>
        </is>
      </c>
      <c r="B28" s="13" t="inlineStr">
        <is>
          <t>生成イベントが見つからないとき、時計の UTC の日付の daily_metrics に runs を加算する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TC-UT_RUN-012</t>
        </is>
      </c>
      <c r="B29" s="13" t="inlineStr">
        <is>
          <t>lastOutput が null なら output_text を上書きしない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TC-UT_RUN-013</t>
        </is>
      </c>
      <c r="B30" s="13" t="inlineStr">
        <is>
          <t>設定が DB にも ctx にも無ければ、既定のモデル・出力の上限 300 で呼び、ハンドルを DB から読む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TC-UT_RUN-014</t>
        </is>
      </c>
      <c r="B31" s="13" t="inlineStr">
        <is>
          <t>ctx の settings・validationContext・handle を渡されたら、それを使い DB の文脈を読まない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TC-UT_RUN-015</t>
        </is>
      </c>
      <c r="B32" s="13" t="inlineStr">
        <is>
          <t>validationContext だけ渡されハンドルが無ければ、エージェントからハンドルを読む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TC-UT_RUN-016</t>
        </is>
      </c>
      <c r="B33" s="13" t="inlineStr">
        <is>
          <t>world_settings が無いとき ctx.settings の上限で待ちの後の停止を判定する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TC-UT_RUN-017</t>
        </is>
      </c>
      <c r="B34" s="13" t="inlineStr">
        <is>
          <t>不正な形式の試行で使った Neurons も、daily_usage・生成イベント・戻り値の neurons に入る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TC-UT_RUN-018</t>
        </is>
      </c>
      <c r="B35" s="13" t="inlineStr">
        <is>
          <t>1 回目が不正な形式のとき、その呼び出し中に stopSignal が abort されていても再生成を 1 回呼ぶ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TC-UT_RUN-019</t>
        </is>
      </c>
      <c r="B36" s="13" t="inlineStr">
        <is>
          <t>再生成の側で 3036 になったら free_tier で閉じて投げ直し、1 回目の出力を残す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TC-UT_RUN-020</t>
        </is>
      </c>
      <c r="B37" s="13" t="inlineStr">
        <is>
          <t>再試行の待ちの途中で signal と stopSignal の両方が abort されたら、緊急停止を優先して cancelled（cancelled）で閉じる</t>
        </is>
      </c>
      <c r="C37" s="13" t="inlineStr">
        <is>
          <t>未作成</t>
        </is>
      </c>
      <c r="D37" s="13" t="inlineStr"/>
      <c r="E37" s="13" t="inlineStr"/>
      <c r="F37" s="13" t="inlineStr"/>
    </row>
  </sheetData>
  <autoFilter ref="A4:F3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1 回の行動機会の実行（generation/opportunityRunner.ts）</t>
        </is>
      </c>
    </row>
    <row r="4">
      <c r="A4" s="14" t="inlineStr">
        <is>
          <t>対象ファイル</t>
        </is>
      </c>
      <c r="B4" s="15" t="inlineStr">
        <is>
          <t>apps/server/src/generation/opportunityRunner.ts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apps/server/src/generation/opportunityRunner.test.ts（実装時、NOUS-63・83）, apps/server/src/generation/opportunityRunner.ut.test.ts（単体テストで追加）</t>
        </is>
      </c>
    </row>
    <row r="7">
      <c r="A7" s="14" t="inlineStr">
        <is>
          <t>外部依存</t>
        </is>
      </c>
      <c r="B7" s="15" t="inlineStr">
        <is>
          <t>DB（worlds・world_settings・agents・generation_events・generation_attempts・posts・likes・memories・daily_usage・daily_metrics）, 時計（FakeClock）, LLM（LlmClient を満たす差し替え）, 生成の設定（GenerationConfig）, プロンプトのテンプレート（prompts/）, AbortSignal（signal・stopSignal）, ロガー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getEventUsageDate：生成イベントの行がある（偽なら時計の日付）</t>
        </is>
      </c>
      <c r="C11" s="17" t="inlineStr">
        <is>
          <t>opportunityRunner.ts:97</t>
        </is>
      </c>
    </row>
    <row r="12">
      <c r="A12" s="17" t="inlineStr">
        <is>
          <t>B2</t>
        </is>
      </c>
      <c r="B12" s="17" t="inlineStr">
        <is>
          <t>createEvent：world を渡された／読めた（偽なら例外）</t>
        </is>
      </c>
      <c r="C12" s="17" t="inlineStr">
        <is>
          <t>opportunityRunner.ts:113-116</t>
        </is>
      </c>
    </row>
    <row r="13">
      <c r="A13" s="17" t="inlineStr">
        <is>
          <t>B3</t>
        </is>
      </c>
      <c r="B13" s="17" t="inlineStr">
        <is>
          <t>createEvent：settings を渡された／読めた（偽なら例外）</t>
        </is>
      </c>
      <c r="C13" s="17" t="inlineStr">
        <is>
          <t>opportunityRunner.ts:118-122</t>
        </is>
      </c>
    </row>
    <row r="14">
      <c r="A14" s="17" t="inlineStr">
        <is>
          <t>B4</t>
        </is>
      </c>
      <c r="B14" s="17" t="inlineStr">
        <is>
          <t>closeFailed：lastOutput が null・undefined でない</t>
        </is>
      </c>
      <c r="C14" s="17" t="inlineStr">
        <is>
          <t>opportunityRunner.ts:194</t>
        </is>
      </c>
    </row>
    <row r="15">
      <c r="A15" s="17" t="inlineStr">
        <is>
          <t>B5</t>
        </is>
      </c>
      <c r="B15" s="17" t="inlineStr">
        <is>
          <t>generateAndValidate：ctx.settings か DB にモデル・出力の上限がある（偽なら既定の @cf/google/gemma-4-26b-a4b-it・300）</t>
        </is>
      </c>
      <c r="C15" s="17" t="inlineStr">
        <is>
          <t>opportunityRunner.ts:237-238</t>
        </is>
      </c>
    </row>
    <row r="16">
      <c r="A16" s="17" t="inlineStr">
        <is>
          <t>B6</t>
        </is>
      </c>
      <c r="B16" s="17" t="inlineStr">
        <is>
          <t>generateAndValidate：上限の設定が DB か ctx.settings（2 つとも揃うとき）にある（偽なら上限を見ない）</t>
        </is>
      </c>
      <c r="C16" s="17" t="inlineStr">
        <is>
          <t>opportunityRunner.ts:239-246</t>
        </is>
      </c>
    </row>
    <row r="17">
      <c r="A17" s="17" t="inlineStr">
        <is>
          <t>B7</t>
        </is>
      </c>
      <c r="B17" s="17" t="inlineStr">
        <is>
          <t>generateAndValidate：validationContext が無い（agentContext か loadContext から作る）</t>
        </is>
      </c>
      <c r="C17" s="17" t="inlineStr">
        <is>
          <t>opportunityRunner.ts:251</t>
        </is>
      </c>
    </row>
    <row r="18">
      <c r="A18" s="17" t="inlineStr">
        <is>
          <t>B8</t>
        </is>
      </c>
      <c r="B18" s="17" t="inlineStr">
        <is>
          <t>generateAndValidate：handle が無い（loadAgent で読む）</t>
        </is>
      </c>
      <c r="C18" s="17" t="inlineStr">
        <is>
          <t>opportunityRunner.ts:267</t>
        </is>
      </c>
    </row>
    <row r="19">
      <c r="A19" s="17" t="inlineStr">
        <is>
          <t>B9</t>
        </is>
      </c>
      <c r="B19" s="17" t="inlineStr">
        <is>
          <t>generateAndValidate：検証で InvalidFormatError</t>
        </is>
      </c>
      <c r="C19" s="17" t="inlineStr">
        <is>
          <t>opportunityRunner.ts:326</t>
        </is>
      </c>
    </row>
    <row r="20">
      <c r="A20" s="17" t="inlineStr">
        <is>
          <t>B10</t>
        </is>
      </c>
      <c r="B20" s="17" t="inlineStr">
        <is>
          <t>generateAndValidate：1 回目の生成（再生成する）</t>
        </is>
      </c>
      <c r="C20" s="17" t="inlineStr">
        <is>
          <t>opportunityRunner.ts:346</t>
        </is>
      </c>
    </row>
    <row r="21">
      <c r="A21" s="17" t="inlineStr">
        <is>
          <t>B11</t>
        </is>
      </c>
      <c r="B21" s="17" t="inlineStr">
        <is>
          <t>commitAction：DuplicateActionError（偽なら投げ直す）</t>
        </is>
      </c>
      <c r="C21" s="17" t="inlineStr">
        <is>
          <t>opportunityRunner.ts:429</t>
        </is>
      </c>
    </row>
    <row r="22">
      <c r="A22" s="17" t="inlineStr">
        <is>
          <t>B12</t>
        </is>
      </c>
      <c r="B22" s="17" t="inlineStr">
        <is>
          <t>commitAction：outputText が null でない</t>
        </is>
      </c>
      <c r="C22" s="17" t="inlineStr">
        <is>
          <t>opportunityRunner.ts:443</t>
        </is>
      </c>
    </row>
    <row r="23">
      <c r="A23" s="17" t="inlineStr">
        <is>
          <t>B13</t>
        </is>
      </c>
      <c r="B23" s="17" t="inlineStr">
        <is>
          <t>runOpportunity：世界が無い</t>
        </is>
      </c>
      <c r="C23" s="17" t="inlineStr">
        <is>
          <t>opportunityRunner.ts:477</t>
        </is>
      </c>
    </row>
    <row r="24">
      <c r="A24" s="17" t="inlineStr">
        <is>
          <t>B14</t>
        </is>
      </c>
      <c r="B24" s="17" t="inlineStr">
        <is>
          <t>runOpportunity：world_settings が無い</t>
        </is>
      </c>
      <c r="C24" s="17" t="inlineStr">
        <is>
          <t>opportunityRunner.ts:481</t>
        </is>
      </c>
    </row>
    <row r="25">
      <c r="A25" s="17" t="inlineStr">
        <is>
          <t>B15</t>
        </is>
      </c>
      <c r="B25" s="17" t="inlineStr">
        <is>
          <t>runOpportunity：loadAgent が AgentNotActiveError（skipped）</t>
        </is>
      </c>
      <c r="C25" s="17" t="inlineStr">
        <is>
          <t>opportunityRunner.ts:489</t>
        </is>
      </c>
    </row>
    <row r="26">
      <c r="A26" s="17" t="inlineStr">
        <is>
          <t>B16</t>
        </is>
      </c>
      <c r="B26" s="17" t="inlineStr">
        <is>
          <t>runOpportunity：不参加（closeGateNone）</t>
        </is>
      </c>
      <c r="C26" s="17" t="inlineStr">
        <is>
          <t>opportunityRunner.ts:512</t>
        </is>
      </c>
    </row>
    <row r="27">
      <c r="A27" s="17" t="inlineStr">
        <is>
          <t>B17</t>
        </is>
      </c>
      <c r="B27" s="17" t="inlineStr">
        <is>
          <t>runOpportunity：commitAction が failed</t>
        </is>
      </c>
      <c r="C27" s="17" t="inlineStr">
        <is>
          <t>opportunityRunner.ts:562</t>
        </is>
      </c>
    </row>
    <row r="28">
      <c r="A28" s="17" t="inlineStr">
        <is>
          <t>B18</t>
        </is>
      </c>
      <c r="B28" s="17" t="inlineStr">
        <is>
          <t>catch：FreeTierExceededError</t>
        </is>
      </c>
      <c r="C28" s="17" t="inlineStr">
        <is>
          <t>opportunityRunner.ts:584</t>
        </is>
      </c>
    </row>
    <row r="29">
      <c r="A29" s="17" t="inlineStr">
        <is>
          <t>B19</t>
        </is>
      </c>
      <c r="B29" s="17" t="inlineStr">
        <is>
          <t>catch：取り消し（isCancellation）</t>
        </is>
      </c>
      <c r="C29" s="17" t="inlineStr">
        <is>
          <t>opportunityRunner.ts:590</t>
        </is>
      </c>
    </row>
    <row r="30">
      <c r="A30" s="17" t="inlineStr">
        <is>
          <t>B20</t>
        </is>
      </c>
      <c r="B30" s="17" t="inlineStr">
        <is>
          <t>catch：StoppedError</t>
        </is>
      </c>
      <c r="C30" s="17" t="inlineStr">
        <is>
          <t>opportunityRunner.ts:603</t>
        </is>
      </c>
    </row>
    <row r="31">
      <c r="A31" s="17" t="inlineStr">
        <is>
          <t>B21</t>
        </is>
      </c>
      <c r="B31" s="17" t="inlineStr">
        <is>
          <t>catch：AgentNotActiveError（作成後）</t>
        </is>
      </c>
      <c r="C31" s="17" t="inlineStr">
        <is>
          <t>opportunityRunner.ts:616</t>
        </is>
      </c>
    </row>
    <row r="32">
      <c r="A32" s="17" t="inlineStr">
        <is>
          <t>B22</t>
        </is>
      </c>
      <c r="B32" s="17" t="inlineStr">
        <is>
          <t>catch：TemporaryFailureError</t>
        </is>
      </c>
      <c r="C32" s="17" t="inlineStr">
        <is>
          <t>opportunityRunner.ts:632</t>
        </is>
      </c>
    </row>
    <row r="33">
      <c r="A33" s="17" t="inlineStr">
        <is>
          <t>B23</t>
        </is>
      </c>
      <c r="B33" s="17" t="inlineStr">
        <is>
          <t>catch：InvalidFormatError</t>
        </is>
      </c>
      <c r="C33" s="17" t="inlineStr">
        <is>
          <t>opportunityRunner.ts:644</t>
        </is>
      </c>
    </row>
    <row r="34">
      <c r="A34" s="17" t="inlineStr">
        <is>
          <t>B24</t>
        </is>
      </c>
      <c r="B34" s="17" t="inlineStr">
        <is>
          <t>catch：想定外の例外（server_error）</t>
        </is>
      </c>
      <c r="C34" s="17" t="inlineStr">
        <is>
          <t>opportunityRunner.ts:656</t>
        </is>
      </c>
    </row>
    <row r="35">
      <c r="A35" s="17" t="inlineStr">
        <is>
          <t>B25</t>
        </is>
      </c>
      <c r="B35" s="17" t="inlineStr">
        <is>
          <t>runOpportunity：promptsDir が渡されている</t>
        </is>
      </c>
      <c r="C35" s="17" t="inlineStr">
        <is>
          <t>opportunityRunner.ts:534</t>
        </is>
      </c>
    </row>
    <row r="37">
      <c r="A37" s="14" t="inlineStr">
        <is>
          <t>確認事項・潜在バグ</t>
        </is>
      </c>
    </row>
    <row r="38" ht="30" customHeight="1">
      <c r="A38" s="18" t="inlineStr">
        <is>
          <t>・疑い 1：不正な形式の試行は LLM が応答しており Neurons を消費しているが、トークン・Neurons を 0 で記録している。daily_usage.neurons が実際の消費より少なくなり、日次上限の判定が甘くなる。runOpportunity の通しでも、不正な形式の後に再生成で成功したとき daily_usage.neurons・生成イベントの neurons・戻り値の neurons に 1 回目の分が入らない。TC-UT_RUN-017 は設計どおりの期待結果で書いた（実施で NG になる見込み）。TC-NOUS63_DEV-18 は 1 回目の Neurons 0 を期待しており、疑いと食い違う</t>
        </is>
      </c>
    </row>
    <row r="39" ht="30" customHeight="1">
      <c r="A39" s="18" t="inlineStr">
        <is>
          <t>・確認事項 1：不正な形式の後の再生成の前には shouldContinue・stopSignal を見ないため、一時停止・上限停止の指示の後でも再生成を 1 回呼ぶ（TC-UT_RUN-018 は実装の値）。1 回の呼び出しは最大 60 秒なので AC-P06（60 秒以内）は満たすが、待ちの打ち切りと同じく再生成も止めるかを決めてほしい</t>
        </is>
      </c>
    </row>
    <row r="40" ht="30" customHeight="1">
      <c r="A40" s="18" t="inlineStr">
        <is>
          <t>・確認事項 2：00:00 UTC をまたいで再試行したとき、試行は呼んだ日の daily_usage に、指標は生成イベントの日の daily_metrics に入る（TC-UT_RUN-009）。設計書に記載がないため実装の値で書いた。Cloudflare の日次の枠が 00:00 UTC で切り替わるのとは合っている</t>
        </is>
      </c>
    </row>
    <row r="41" ht="30" customHeight="1">
      <c r="A41" s="18" t="inlineStr">
        <is>
          <t>・確認事項 3：TC-NOUS63_DEV-23 は名前に「イベント作成後の AgentNotActiveError」とあるが、実際には closeCancelled などを直接呼んでおり、その経路は通っていない。TC-UT_RUN-006 で補った</t>
        </is>
      </c>
    </row>
    <row r="42" ht="30" customHeight="1">
      <c r="A42" s="18" t="inlineStr">
        <is>
          <t>・確認事項 4：TC-NOUS63_DEV-23・24、TC-NOUS83_DEV-07 は runOpportunity を呼んだ直後に clock.advance するため、sleep が張られる前に時刻が進む可能性がある。実施のときに落ちたら、テストの書き方の問題として切り分ける</t>
        </is>
      </c>
    </row>
    <row r="43" ht="30" customHeight="1">
      <c r="A43" s="18" t="inlineStr">
        <is>
          <t>・分岐 B12 の偽（DuplicateActionError で outputText が null）と B17 の真（runOpportunity の中で commitAction が failed）は単体テストでは通さない。行動の検証（validateAction）がいいね済み・フォロー済みを先に弾くため、同時に 2 つ走ったときにしか起きない。commitAction の DuplicateActionError は TC-NOUS63_DEV-20 で直接確かめている</t>
        </is>
      </c>
    </row>
    <row r="44" ht="30" customHeight="1">
      <c r="A44" s="18" t="inlineStr">
        <is>
          <t>・分岐 B25 の真（promptsDir あり）は単体テストでは通さない。テスト用の上書きの引数で、プロンプトの組み立ては NOUS-102（PRM）の範囲で見るため</t>
        </is>
      </c>
    </row>
  </sheetData>
  <mergeCells count="7">
    <mergeCell ref="A42:C42"/>
    <mergeCell ref="A41:C41"/>
    <mergeCell ref="A44:C44"/>
    <mergeCell ref="A40:C40"/>
    <mergeCell ref="A39:C39"/>
    <mergeCell ref="A43:C43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2026-10-23T07:22:38Z</dcterms:created>
  <dcterms:modified xsi:type="dcterms:W3CDTF">2026-10-23T07:22:38Z</dcterms:modified>
</cp:coreProperties>
</file>