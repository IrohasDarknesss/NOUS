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観点表" sheetId="1" state="visible" r:id="rId1"/>
    <sheet name="サマリ" sheetId="2" state="visible" r:id="rId2"/>
    <sheet name="テストデータ" sheetId="3" state="visible" r:id="rId3"/>
    <sheet name="対象概要" sheetId="4" state="visible" r:id="rId4"/>
  </sheets>
  <definedNames>
    <definedName name="_xlnm._FilterDatabase" localSheetId="0" hidden="1">'観点表'!$A$4:$Q$40</definedName>
    <definedName name="_xlnm.Print_Titles" localSheetId="0">'観点表'!$4:$4</definedName>
    <definedName name="_xlnm._FilterDatabase" localSheetId="2" hidden="1">'テストデータ'!$A$4:$F$40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i val="1"/>
      <color rgb="00595959"/>
      <sz val="9"/>
    </font>
    <font>
      <name val="Meiryo UI"/>
      <b val="1"/>
      <color rgb="00FFFFFF"/>
      <sz val="10"/>
    </font>
    <font>
      <name val="Meiryo UI"/>
      <sz val="10"/>
    </font>
    <font>
      <name val="Meiryo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5" fillId="4" borderId="0" pivotButton="0" quotePrefix="0" xfId="0"/>
    <xf numFmtId="0" fontId="0" fillId="4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3" fillId="2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4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9" customWidth="1" min="4" max="4"/>
    <col width="11" customWidth="1" min="5" max="5"/>
    <col width="30" customWidth="1" min="6" max="6"/>
    <col width="32" customWidth="1" min="7" max="7"/>
    <col width="32" customWidth="1" min="8" max="8"/>
    <col width="13" customWidth="1" min="9" max="9"/>
    <col width="22" customWidth="1" min="10" max="10"/>
    <col width="30" customWidth="1" min="11" max="11"/>
    <col width="26" customWidth="1" min="12" max="12"/>
    <col width="30" customWidth="1" min="13" max="13"/>
    <col width="10" customWidth="1" min="14" max="14"/>
    <col width="11" customWidth="1" min="15" max="15"/>
    <col width="10" customWidth="1" min="16" max="16"/>
    <col width="30" customWidth="1" min="17" max="17"/>
  </cols>
  <sheetData>
    <row r="1">
      <c r="A1" s="1" t="inlineStr">
        <is>
          <t>テスト観点表: 再試行と待機・停止判定（generation/retryPolicy.ts）</t>
        </is>
      </c>
    </row>
    <row r="2">
      <c r="A2" s="2" t="inlineStr">
        <is>
          <t>黄色の列（実施結果・実施日・確認者・備考）を記入してください。観点やテストデータを修正した場合は import_test_matrix.py で JSON に取り込めます。</t>
        </is>
      </c>
    </row>
    <row r="4" ht="28" customHeight="1">
      <c r="A4" s="3" t="inlineStr">
        <is>
          <t>No</t>
        </is>
      </c>
      <c r="B4" s="3" t="inlineStr">
        <is>
          <t>ID</t>
        </is>
      </c>
      <c r="C4" s="3" t="inlineStr">
        <is>
          <t>対象</t>
        </is>
      </c>
      <c r="D4" s="3" t="inlineStr">
        <is>
          <t>分類</t>
        </is>
      </c>
      <c r="E4" s="3" t="inlineStr">
        <is>
          <t>技法</t>
        </is>
      </c>
      <c r="F4" s="3" t="inlineStr">
        <is>
          <t>観点</t>
        </is>
      </c>
      <c r="G4" s="3" t="inlineStr">
        <is>
          <t>入力・前提条件</t>
        </is>
      </c>
      <c r="H4" s="3" t="inlineStr">
        <is>
          <t>期待結果</t>
        </is>
      </c>
      <c r="I4" s="3" t="inlineStr">
        <is>
          <t>網羅する分岐</t>
        </is>
      </c>
      <c r="J4" s="3" t="inlineStr">
        <is>
          <t>モック</t>
        </is>
      </c>
      <c r="K4" s="3" t="inlineStr">
        <is>
          <t>テストデータ（具体値）</t>
        </is>
      </c>
      <c r="L4" s="3" t="inlineStr">
        <is>
          <t>データ参照</t>
        </is>
      </c>
      <c r="M4" s="3" t="inlineStr">
        <is>
          <t>テスト関数名</t>
        </is>
      </c>
      <c r="N4" s="3" t="inlineStr">
        <is>
          <t>実施結果</t>
        </is>
      </c>
      <c r="O4" s="3" t="inlineStr">
        <is>
          <t>実施日</t>
        </is>
      </c>
      <c r="P4" s="3" t="inlineStr">
        <is>
          <t>確認者</t>
        </is>
      </c>
      <c r="Q4" s="3" t="inlineStr">
        <is>
          <t>備考</t>
        </is>
      </c>
    </row>
    <row r="5">
      <c r="A5" s="4" t="n">
        <v>1</v>
      </c>
      <c r="B5" s="4" t="inlineStr">
        <is>
          <t>TC-NOUS63_DEV-07</t>
        </is>
      </c>
      <c r="C5" s="5" t="inlineStr">
        <is>
          <t>waitOrStop</t>
        </is>
      </c>
      <c r="D5" s="4" t="inlineStr">
        <is>
          <t>正常系</t>
        </is>
      </c>
      <c r="E5" s="4" t="inlineStr">
        <is>
          <t>開発者テスト</t>
        </is>
      </c>
      <c r="F5" s="5" t="inlineStr">
        <is>
          <t>指定ミリ秒だけ待ち、待ち中の signal の abort で CancelledError</t>
        </is>
      </c>
      <c r="G5" s="5" t="inlineStr">
        <is>
          <t>前提：FakeClock 2026-10-22T09:00:00.000Z
入力：30,000 ミリ秒</t>
        </is>
      </c>
      <c r="H5" s="5" t="inlineStr">
        <is>
          <t>resolve／CancelledError</t>
        </is>
      </c>
      <c r="I5" s="5" t="inlineStr">
        <is>
          <t>B3-F, B4-F, B6-T, B8-F, B9-F</t>
        </is>
      </c>
      <c r="J5" s="5" t="inlineStr">
        <is>
          <t>FakeClock 2026-10-22T09:00:00.000Z</t>
        </is>
      </c>
      <c r="K5" s="5" t="inlineStr"/>
      <c r="L5" s="5" t="inlineStr"/>
      <c r="M5" s="5" t="inlineStr">
        <is>
          <t>TC-NOUS63_DEV-07 waitOrStop は指定ミリ秒だけ待ち、abort されたら CancelledError を投げる</t>
        </is>
      </c>
      <c r="N5" s="6" t="inlineStr">
        <is>
          <t>未実施</t>
        </is>
      </c>
      <c r="O5" s="6" t="inlineStr"/>
      <c r="P5" s="6" t="inlineStr"/>
      <c r="Q5" s="7" t="inlineStr">
        <is>
          <t>既存テスト：実装時のテスト（NOUS-63）</t>
        </is>
      </c>
    </row>
    <row r="6">
      <c r="A6" s="4" t="n">
        <v>2</v>
      </c>
      <c r="B6" s="4" t="inlineStr">
        <is>
          <t>TC-NOUS63_DEV-08</t>
        </is>
      </c>
      <c r="C6" s="5" t="inlineStr">
        <is>
          <t>callWithRetry</t>
        </is>
      </c>
      <c r="D6" s="4" t="inlineStr">
        <is>
          <t>正常系</t>
        </is>
      </c>
      <c r="E6" s="4" t="inlineStr">
        <is>
          <t>開発者テスト</t>
        </is>
      </c>
      <c r="F6" s="5" t="inlineStr">
        <is>
          <t>1 回目で成功したら試行を記録せず attemptNo=1 を返す</t>
        </is>
      </c>
      <c r="G6" s="5" t="inlineStr">
        <is>
          <t>前提：一時 DB（createTestDb）、FakeClock 2026-10-22T09:00:00.000Z
入力：成功を返す呼び出し</t>
        </is>
      </c>
      <c r="H6" s="5" t="inlineStr">
        <is>
          <t>attemptNo=1、startedAt・usageDate、generation_attempts は 0 件</t>
        </is>
      </c>
      <c r="I6" s="5" t="inlineStr">
        <is>
          <t>B12-F, B13-F, B14-F</t>
        </is>
      </c>
      <c r="J6" s="5" t="inlineStr">
        <is>
          <t>呼び出しの関数</t>
        </is>
      </c>
      <c r="K6" s="5" t="inlineStr"/>
      <c r="L6" s="5" t="inlineStr"/>
      <c r="M6" s="5" t="inlineStr">
        <is>
          <t>TC-NOUS63_DEV-08 callWithRetry は 1 回目で成功したとき試行を記録せず結果と attemptNo=1 を返す</t>
        </is>
      </c>
      <c r="N6" s="6" t="inlineStr">
        <is>
          <t>未実施</t>
        </is>
      </c>
      <c r="O6" s="6" t="inlineStr"/>
      <c r="P6" s="6" t="inlineStr"/>
      <c r="Q6" s="7" t="inlineStr">
        <is>
          <t>既存テスト：実装時のテスト（NOUS-63）</t>
        </is>
      </c>
    </row>
    <row r="7">
      <c r="A7" s="4" t="n">
        <v>3</v>
      </c>
      <c r="B7" s="4" t="inlineStr">
        <is>
          <t>TC-NOUS63_DEV-09</t>
        </is>
      </c>
      <c r="C7" s="5" t="inlineStr">
        <is>
          <t>callWithRetry</t>
        </is>
      </c>
      <c r="D7" s="4" t="inlineStr">
        <is>
          <t>正常系</t>
        </is>
      </c>
      <c r="E7" s="4" t="inlineStr">
        <is>
          <t>開発者テスト</t>
        </is>
      </c>
      <c r="F7" s="5" t="inlineStr">
        <is>
          <t>timeout→429(3040)→成功。30 秒・120 秒の順に待ち attemptNo=3</t>
        </is>
      </c>
      <c r="G7" s="5" t="inlineStr">
        <is>
          <t>前提：一時 DB（createTestDb）、FakeClock 2026-10-22T09:00:00.000Z
入力：3 回目で成功する呼び出し</t>
        </is>
      </c>
      <c r="H7" s="5" t="inlineStr">
        <is>
          <t>attemptNo=3、試行 2 件（timeout・rate_limited）、daily_usage calls=2・runs=1</t>
        </is>
      </c>
      <c r="I7" s="5" t="inlineStr">
        <is>
          <t>B11-T, B15-F, B17-F, B18-F, B19-F, B20-F, B21-T, B22-F</t>
        </is>
      </c>
      <c r="J7" s="5" t="inlineStr">
        <is>
          <t>呼び出しの関数</t>
        </is>
      </c>
      <c r="K7" s="5" t="inlineStr"/>
      <c r="L7" s="5" t="inlineStr"/>
      <c r="M7" s="5" t="inlineStr">
        <is>
          <t>TC-NOUS63_DEV-09 一時的な失敗は 30 秒・120 秒の順に待ち、3 回目で成功すれば attemptNo=3 を返す</t>
        </is>
      </c>
      <c r="N7" s="6" t="inlineStr">
        <is>
          <t>未実施</t>
        </is>
      </c>
      <c r="O7" s="6" t="inlineStr"/>
      <c r="P7" s="6" t="inlineStr"/>
      <c r="Q7" s="7" t="inlineStr">
        <is>
          <t>既存テスト：実装時のテスト（NOUS-63）
確認事項 3</t>
        </is>
      </c>
    </row>
    <row r="8">
      <c r="A8" s="4" t="n">
        <v>4</v>
      </c>
      <c r="B8" s="4" t="inlineStr">
        <is>
          <t>TC-NOUS63_DEV-10</t>
        </is>
      </c>
      <c r="C8" s="5" t="inlineStr">
        <is>
          <t>callWithRetry</t>
        </is>
      </c>
      <c r="D8" s="4" t="inlineStr">
        <is>
          <t>異常系</t>
        </is>
      </c>
      <c r="E8" s="4" t="inlineStr">
        <is>
          <t>開発者テスト</t>
        </is>
      </c>
      <c r="F8" s="5" t="inlineStr">
        <is>
          <t>3 回目も一時的な失敗なら最後の種類の TemporaryFailureError</t>
        </is>
      </c>
      <c r="G8" s="5" t="inlineStr">
        <is>
          <t>前提：一時 DB（createTestDb）、FakeClock 2026-10-22T09:00:00.000Z
入力：timeout・429・503</t>
        </is>
      </c>
      <c r="H8" s="5" t="inlineStr">
        <is>
          <t>TemporaryFailureError（server_error）、試行 3 件</t>
        </is>
      </c>
      <c r="I8" s="5" t="inlineStr">
        <is>
          <t>B11-F, B20-T</t>
        </is>
      </c>
      <c r="J8" s="5" t="inlineStr">
        <is>
          <t>呼び出しの関数</t>
        </is>
      </c>
      <c r="K8" s="5" t="inlineStr"/>
      <c r="L8" s="5" t="inlineStr"/>
      <c r="M8" s="5" t="inlineStr">
        <is>
          <t>TC-NOUS63_DEV-10 3 回目も一時的な失敗なら記録して最後の失敗種別の TemporaryFailureError を投げる</t>
        </is>
      </c>
      <c r="N8" s="6" t="inlineStr">
        <is>
          <t>未実施</t>
        </is>
      </c>
      <c r="O8" s="6" t="inlineStr"/>
      <c r="P8" s="6" t="inlineStr"/>
      <c r="Q8" s="7" t="inlineStr">
        <is>
          <t>既存テスト：実装時のテスト（NOUS-63）
確認事項 3</t>
        </is>
      </c>
    </row>
    <row r="9">
      <c r="A9" s="4" t="n">
        <v>5</v>
      </c>
      <c r="B9" s="4" t="inlineStr">
        <is>
          <t>TC-NOUS63_DEV-11</t>
        </is>
      </c>
      <c r="C9" s="5" t="inlineStr">
        <is>
          <t>callWithRetry</t>
        </is>
      </c>
      <c r="D9" s="4" t="inlineStr">
        <is>
          <t>異常系</t>
        </is>
      </c>
      <c r="E9" s="4" t="inlineStr">
        <is>
          <t>開発者テスト</t>
        </is>
      </c>
      <c r="F9" s="5" t="inlineStr">
        <is>
          <t>3036 と 401 は再試行せずに投げる</t>
        </is>
      </c>
      <c r="G9" s="5" t="inlineStr">
        <is>
          <t>前提：一時 DB（createTestDb）、FakeClock 2026-10-22T09:00:00.000Z
入力：FreeTierExceededError／ServerError(401)</t>
        </is>
      </c>
      <c r="H9" s="5" t="inlineStr">
        <is>
          <t>FreeTierExceededError／TemporaryFailureError（server_error、401）</t>
        </is>
      </c>
      <c r="I9" s="5" t="inlineStr">
        <is>
          <t>B18-T, B19-T</t>
        </is>
      </c>
      <c r="J9" s="5" t="inlineStr">
        <is>
          <t>呼び出しの関数</t>
        </is>
      </c>
      <c r="K9" s="5" t="inlineStr"/>
      <c r="L9" s="5" t="inlineStr"/>
      <c r="M9" s="5" t="inlineStr">
        <is>
          <t>TC-NOUS63_DEV-11 FreeTierExceededError と 400/401 の ServerError は再試行せずに即座に投げる</t>
        </is>
      </c>
      <c r="N9" s="6" t="inlineStr">
        <is>
          <t>未実施</t>
        </is>
      </c>
      <c r="O9" s="6" t="inlineStr"/>
      <c r="P9" s="6" t="inlineStr"/>
      <c r="Q9" s="7" t="inlineStr">
        <is>
          <t>既存テスト：実装時のテスト（NOUS-63）</t>
        </is>
      </c>
    </row>
    <row r="10">
      <c r="A10" s="4" t="n">
        <v>6</v>
      </c>
      <c r="B10" s="4" t="inlineStr">
        <is>
          <t>TC-NOUS63_DEV-12</t>
        </is>
      </c>
      <c r="C10" s="5" t="inlineStr">
        <is>
          <t>callWithRetry</t>
        </is>
      </c>
      <c r="D10" s="4" t="inlineStr">
        <is>
          <t>異常系</t>
        </is>
      </c>
      <c r="E10" s="4" t="inlineStr">
        <is>
          <t>開発者テスト</t>
        </is>
      </c>
      <c r="F10" s="5" t="inlineStr">
        <is>
          <t>待ちの後に shouldContinue=false か日次上限で StoppedError</t>
        </is>
      </c>
      <c r="G10" s="5" t="inlineStr">
        <is>
          <t>前提：一時 DB（createTestDb）、FakeClock 2026-10-22T09:00:00.000Z、runs 上限 1 の世界
入力：timeout／429</t>
        </is>
      </c>
      <c r="H10" s="5" t="inlineStr">
        <is>
          <t>StoppedError</t>
        </is>
      </c>
      <c r="I10" s="5" t="inlineStr">
        <is>
          <t>B10-T, B22-T</t>
        </is>
      </c>
      <c r="J10" s="5" t="inlineStr">
        <is>
          <t>呼び出しの関数</t>
        </is>
      </c>
      <c r="K10" s="5" t="inlineStr"/>
      <c r="L10" s="5" t="inlineStr"/>
      <c r="M10" s="5" t="inlineStr">
        <is>
          <t>TC-NOUS63_DEV-12 再試行の待ちの後に shouldContinue() が false または日次上限到達なら StoppedError を投げる</t>
        </is>
      </c>
      <c r="N10" s="6" t="inlineStr">
        <is>
          <t>未実施</t>
        </is>
      </c>
      <c r="O10" s="6" t="inlineStr"/>
      <c r="P10" s="6" t="inlineStr"/>
      <c r="Q10" s="7" t="inlineStr">
        <is>
          <t>既存テスト：実装時のテスト（NOUS-63）
確認事項 1・3</t>
        </is>
      </c>
    </row>
    <row r="11">
      <c r="A11" s="4" t="n">
        <v>7</v>
      </c>
      <c r="B11" s="4" t="inlineStr">
        <is>
          <t>TC-NOUS63_DEV-13</t>
        </is>
      </c>
      <c r="C11" s="5" t="inlineStr">
        <is>
          <t>callWithRetry</t>
        </is>
      </c>
      <c r="D11" s="4" t="inlineStr">
        <is>
          <t>異常系</t>
        </is>
      </c>
      <c r="E11" s="4" t="inlineStr">
        <is>
          <t>開発者テスト</t>
        </is>
      </c>
      <c r="F11" s="5" t="inlineStr">
        <is>
          <t>試行番号が 4 なら 1 回だけ、5 なら呼ばずに TemporaryFailureError</t>
        </is>
      </c>
      <c r="G11" s="5" t="inlineStr">
        <is>
          <t>前提：一時 DB（createTestDb）、FakeClock 2026-10-22T09:00:00.000Z
入力：startAttemptNo=4・5</t>
        </is>
      </c>
      <c r="H11" s="5" t="inlineStr">
        <is>
          <t>4：試行 1 件で timeout、5：呼ばない</t>
        </is>
      </c>
      <c r="I11" s="5" t="inlineStr">
        <is>
          <t>B12-T, B12-F, B20-T</t>
        </is>
      </c>
      <c r="J11" s="5" t="inlineStr">
        <is>
          <t>呼び出しの関数</t>
        </is>
      </c>
      <c r="K11" s="5" t="inlineStr"/>
      <c r="L11" s="5" t="inlineStr"/>
      <c r="M11" s="5" t="inlineStr">
        <is>
          <t>TC-NOUS63_DEV-13 1 つの生成イベントの試行番号が上限 4 に達したら再試行せず TemporaryFailureError にする</t>
        </is>
      </c>
      <c r="N11" s="6" t="inlineStr">
        <is>
          <t>未実施</t>
        </is>
      </c>
      <c r="O11" s="6" t="inlineStr"/>
      <c r="P11" s="6" t="inlineStr"/>
      <c r="Q11" s="7" t="inlineStr">
        <is>
          <t>既存テスト：実装時のテスト（NOUS-63）</t>
        </is>
      </c>
    </row>
    <row r="12">
      <c r="A12" s="4" t="n">
        <v>8</v>
      </c>
      <c r="B12" s="4" t="inlineStr">
        <is>
          <t>TC-NOUS63_DEV-14</t>
        </is>
      </c>
      <c r="C12" s="5" t="inlineStr">
        <is>
          <t>callWithRetry</t>
        </is>
      </c>
      <c r="D12" s="4" t="inlineStr">
        <is>
          <t>異常系</t>
        </is>
      </c>
      <c r="E12" s="4" t="inlineStr">
        <is>
          <t>開発者テスト</t>
        </is>
      </c>
      <c r="F12" s="5" t="inlineStr">
        <is>
          <t>LLM の CancelledError は cancelled を記録して投げ直す</t>
        </is>
      </c>
      <c r="G12" s="5" t="inlineStr">
        <is>
          <t>前提：一時 DB（createTestDb）、FakeClock 2026-10-22T09:00:00.000Z
入力：LlmCancelledError</t>
        </is>
      </c>
      <c r="H12" s="5" t="inlineStr">
        <is>
          <t>LlmCancelledError、試行 cancelled</t>
        </is>
      </c>
      <c r="I12" s="5" t="inlineStr">
        <is>
          <t>B15-T, B16-T</t>
        </is>
      </c>
      <c r="J12" s="5" t="inlineStr">
        <is>
          <t>呼び出しの関数</t>
        </is>
      </c>
      <c r="K12" s="5" t="inlineStr"/>
      <c r="L12" s="5" t="inlineStr"/>
      <c r="M12" s="5" t="inlineStr">
        <is>
          <t>TC-NOUS63_DEV-14 LLM の CancelledError または signal.aborted のときは cancelled で記録して投げ直す</t>
        </is>
      </c>
      <c r="N12" s="6" t="inlineStr">
        <is>
          <t>未実施</t>
        </is>
      </c>
      <c r="O12" s="6" t="inlineStr"/>
      <c r="P12" s="6" t="inlineStr"/>
      <c r="Q12" s="7" t="inlineStr">
        <is>
          <t>既存テスト：実装時のテスト（NOUS-63）</t>
        </is>
      </c>
    </row>
    <row r="13">
      <c r="A13" s="4" t="n">
        <v>9</v>
      </c>
      <c r="B13" s="4" t="inlineStr">
        <is>
          <t>TC-NOUS83_DEV-01</t>
        </is>
      </c>
      <c r="C13" s="5" t="inlineStr">
        <is>
          <t>waitOrStop</t>
        </is>
      </c>
      <c r="D13" s="4" t="inlineStr">
        <is>
          <t>異常系</t>
        </is>
      </c>
      <c r="E13" s="4" t="inlineStr">
        <is>
          <t>開発者テスト</t>
        </is>
      </c>
      <c r="F13" s="5" t="inlineStr">
        <is>
          <t>待つ前・待ち中の stopSignal で StoppedError</t>
        </is>
      </c>
      <c r="G13" s="5" t="inlineStr">
        <is>
          <t>前提：FakeClock 2026-10-22T09:00:00.000Z
入力：stopSignal を abort</t>
        </is>
      </c>
      <c r="H13" s="5" t="inlineStr">
        <is>
          <t>StoppedError</t>
        </is>
      </c>
      <c r="I13" s="5" t="inlineStr">
        <is>
          <t>B4-T, B5-T, B7-T</t>
        </is>
      </c>
      <c r="J13" s="5" t="inlineStr">
        <is>
          <t>FakeClock 2026-10-22T09:00:00.000Z</t>
        </is>
      </c>
      <c r="K13" s="5" t="inlineStr"/>
      <c r="L13" s="5" t="inlineStr"/>
      <c r="M13" s="5" t="inlineStr">
        <is>
          <t>TC-NOUS83_DEV-01 waitOrStop は待機前または待機中に stopSignal が abort されたら StoppedError を投げる</t>
        </is>
      </c>
      <c r="N13" s="6" t="inlineStr">
        <is>
          <t>未実施</t>
        </is>
      </c>
      <c r="O13" s="6" t="inlineStr"/>
      <c r="P13" s="6" t="inlineStr"/>
      <c r="Q13" s="7" t="inlineStr">
        <is>
          <t>既存テスト：実装時のテスト（NOUS-83）</t>
        </is>
      </c>
    </row>
    <row r="14">
      <c r="A14" s="4" t="n">
        <v>10</v>
      </c>
      <c r="B14" s="4" t="inlineStr">
        <is>
          <t>TC-NOUS83_DEV-02</t>
        </is>
      </c>
      <c r="C14" s="5" t="inlineStr">
        <is>
          <t>waitOrStop</t>
        </is>
      </c>
      <c r="D14" s="4" t="inlineStr">
        <is>
          <t>異常系</t>
        </is>
      </c>
      <c r="E14" s="4" t="inlineStr">
        <is>
          <t>開発者テスト</t>
        </is>
      </c>
      <c r="F14" s="5" t="inlineStr">
        <is>
          <t>signal と stopSignal の両方なら signal を優先</t>
        </is>
      </c>
      <c r="G14" s="5" t="inlineStr">
        <is>
          <t>前提：FakeClock 2026-10-22T09:00:00.000Z
入力：両方を abort</t>
        </is>
      </c>
      <c r="H14" s="5" t="inlineStr">
        <is>
          <t>CancelledError</t>
        </is>
      </c>
      <c r="I14" s="5" t="inlineStr">
        <is>
          <t>B3-T, B6-T</t>
        </is>
      </c>
      <c r="J14" s="5" t="inlineStr">
        <is>
          <t>FakeClock 2026-10-22T09:00:00.000Z</t>
        </is>
      </c>
      <c r="K14" s="5" t="inlineStr"/>
      <c r="L14" s="5" t="inlineStr"/>
      <c r="M14" s="5" t="inlineStr">
        <is>
          <t>TC-NOUS83_DEV-02 waitOrStop は signal と stopSignal の両方が abort された場合は signal を優先して CancelledError を投げる</t>
        </is>
      </c>
      <c r="N14" s="6" t="inlineStr">
        <is>
          <t>未実施</t>
        </is>
      </c>
      <c r="O14" s="6" t="inlineStr"/>
      <c r="P14" s="6" t="inlineStr"/>
      <c r="Q14" s="7" t="inlineStr">
        <is>
          <t>既存テスト：実装時のテスト（NOUS-83）</t>
        </is>
      </c>
    </row>
    <row r="15">
      <c r="A15" s="4" t="n">
        <v>11</v>
      </c>
      <c r="B15" s="4" t="inlineStr">
        <is>
          <t>TC-NOUS83_DEV-03</t>
        </is>
      </c>
      <c r="C15" s="5" t="inlineStr">
        <is>
          <t>callWithRetry</t>
        </is>
      </c>
      <c r="D15" s="4" t="inlineStr">
        <is>
          <t>異常系</t>
        </is>
      </c>
      <c r="E15" s="4" t="inlineStr">
        <is>
          <t>開発者テスト</t>
        </is>
      </c>
      <c r="F15" s="5" t="inlineStr">
        <is>
          <t>待ち中の stopSignal で時計を進めずに StoppedError、試行 1 件（AC-P06）</t>
        </is>
      </c>
      <c r="G15" s="5" t="inlineStr">
        <is>
          <t>前提：一時 DB（createTestDb）、FakeClock 2026-10-22T09:00:00.000Z
入力：timeout の後に stopSignal を abort</t>
        </is>
      </c>
      <c r="H15" s="5" t="inlineStr">
        <is>
          <t>StoppedError、試行 1 件</t>
        </is>
      </c>
      <c r="I15" s="5" t="inlineStr">
        <is>
          <t>B5-T, B7-T</t>
        </is>
      </c>
      <c r="J15" s="5" t="inlineStr">
        <is>
          <t>呼び出しの関数</t>
        </is>
      </c>
      <c r="K15" s="5" t="inlineStr"/>
      <c r="L15" s="5" t="inlineStr"/>
      <c r="M15" s="5" t="inlineStr">
        <is>
          <t>TC-NOUS83_DEV-03 callWithRetry は一時的な失敗の再試行待ちの途中で stopSignal が abort されたら時計を進めずに StoppedError になり試行は1件だけ記録される</t>
        </is>
      </c>
      <c r="N15" s="6" t="inlineStr">
        <is>
          <t>未実施</t>
        </is>
      </c>
      <c r="O15" s="6" t="inlineStr"/>
      <c r="P15" s="6" t="inlineStr"/>
      <c r="Q15" s="7" t="inlineStr">
        <is>
          <t>既存テスト：実装時のテスト（NOUS-83）</t>
        </is>
      </c>
    </row>
    <row r="16">
      <c r="A16" s="4" t="n">
        <v>12</v>
      </c>
      <c r="B16" s="4" t="inlineStr">
        <is>
          <t>TC-NOUS83_DEV-04</t>
        </is>
      </c>
      <c r="C16" s="5" t="inlineStr">
        <is>
          <t>callWithRetry</t>
        </is>
      </c>
      <c r="D16" s="4" t="inlineStr">
        <is>
          <t>正常系</t>
        </is>
      </c>
      <c r="E16" s="4" t="inlineStr">
        <is>
          <t>開発者テスト</t>
        </is>
      </c>
      <c r="F16" s="5" t="inlineStr">
        <is>
          <t>stopSignal が無ければ従来どおり待って再試行</t>
        </is>
      </c>
      <c r="G16" s="5" t="inlineStr">
        <is>
          <t>前提：一時 DB（createTestDb）、FakeClock 2026-10-22T09:00:00.000Z
入力：timeout の後に成功</t>
        </is>
      </c>
      <c r="H16" s="5" t="inlineStr">
        <is>
          <t>attemptNo=2</t>
        </is>
      </c>
      <c r="I16" s="5" t="inlineStr">
        <is>
          <t>B5-F</t>
        </is>
      </c>
      <c r="J16" s="5" t="inlineStr">
        <is>
          <t>呼び出しの関数</t>
        </is>
      </c>
      <c r="K16" s="5" t="inlineStr"/>
      <c r="L16" s="5" t="inlineStr"/>
      <c r="M16" s="5" t="inlineStr">
        <is>
          <t>TC-NOUS83_DEV-04 callWithRetry は stopSignal が渡されない場合は従来どおり再試行の待ちを完了して動作する</t>
        </is>
      </c>
      <c r="N16" s="6" t="inlineStr">
        <is>
          <t>未実施</t>
        </is>
      </c>
      <c r="O16" s="6" t="inlineStr"/>
      <c r="P16" s="6" t="inlineStr"/>
      <c r="Q16" s="7" t="inlineStr">
        <is>
          <t>既存テスト：実装時のテスト（NOUS-83）
確認事項 3</t>
        </is>
      </c>
    </row>
    <row r="17">
      <c r="A17" s="4" t="n">
        <v>13</v>
      </c>
      <c r="B17" s="4" t="inlineStr">
        <is>
          <t>TC-NOUS83_DEV-05</t>
        </is>
      </c>
      <c r="C17" s="5" t="inlineStr">
        <is>
          <t>callWithRetry</t>
        </is>
      </c>
      <c r="D17" s="4" t="inlineStr">
        <is>
          <t>正常系</t>
        </is>
      </c>
      <c r="E17" s="4" t="inlineStr">
        <is>
          <t>開発者テスト</t>
        </is>
      </c>
      <c r="F17" s="5" t="inlineStr">
        <is>
          <t>呼び出し中の stopSignal では呼び出しの完了を待つ</t>
        </is>
      </c>
      <c r="G17" s="5" t="inlineStr">
        <is>
          <t>前提：一時 DB（createTestDb）、FakeClock 2026-10-22T09:00:00.000Z
入力：呼び出し中に stopSignal を abort して成功</t>
        </is>
      </c>
      <c r="H17" s="5" t="inlineStr">
        <is>
          <t>成功の結果を返す</t>
        </is>
      </c>
      <c r="I17" s="5" t="inlineStr">
        <is>
          <t>B14-F</t>
        </is>
      </c>
      <c r="J17" s="5" t="inlineStr">
        <is>
          <t>呼び出しの関数</t>
        </is>
      </c>
      <c r="K17" s="5" t="inlineStr"/>
      <c r="L17" s="5" t="inlineStr"/>
      <c r="M17" s="5" t="inlineStr">
        <is>
          <t>TC-NOUS83_DEV-05 callWithRetry は LLM 呼び出しの最中に stopSignal が abort されても呼び出し完了を待つ</t>
        </is>
      </c>
      <c r="N17" s="6" t="inlineStr">
        <is>
          <t>未実施</t>
        </is>
      </c>
      <c r="O17" s="6" t="inlineStr"/>
      <c r="P17" s="6" t="inlineStr"/>
      <c r="Q17" s="7" t="inlineStr">
        <is>
          <t>既存テスト：実装時のテスト（NOUS-83）</t>
        </is>
      </c>
    </row>
    <row r="18">
      <c r="A18" s="4" t="n">
        <v>14</v>
      </c>
      <c r="B18" s="4" t="inlineStr">
        <is>
          <t>TC-UT_RTY-001</t>
        </is>
      </c>
      <c r="C18" s="5" t="inlineStr">
        <is>
          <t>waitOrStop</t>
        </is>
      </c>
      <c r="D18" s="4" t="inlineStr">
        <is>
          <t>異常系</t>
        </is>
      </c>
      <c r="E18" s="4" t="inlineStr">
        <is>
          <t>分岐網羅</t>
        </is>
      </c>
      <c r="F18" s="5" t="inlineStr">
        <is>
          <t>待つ前に signal が abort 済みなら sleep を張らずに CancelledError</t>
        </is>
      </c>
      <c r="G18" s="5" t="inlineStr">
        <is>
          <t>前提：FakeClock 2026-10-22T09:00:00.000Z
入力：abort 済みの signal、30,000 ミリ秒</t>
        </is>
      </c>
      <c r="H18" s="5" t="inlineStr">
        <is>
          <t>CancelledError、張られた sleep は 0 件</t>
        </is>
      </c>
      <c r="I18" s="5" t="inlineStr">
        <is>
          <t>B3-T</t>
        </is>
      </c>
      <c r="J18" s="5" t="inlineStr">
        <is>
          <t>FakeClock 2026-10-22T09:00:00.000Z</t>
        </is>
      </c>
      <c r="K18" s="5" t="inlineStr"/>
      <c r="L18" s="5" t="inlineStr"/>
      <c r="M18" s="5" t="inlineStr">
        <is>
          <t>TC-UT_RTY-001 waitOrStop は待つ前に signal が abort 済みなら sleep を張らずに CancelledError を投げる</t>
        </is>
      </c>
      <c r="N18" s="6" t="inlineStr">
        <is>
          <t>未実施</t>
        </is>
      </c>
      <c r="O18" s="6" t="inlineStr"/>
      <c r="P18" s="6" t="inlineStr"/>
      <c r="Q18" s="7" t="inlineStr">
        <is>
          <t>既存テスト：一部 TC-NOUS83_DEV-02（両方 abort のときだけ）</t>
        </is>
      </c>
    </row>
    <row r="19">
      <c r="A19" s="4" t="n">
        <v>15</v>
      </c>
      <c r="B19" s="4" t="inlineStr">
        <is>
          <t>TC-UT_RTY-002</t>
        </is>
      </c>
      <c r="C19" s="5" t="inlineStr">
        <is>
          <t>waitOrStop</t>
        </is>
      </c>
      <c r="D19" s="4" t="inlineStr">
        <is>
          <t>異常系</t>
        </is>
      </c>
      <c r="E19" s="4" t="inlineStr">
        <is>
          <t>依存</t>
        </is>
      </c>
      <c r="F19" s="5" t="inlineStr">
        <is>
          <t>sleep が abort 以外で失敗したら、その例外をそのまま投げる</t>
        </is>
      </c>
      <c r="G19" s="5" t="inlineStr">
        <is>
          <t>前提：なし
入力：sleep が Error('sleep failed') で失敗する Clock</t>
        </is>
      </c>
      <c r="H19" s="5" t="inlineStr">
        <is>
          <t>同じ Error</t>
        </is>
      </c>
      <c r="I19" s="5" t="inlineStr">
        <is>
          <t>B5-T, B6-F, B7-F</t>
        </is>
      </c>
      <c r="J19" s="5" t="inlineStr">
        <is>
          <t>Clock の sleep を差し替え（reject）</t>
        </is>
      </c>
      <c r="K19" s="5" t="inlineStr"/>
      <c r="L19" s="5" t="inlineStr"/>
      <c r="M19" s="5" t="inlineStr">
        <is>
          <t>TC-UT_RTY-002 waitOrStop は sleep が abort 以外の理由で失敗したら、その例外をそのまま投げる</t>
        </is>
      </c>
      <c r="N19" s="6" t="inlineStr">
        <is>
          <t>未実施</t>
        </is>
      </c>
      <c r="O19" s="6" t="inlineStr"/>
      <c r="P19" s="6" t="inlineStr"/>
      <c r="Q19" s="7" t="inlineStr">
        <is>
          <t>既存テスト：なし（DEV は abort の失敗だけ）</t>
        </is>
      </c>
    </row>
    <row r="20">
      <c r="A20" s="4" t="n">
        <v>16</v>
      </c>
      <c r="B20" s="4" t="inlineStr">
        <is>
          <t>TC-UT_RTY-003</t>
        </is>
      </c>
      <c r="C20" s="5" t="inlineStr">
        <is>
          <t>waitOrStop</t>
        </is>
      </c>
      <c r="D20" s="4" t="inlineStr">
        <is>
          <t>異常系</t>
        </is>
      </c>
      <c r="E20" s="4" t="inlineStr">
        <is>
          <t>分岐網羅</t>
        </is>
      </c>
      <c r="F20" s="5" t="inlineStr">
        <is>
          <t>sleep が終わった時点で signal が abort されていれば CancelledError</t>
        </is>
      </c>
      <c r="G20" s="5" t="inlineStr">
        <is>
          <t>前提：なし
入力：sleep の中で signal を abort して resolve する Clock</t>
        </is>
      </c>
      <c r="H20" s="5" t="inlineStr">
        <is>
          <t>CancelledError</t>
        </is>
      </c>
      <c r="I20" s="5" t="inlineStr">
        <is>
          <t>B8-T</t>
        </is>
      </c>
      <c r="J20" s="5" t="inlineStr">
        <is>
          <t>Clock の sleep を差し替え</t>
        </is>
      </c>
      <c r="K20" s="5" t="inlineStr"/>
      <c r="L20" s="5" t="inlineStr"/>
      <c r="M20" s="5" t="inlineStr">
        <is>
          <t>TC-UT_RTY-003 waitOrStop は sleep が終わった時点で signal が abort されていれば CancelledError を投げる</t>
        </is>
      </c>
      <c r="N20" s="6" t="inlineStr">
        <is>
          <t>未実施</t>
        </is>
      </c>
      <c r="O20" s="6" t="inlineStr"/>
      <c r="P20" s="6" t="inlineStr"/>
      <c r="Q20" s="7" t="inlineStr">
        <is>
          <t>既存テスト：なし</t>
        </is>
      </c>
    </row>
    <row r="21">
      <c r="A21" s="4" t="n">
        <v>17</v>
      </c>
      <c r="B21" s="4" t="inlineStr">
        <is>
          <t>TC-UT_RTY-004</t>
        </is>
      </c>
      <c r="C21" s="5" t="inlineStr">
        <is>
          <t>waitOrStop</t>
        </is>
      </c>
      <c r="D21" s="4" t="inlineStr">
        <is>
          <t>異常系</t>
        </is>
      </c>
      <c r="E21" s="4" t="inlineStr">
        <is>
          <t>分岐網羅</t>
        </is>
      </c>
      <c r="F21" s="5" t="inlineStr">
        <is>
          <t>sleep が終わった時点で stopSignal が abort されていれば StoppedError</t>
        </is>
      </c>
      <c r="G21" s="5" t="inlineStr">
        <is>
          <t>前提：なし
入力：sleep の中で stopSignal を abort して resolve する Clock</t>
        </is>
      </c>
      <c r="H21" s="5" t="inlineStr">
        <is>
          <t>StoppedError</t>
        </is>
      </c>
      <c r="I21" s="5" t="inlineStr">
        <is>
          <t>B8-F, B9-T</t>
        </is>
      </c>
      <c r="J21" s="5" t="inlineStr">
        <is>
          <t>Clock の sleep を差し替え</t>
        </is>
      </c>
      <c r="K21" s="5" t="inlineStr"/>
      <c r="L21" s="5" t="inlineStr"/>
      <c r="M21" s="5" t="inlineStr">
        <is>
          <t>TC-UT_RTY-004 waitOrStop は sleep が終わった時点で stopSignal が abort されていれば StoppedError を投げる</t>
        </is>
      </c>
      <c r="N21" s="6" t="inlineStr">
        <is>
          <t>未実施</t>
        </is>
      </c>
      <c r="O21" s="6" t="inlineStr"/>
      <c r="P21" s="6" t="inlineStr"/>
      <c r="Q21" s="7" t="inlineStr">
        <is>
          <t>既存テスト：なし</t>
        </is>
      </c>
    </row>
    <row r="22">
      <c r="A22" s="4" t="n">
        <v>18</v>
      </c>
      <c r="B22" s="4" t="inlineStr">
        <is>
          <t>TC-UT_RTY-005</t>
        </is>
      </c>
      <c r="C22" s="5" t="inlineStr">
        <is>
          <t>callWithRetry</t>
        </is>
      </c>
      <c r="D22" s="4" t="inlineStr">
        <is>
          <t>正常系</t>
        </is>
      </c>
      <c r="E22" s="4" t="inlineStr">
        <is>
          <t>境界値</t>
        </is>
      </c>
      <c r="F22" s="5" t="inlineStr">
        <is>
          <t>1 回目の失敗の後、29,999 ミリ秒では呼ばず 30,000 ミリ秒で 2 回目を呼ぶ</t>
        </is>
      </c>
      <c r="G22" s="5" t="inlineStr">
        <is>
          <t>前提：一時 DB（createTestDb）、FakeClock 2026-10-22T09:00:00.000Z
入力：timeout の後に成功</t>
        </is>
      </c>
      <c r="H22" s="5" t="inlineStr">
        <is>
          <t>29,999：呼び出し 1 回、30,000：2 回、attemptNo=2</t>
        </is>
      </c>
      <c r="I22" s="5" t="inlineStr">
        <is>
          <t>B20-F, B22-F</t>
        </is>
      </c>
      <c r="J22" s="5" t="inlineStr">
        <is>
          <t>FakeClock 2026-10-22T09:00:00.000Z、呼び出しの関数</t>
        </is>
      </c>
      <c r="K22" s="5" t="inlineStr"/>
      <c r="L22" s="5" t="inlineStr"/>
      <c r="M22" s="5" t="inlineStr">
        <is>
          <t>TC-UT_RTY-005 1 回目の失敗の後は 29,999 ミリ秒では呼ばず、30,000 ミリ秒で 2 回目を呼ぶ</t>
        </is>
      </c>
      <c r="N22" s="6" t="inlineStr">
        <is>
          <t>未実施</t>
        </is>
      </c>
      <c r="O22" s="6" t="inlineStr"/>
      <c r="P22" s="6" t="inlineStr"/>
      <c r="Q22" s="7" t="inlineStr">
        <is>
          <t>既存テスト：一部 TC-NOUS63_DEV-09（30 秒ちょうどだけ）</t>
        </is>
      </c>
    </row>
    <row r="23">
      <c r="A23" s="4" t="n">
        <v>19</v>
      </c>
      <c r="B23" s="4" t="inlineStr">
        <is>
          <t>TC-UT_RTY-006</t>
        </is>
      </c>
      <c r="C23" s="5" t="inlineStr">
        <is>
          <t>callWithRetry</t>
        </is>
      </c>
      <c r="D23" s="4" t="inlineStr">
        <is>
          <t>正常系</t>
        </is>
      </c>
      <c r="E23" s="4" t="inlineStr">
        <is>
          <t>境界値</t>
        </is>
      </c>
      <c r="F23" s="5" t="inlineStr">
        <is>
          <t>2 回目の失敗の後、119,999 ミリ秒では呼ばず 120,000 ミリ秒で 3 回目を呼ぶ</t>
        </is>
      </c>
      <c r="G23" s="5" t="inlineStr">
        <is>
          <t>前提：一時 DB（createTestDb）、FakeClock 2026-10-22T09:00:00.000Z
入力：timeout・timeout の後に成功</t>
        </is>
      </c>
      <c r="H23" s="5" t="inlineStr">
        <is>
          <t>119,999：呼び出し 2 回、120,000：3 回、attemptNo=3</t>
        </is>
      </c>
      <c r="I23" s="5" t="inlineStr">
        <is>
          <t>B20-F</t>
        </is>
      </c>
      <c r="J23" s="5" t="inlineStr">
        <is>
          <t>FakeClock 2026-10-22T09:00:00.000Z、呼び出しの関数</t>
        </is>
      </c>
      <c r="K23" s="5" t="inlineStr"/>
      <c r="L23" s="5" t="inlineStr"/>
      <c r="M23" s="5" t="inlineStr">
        <is>
          <t>TC-UT_RTY-006 2 回目の失敗の後は 119,999 ミリ秒では呼ばず、120,000 ミリ秒で 3 回目を呼ぶ</t>
        </is>
      </c>
      <c r="N23" s="6" t="inlineStr">
        <is>
          <t>未実施</t>
        </is>
      </c>
      <c r="O23" s="6" t="inlineStr"/>
      <c r="P23" s="6" t="inlineStr"/>
      <c r="Q23" s="7" t="inlineStr">
        <is>
          <t>既存テスト：一部 TC-NOUS63_DEV-09（120 秒ちょうどだけ）</t>
        </is>
      </c>
    </row>
    <row r="24">
      <c r="A24" s="4" t="n">
        <v>20</v>
      </c>
      <c r="B24" s="4" t="inlineStr">
        <is>
          <t>TC-UT_RTY-007</t>
        </is>
      </c>
      <c r="C24" s="5" t="inlineStr">
        <is>
          <t>callWithRetry</t>
        </is>
      </c>
      <c r="D24" s="4" t="inlineStr">
        <is>
          <t>正常系</t>
        </is>
      </c>
      <c r="E24" s="4" t="inlineStr">
        <is>
          <t>同値分割</t>
        </is>
      </c>
      <c r="F24" s="5" t="inlineStr">
        <is>
          <t>再試行の対象の失敗（timeout・429(3040)・500・502・503・success=false）は 30 秒待って再試行し、1 回目の試行をその種類で記録する</t>
        </is>
      </c>
      <c r="G24" s="5" t="inlineStr">
        <is>
          <t>前提：一時 DB（createTestDb）、FakeClock 2026-10-22T09:00:00.000Z
入力：各失敗の後に成功（6 通り）</t>
        </is>
      </c>
      <c r="H24" s="5" t="inlineStr">
        <is>
          <t>attemptNo=2、試行 1 件（result と http_status が失敗の種類のとおり）</t>
        </is>
      </c>
      <c r="I24" s="5" t="inlineStr">
        <is>
          <t>B11-T, B11-F, B19-F, B20-F</t>
        </is>
      </c>
      <c r="J24" s="5" t="inlineStr">
        <is>
          <t>呼び出しの関数</t>
        </is>
      </c>
      <c r="K24" s="5" t="inlineStr"/>
      <c r="L24" s="5" t="inlineStr"/>
      <c r="M24" s="5" t="inlineStr">
        <is>
          <t>TC-UT_RTY-007 再試行の対象の失敗は 30 秒待って 2 回目を呼び、1 回目の試行をその種類で記録する</t>
        </is>
      </c>
      <c r="N24" s="6" t="inlineStr">
        <is>
          <t>未実施</t>
        </is>
      </c>
      <c r="O24" s="6" t="inlineStr"/>
      <c r="P24" s="6" t="inlineStr"/>
      <c r="Q24" s="7" t="inlineStr">
        <is>
          <t>既存テスト：一部 TC-NOUS63_DEV-09・10（timeout・429・503 だけ）
設計書 2章：5xx はすべて server_error、success=false も server_error</t>
        </is>
      </c>
    </row>
    <row r="25">
      <c r="A25" s="4" t="n">
        <v>21</v>
      </c>
      <c r="B25" s="4" t="inlineStr">
        <is>
          <t>TC-UT_RTY-008</t>
        </is>
      </c>
      <c r="C25" s="5" t="inlineStr">
        <is>
          <t>callWithRetry</t>
        </is>
      </c>
      <c r="D25" s="4" t="inlineStr">
        <is>
          <t>異常系</t>
        </is>
      </c>
      <c r="E25" s="4" t="inlineStr">
        <is>
          <t>同値分割</t>
        </is>
      </c>
      <c r="F25" s="5" t="inlineStr">
        <is>
          <t>400 は再試行せずに server_error の TemporaryFailureError</t>
        </is>
      </c>
      <c r="G25" s="5" t="inlineStr">
        <is>
          <t>前提：一時 DB（createTestDb）、FakeClock 2026-10-22T09:00:00.000Z
入力：ServerError(400)</t>
        </is>
      </c>
      <c r="H25" s="5" t="inlineStr">
        <is>
          <t>TemporaryFailureError（server_error、httpStatus 400）、呼び出し 1 回、sleep なし、試行 1 件</t>
        </is>
      </c>
      <c r="I25" s="5" t="inlineStr">
        <is>
          <t>B19-T</t>
        </is>
      </c>
      <c r="J25" s="5" t="inlineStr">
        <is>
          <t>呼び出しの関数</t>
        </is>
      </c>
      <c r="K25" s="5" t="inlineStr"/>
      <c r="L25" s="5" t="inlineStr"/>
      <c r="M25" s="5" t="inlineStr">
        <is>
          <t>TC-UT_RTY-008 400 の ServerError は再試行せずに server_error の TemporaryFailureError になる</t>
        </is>
      </c>
      <c r="N25" s="6" t="inlineStr">
        <is>
          <t>未実施</t>
        </is>
      </c>
      <c r="O25" s="6" t="inlineStr"/>
      <c r="P25" s="6" t="inlineStr"/>
      <c r="Q25" s="7" t="inlineStr">
        <is>
          <t>既存テスト：なし（DEV-11 は 401 だけ）</t>
        </is>
      </c>
    </row>
    <row r="26">
      <c r="A26" s="4" t="n">
        <v>22</v>
      </c>
      <c r="B26" s="4" t="inlineStr">
        <is>
          <t>TC-UT_RTY-009</t>
        </is>
      </c>
      <c r="C26" s="5" t="inlineStr">
        <is>
          <t>callWithRetry</t>
        </is>
      </c>
      <c r="D26" s="4" t="inlineStr">
        <is>
          <t>異常系</t>
        </is>
      </c>
      <c r="E26" s="4" t="inlineStr">
        <is>
          <t>エラー処理</t>
        </is>
      </c>
      <c r="F26" s="5" t="inlineStr">
        <is>
          <t>3036 は待たずに FreeTierExceededError を投げ、試行を free_tier で記録し daily_usage を 1 回分加算する</t>
        </is>
      </c>
      <c r="G26" s="5" t="inlineStr">
        <is>
          <t>前提：一時 DB（createTestDb）、FakeClock 2026-10-22T09:00:00.000Z
入力：FreeTierExceededError(429, code 3036)</t>
        </is>
      </c>
      <c r="H26" s="5" t="inlineStr">
        <is>
          <t>FreeTierExceededError、呼び出し 1 回、試行 free_tier・429・code 3036、daily_usage calls=1・runs=1</t>
        </is>
      </c>
      <c r="I26" s="5" t="inlineStr">
        <is>
          <t>B18-T</t>
        </is>
      </c>
      <c r="J26" s="5" t="inlineStr">
        <is>
          <t>呼び出しの関数</t>
        </is>
      </c>
      <c r="K26" s="5" t="inlineStr"/>
      <c r="L26" s="5" t="inlineStr"/>
      <c r="M26" s="5" t="inlineStr">
        <is>
          <t>TC-UT_RTY-009 429・3036 は待たずに FreeTierExceededError を投げ、試行を free_tier で記録し daily_usage を 1 回分加算する</t>
        </is>
      </c>
      <c r="N26" s="6" t="inlineStr">
        <is>
          <t>未実施</t>
        </is>
      </c>
      <c r="O26" s="6" t="inlineStr"/>
      <c r="P26" s="6" t="inlineStr"/>
      <c r="Q26" s="7" t="inlineStr">
        <is>
          <t>既存テスト：一部 TC-NOUS63_DEV-11（記録は見ていない）</t>
        </is>
      </c>
    </row>
    <row r="27">
      <c r="A27" s="4" t="n">
        <v>23</v>
      </c>
      <c r="B27" s="4" t="inlineStr">
        <is>
          <t>TC-UT_RTY-010</t>
        </is>
      </c>
      <c r="C27" s="5" t="inlineStr">
        <is>
          <t>callWithRetry</t>
        </is>
      </c>
      <c r="D27" s="4" t="inlineStr">
        <is>
          <t>異常系</t>
        </is>
      </c>
      <c r="E27" s="4" t="inlineStr">
        <is>
          <t>分岐網羅</t>
        </is>
      </c>
      <c r="F27" s="5" t="inlineStr">
        <is>
          <t>LlmError でない例外は試行を記録せずにそのまま投げる</t>
        </is>
      </c>
      <c r="G27" s="5" t="inlineStr">
        <is>
          <t>前提：一時 DB（createTestDb）、FakeClock 2026-10-22T09:00:00.000Z
入力：TypeError</t>
        </is>
      </c>
      <c r="H27" s="5" t="inlineStr">
        <is>
          <t>同じ TypeError、試行 0 件、daily_usage 0 件</t>
        </is>
      </c>
      <c r="I27" s="5" t="inlineStr">
        <is>
          <t>B15-F, B17-T</t>
        </is>
      </c>
      <c r="J27" s="5" t="inlineStr">
        <is>
          <t>呼び出しの関数</t>
        </is>
      </c>
      <c r="K27" s="5" t="inlineStr"/>
      <c r="L27" s="5" t="inlineStr"/>
      <c r="M27" s="5" t="inlineStr">
        <is>
          <t>TC-UT_RTY-010 LlmError でない例外は試行を記録せずにそのまま投げる</t>
        </is>
      </c>
      <c r="N27" s="6" t="inlineStr">
        <is>
          <t>未実施</t>
        </is>
      </c>
      <c r="O27" s="6" t="inlineStr"/>
      <c r="P27" s="6" t="inlineStr"/>
      <c r="Q27" s="7" t="inlineStr">
        <is>
          <t>既存テスト：なし</t>
        </is>
      </c>
    </row>
    <row r="28">
      <c r="A28" s="4" t="n">
        <v>24</v>
      </c>
      <c r="B28" s="4" t="inlineStr">
        <is>
          <t>TC-UT_RTY-011</t>
        </is>
      </c>
      <c r="C28" s="5" t="inlineStr">
        <is>
          <t>callWithRetry</t>
        </is>
      </c>
      <c r="D28" s="4" t="inlineStr">
        <is>
          <t>異常系</t>
        </is>
      </c>
      <c r="E28" s="4" t="inlineStr">
        <is>
          <t>分岐網羅</t>
        </is>
      </c>
      <c r="F28" s="5" t="inlineStr">
        <is>
          <t>呼び出しが InvalidFormatError を投げたら再試行せず server_error の TemporaryFailureError</t>
        </is>
      </c>
      <c r="G28" s="5" t="inlineStr">
        <is>
          <t>前提：一時 DB（createTestDb）、FakeClock 2026-10-22T09:00:00.000Z
入力：InvalidFormatError</t>
        </is>
      </c>
      <c r="H28" s="5" t="inlineStr">
        <is>
          <t>TemporaryFailureError（server_error）、呼び出し 1 回、試行 invalid_format</t>
        </is>
      </c>
      <c r="I28" s="5" t="inlineStr">
        <is>
          <t>B11-F, B19-T</t>
        </is>
      </c>
      <c r="J28" s="5" t="inlineStr">
        <is>
          <t>呼び出しの関数</t>
        </is>
      </c>
      <c r="K28" s="5" t="inlineStr"/>
      <c r="L28" s="5" t="inlineStr"/>
      <c r="M28" s="5" t="inlineStr">
        <is>
          <t>TC-UT_RTY-011 呼び出しが InvalidFormatError を投げたら再試行せず、server_error の TemporaryFailureError にする</t>
        </is>
      </c>
      <c r="N28" s="6" t="inlineStr">
        <is>
          <t>未実施</t>
        </is>
      </c>
      <c r="O28" s="6" t="inlineStr"/>
      <c r="P28" s="6" t="inlineStr"/>
      <c r="Q28" s="7" t="inlineStr">
        <is>
          <t>既存テスト：なし
設計書に記載なし。実装の値（固定応答・Cloudflare の実装からは投げない防御の分岐）</t>
        </is>
      </c>
    </row>
    <row r="29">
      <c r="A29" s="4" t="n">
        <v>25</v>
      </c>
      <c r="B29" s="4" t="inlineStr">
        <is>
          <t>TC-UT_RTY-012</t>
        </is>
      </c>
      <c r="C29" s="5" t="inlineStr">
        <is>
          <t>callWithRetry</t>
        </is>
      </c>
      <c r="D29" s="4" t="inlineStr">
        <is>
          <t>正常系</t>
        </is>
      </c>
      <c r="E29" s="4" t="inlineStr">
        <is>
          <t>境界値</t>
        </is>
      </c>
      <c r="F29" s="5" t="inlineStr">
        <is>
          <t>待ちの後、Neurons が日次上限の手前（99.9／100）なら再試行する</t>
        </is>
      </c>
      <c r="G29" s="5" t="inlineStr">
        <is>
          <t>前提：一時 DB（createTestDb）、FakeClock 2026-10-22T09:00:00.000Z、Neurons 上限 100 の世界、daily_usage neurons=99.9
入力：timeout の後に成功</t>
        </is>
      </c>
      <c r="H29" s="5" t="inlineStr">
        <is>
          <t>attemptNo=2、呼び出し 2 回</t>
        </is>
      </c>
      <c r="I29" s="5" t="inlineStr">
        <is>
          <t>B10-T, B21-T, B22-F</t>
        </is>
      </c>
      <c r="J29" s="5" t="inlineStr">
        <is>
          <t>呼び出しの関数</t>
        </is>
      </c>
      <c r="K29" s="5" t="inlineStr"/>
      <c r="L29" s="5" t="inlineStr"/>
      <c r="M29" s="5" t="inlineStr">
        <is>
          <t>TC-UT_RTY-012 待ちの後、Neurons が日次上限の手前（上限 100 に対して 99.9）なら再試行する</t>
        </is>
      </c>
      <c r="N29" s="6" t="inlineStr">
        <is>
          <t>未実施</t>
        </is>
      </c>
      <c r="O29" s="6" t="inlineStr"/>
      <c r="P29" s="6" t="inlineStr"/>
      <c r="Q29" s="7" t="inlineStr">
        <is>
          <t>既存テスト：なし（DEV-12 は runs の上限だけ）</t>
        </is>
      </c>
    </row>
    <row r="30">
      <c r="A30" s="4" t="n">
        <v>26</v>
      </c>
      <c r="B30" s="4" t="inlineStr">
        <is>
          <t>TC-UT_RTY-013</t>
        </is>
      </c>
      <c r="C30" s="5" t="inlineStr">
        <is>
          <t>callWithRetry</t>
        </is>
      </c>
      <c r="D30" s="4" t="inlineStr">
        <is>
          <t>異常系</t>
        </is>
      </c>
      <c r="E30" s="4" t="inlineStr">
        <is>
          <t>境界値</t>
        </is>
      </c>
      <c r="F30" s="5" t="inlineStr">
        <is>
          <t>待ちの後、Neurons が日次上限ちょうど（100／100）なら呼ばずに StoppedError</t>
        </is>
      </c>
      <c r="G30" s="5" t="inlineStr">
        <is>
          <t>前提：一時 DB（createTestDb）、FakeClock 2026-10-22T09:00:00.000Z、Neurons 上限 100 の世界、daily_usage neurons=100
入力：timeout が続く呼び出し</t>
        </is>
      </c>
      <c r="H30" s="5" t="inlineStr">
        <is>
          <t>StoppedError、呼び出し 1 回</t>
        </is>
      </c>
      <c r="I30" s="5" t="inlineStr">
        <is>
          <t>B22-T</t>
        </is>
      </c>
      <c r="J30" s="5" t="inlineStr">
        <is>
          <t>呼び出しの関数</t>
        </is>
      </c>
      <c r="K30" s="5" t="inlineStr"/>
      <c r="L30" s="5" t="inlineStr"/>
      <c r="M30" s="5" t="inlineStr">
        <is>
          <t>TC-UT_RTY-013 待ちの後、Neurons が日次上限ちょうど（上限 100 に対して 100）なら呼ばずに StoppedError を投げる</t>
        </is>
      </c>
      <c r="N30" s="6" t="inlineStr">
        <is>
          <t>未実施</t>
        </is>
      </c>
      <c r="O30" s="6" t="inlineStr"/>
      <c r="P30" s="6" t="inlineStr"/>
      <c r="Q30" s="7" t="inlineStr">
        <is>
          <t>既存テスト：なし（DEV-12 は runs の上限だけ）</t>
        </is>
      </c>
    </row>
    <row r="31">
      <c r="A31" s="4" t="n">
        <v>27</v>
      </c>
      <c r="B31" s="4" t="inlineStr">
        <is>
          <t>TC-UT_RTY-014</t>
        </is>
      </c>
      <c r="C31" s="5" t="inlineStr">
        <is>
          <t>callWithRetry</t>
        </is>
      </c>
      <c r="D31" s="4" t="inlineStr">
        <is>
          <t>異常系</t>
        </is>
      </c>
      <c r="E31" s="4" t="inlineStr">
        <is>
          <t>分岐網羅</t>
        </is>
      </c>
      <c r="F31" s="5" t="inlineStr">
        <is>
          <t>world_settings が無いときは ctx.settings の上限で判定し、上限なら StoppedError</t>
        </is>
      </c>
      <c r="G31" s="5" t="inlineStr">
        <is>
          <t>前提：一時 DB（createTestDb）、FakeClock 2026-10-22T09:00:00.000Z、world_settings の無い世界、daily_usage runs=5
入力：timeout、settings={neurons 9500, runs 5}</t>
        </is>
      </c>
      <c r="H31" s="5" t="inlineStr">
        <is>
          <t>StoppedError</t>
        </is>
      </c>
      <c r="I31" s="5" t="inlineStr">
        <is>
          <t>B10-F, B21-T, B22-T</t>
        </is>
      </c>
      <c r="J31" s="5" t="inlineStr">
        <is>
          <t>呼び出しの関数</t>
        </is>
      </c>
      <c r="K31" s="5" t="inlineStr"/>
      <c r="L31" s="5" t="inlineStr"/>
      <c r="M31" s="5" t="inlineStr">
        <is>
          <t>TC-UT_RTY-014 world_settings が無いときは ctx.settings の上限で判定し、上限に達していれば StoppedError を投げる</t>
        </is>
      </c>
      <c r="N31" s="6" t="inlineStr">
        <is>
          <t>未実施</t>
        </is>
      </c>
      <c r="O31" s="6" t="inlineStr"/>
      <c r="P31" s="6" t="inlineStr"/>
      <c r="Q31" s="7" t="inlineStr">
        <is>
          <t>既存テスト：なし</t>
        </is>
      </c>
    </row>
    <row r="32">
      <c r="A32" s="4" t="n">
        <v>28</v>
      </c>
      <c r="B32" s="4" t="inlineStr">
        <is>
          <t>TC-UT_RTY-015</t>
        </is>
      </c>
      <c r="C32" s="5" t="inlineStr">
        <is>
          <t>callWithRetry</t>
        </is>
      </c>
      <c r="D32" s="4" t="inlineStr">
        <is>
          <t>正常系</t>
        </is>
      </c>
      <c r="E32" s="4" t="inlineStr">
        <is>
          <t>分岐網羅</t>
        </is>
      </c>
      <c r="F32" s="5" t="inlineStr">
        <is>
          <t>world_settings も ctx.settings も無いときは上限を見ずに再試行する</t>
        </is>
      </c>
      <c r="G32" s="5" t="inlineStr">
        <is>
          <t>前提：一時 DB（createTestDb）、FakeClock 2026-10-22T09:00:00.000Z、world_settings の無い世界、daily_usage が既定の上限を超えている
入力：timeout の後に成功</t>
        </is>
      </c>
      <c r="H32" s="5" t="inlineStr">
        <is>
          <t>attemptNo=2</t>
        </is>
      </c>
      <c r="I32" s="5" t="inlineStr">
        <is>
          <t>B10-F, B21-F</t>
        </is>
      </c>
      <c r="J32" s="5" t="inlineStr">
        <is>
          <t>呼び出しの関数</t>
        </is>
      </c>
      <c r="K32" s="5" t="inlineStr"/>
      <c r="L32" s="5" t="inlineStr"/>
      <c r="M32" s="5" t="inlineStr">
        <is>
          <t>TC-UT_RTY-015 world_settings も ctx.settings も無いときは上限を見ずに再試行する</t>
        </is>
      </c>
      <c r="N32" s="6" t="inlineStr">
        <is>
          <t>未実施</t>
        </is>
      </c>
      <c r="O32" s="6" t="inlineStr"/>
      <c r="P32" s="6" t="inlineStr"/>
      <c r="Q32" s="7" t="inlineStr">
        <is>
          <t>既存テスト：なし
設計書に記載なし。実装の値（単体テスト用のフォールバック）</t>
        </is>
      </c>
    </row>
    <row r="33">
      <c r="A33" s="4" t="n">
        <v>29</v>
      </c>
      <c r="B33" s="4" t="inlineStr">
        <is>
          <t>TC-UT_RTY-016</t>
        </is>
      </c>
      <c r="C33" s="5" t="inlineStr">
        <is>
          <t>callWithRetry</t>
        </is>
      </c>
      <c r="D33" s="4" t="inlineStr">
        <is>
          <t>異常系</t>
        </is>
      </c>
      <c r="E33" s="4" t="inlineStr">
        <is>
          <t>境界値</t>
        </is>
      </c>
      <c r="F33" s="5" t="inlineStr">
        <is>
          <t>startAttemptNo=3 なら 3 回目と 4 回目の 2 回だけ呼ぶ</t>
        </is>
      </c>
      <c r="G33" s="5" t="inlineStr">
        <is>
          <t>前提：一時 DB（createTestDb）、FakeClock 2026-10-22T09:00:00.000Z
入力：429 が続く呼び出し、startAttemptNo=3</t>
        </is>
      </c>
      <c r="H33" s="5" t="inlineStr">
        <is>
          <t>TemporaryFailureError（rate_limited）、呼び出し 2 回、試行 3・4、待ちは 30 秒の 1 回だけ</t>
        </is>
      </c>
      <c r="I33" s="5" t="inlineStr">
        <is>
          <t>B12-F, B20-F, B20-T</t>
        </is>
      </c>
      <c r="J33" s="5" t="inlineStr">
        <is>
          <t>呼び出しの関数</t>
        </is>
      </c>
      <c r="K33" s="5" t="inlineStr"/>
      <c r="L33" s="5" t="inlineStr"/>
      <c r="M33" s="5" t="inlineStr">
        <is>
          <t>TC-UT_RTY-016 startAttemptNo=3 なら 3 回目と 4 回目の 2 回だけ呼び、4 回目も失敗なら TemporaryFailureError を投げる</t>
        </is>
      </c>
      <c r="N33" s="6" t="inlineStr">
        <is>
          <t>未実施</t>
        </is>
      </c>
      <c r="O33" s="6" t="inlineStr"/>
      <c r="P33" s="6" t="inlineStr"/>
      <c r="Q33" s="7" t="inlineStr">
        <is>
          <t>既存テスト：一部 TC-NOUS63_DEV-13（4・5 だけ）
NOUS-63 の決定：1 つの生成イベントの試行は 4 回まで</t>
        </is>
      </c>
    </row>
    <row r="34">
      <c r="A34" s="4" t="n">
        <v>30</v>
      </c>
      <c r="B34" s="4" t="inlineStr">
        <is>
          <t>TC-UT_RTY-017</t>
        </is>
      </c>
      <c r="C34" s="5" t="inlineStr">
        <is>
          <t>callWithRetry</t>
        </is>
      </c>
      <c r="D34" s="4" t="inlineStr">
        <is>
          <t>異常系</t>
        </is>
      </c>
      <c r="E34" s="4" t="inlineStr">
        <is>
          <t>分岐網羅</t>
        </is>
      </c>
      <c r="F34" s="5" t="inlineStr">
        <is>
          <t>呼ぶ前に signal が abort 済みなら、呼ばず・記録せずに CancelledError</t>
        </is>
      </c>
      <c r="G34" s="5" t="inlineStr">
        <is>
          <t>前提：一時 DB（createTestDb）、FakeClock 2026-10-22T09:00:00.000Z
入力：abort 済みの signal</t>
        </is>
      </c>
      <c r="H34" s="5" t="inlineStr">
        <is>
          <t>CancelledError、呼び出し 0 回、試行 0 件</t>
        </is>
      </c>
      <c r="I34" s="5" t="inlineStr">
        <is>
          <t>B13-T</t>
        </is>
      </c>
      <c r="J34" s="5" t="inlineStr">
        <is>
          <t>呼び出しの関数</t>
        </is>
      </c>
      <c r="K34" s="5" t="inlineStr"/>
      <c r="L34" s="5" t="inlineStr"/>
      <c r="M34" s="5" t="inlineStr">
        <is>
          <t>TC-UT_RTY-017 呼ぶ前に signal が abort 済みなら、呼ばず・記録せずに CancelledError を投げる</t>
        </is>
      </c>
      <c r="N34" s="6" t="inlineStr">
        <is>
          <t>未実施</t>
        </is>
      </c>
      <c r="O34" s="6" t="inlineStr"/>
      <c r="P34" s="6" t="inlineStr"/>
      <c r="Q34" s="7" t="inlineStr">
        <is>
          <t>既存テスト：なし</t>
        </is>
      </c>
    </row>
    <row r="35">
      <c r="A35" s="4" t="n">
        <v>31</v>
      </c>
      <c r="B35" s="4" t="inlineStr">
        <is>
          <t>TC-UT_RTY-018</t>
        </is>
      </c>
      <c r="C35" s="5" t="inlineStr">
        <is>
          <t>callWithRetry</t>
        </is>
      </c>
      <c r="D35" s="4" t="inlineStr">
        <is>
          <t>異常系</t>
        </is>
      </c>
      <c r="E35" s="4" t="inlineStr">
        <is>
          <t>分岐網羅</t>
        </is>
      </c>
      <c r="F35" s="5" t="inlineStr">
        <is>
          <t>呼び出し中に signal が abort され TimeoutError で終わったら cancelled で記録して CancelledError</t>
        </is>
      </c>
      <c r="G35" s="5" t="inlineStr">
        <is>
          <t>前提：一時 DB（createTestDb）、FakeClock 2026-10-22T09:00:00.000Z
入力：abort してから TimeoutError を投げる呼び出し</t>
        </is>
      </c>
      <c r="H35" s="5" t="inlineStr">
        <is>
          <t>ClockCancelledError、試行 1 件（cancelled）、sleep なし</t>
        </is>
      </c>
      <c r="I35" s="5" t="inlineStr">
        <is>
          <t>B1-T, B15-T, B16-F</t>
        </is>
      </c>
      <c r="J35" s="5" t="inlineStr">
        <is>
          <t>呼び出しの関数</t>
        </is>
      </c>
      <c r="K35" s="5" t="inlineStr"/>
      <c r="L35" s="5" t="inlineStr"/>
      <c r="M35" s="5" t="inlineStr">
        <is>
          <t>TC-UT_RTY-018 呼び出し中に signal が abort され、呼び出しが TimeoutError で終わったら cancelled で記録して CancelledError を投げる</t>
        </is>
      </c>
      <c r="N35" s="6" t="inlineStr">
        <is>
          <t>未実施</t>
        </is>
      </c>
      <c r="O35" s="6" t="inlineStr"/>
      <c r="P35" s="6" t="inlineStr"/>
      <c r="Q35" s="7" t="inlineStr">
        <is>
          <t>既存テスト：一部 TC-NOUS63_DEV-14（LLM の CancelledError だけ）</t>
        </is>
      </c>
    </row>
    <row r="36">
      <c r="A36" s="4" t="n">
        <v>32</v>
      </c>
      <c r="B36" s="4" t="inlineStr">
        <is>
          <t>TC-UT_RTY-019</t>
        </is>
      </c>
      <c r="C36" s="5" t="inlineStr">
        <is>
          <t>callWithRetry</t>
        </is>
      </c>
      <c r="D36" s="4" t="inlineStr">
        <is>
          <t>異常系</t>
        </is>
      </c>
      <c r="E36" s="4" t="inlineStr">
        <is>
          <t>分岐網羅</t>
        </is>
      </c>
      <c r="F36" s="5" t="inlineStr">
        <is>
          <t>呼び出しが成功した直後に signal が abort されていたら CancelledError、試行は記録しない</t>
        </is>
      </c>
      <c r="G36" s="5" t="inlineStr">
        <is>
          <t>前提：一時 DB（createTestDb）、FakeClock 2026-10-22T09:00:00.000Z
入力：abort してから成功を返す呼び出し</t>
        </is>
      </c>
      <c r="H36" s="5" t="inlineStr">
        <is>
          <t>ClockCancelledError、試行 0 件</t>
        </is>
      </c>
      <c r="I36" s="5" t="inlineStr">
        <is>
          <t>B14-T</t>
        </is>
      </c>
      <c r="J36" s="5" t="inlineStr">
        <is>
          <t>呼び出しの関数</t>
        </is>
      </c>
      <c r="K36" s="5" t="inlineStr"/>
      <c r="L36" s="5" t="inlineStr"/>
      <c r="M36" s="5" t="inlineStr">
        <is>
          <t>TC-UT_RTY-019 呼び出しが成功した直後に signal が abort されていたら CancelledError を投げ、試行は記録しない</t>
        </is>
      </c>
      <c r="N36" s="6" t="inlineStr">
        <is>
          <t>未実施</t>
        </is>
      </c>
      <c r="O36" s="6" t="inlineStr"/>
      <c r="P36" s="6" t="inlineStr"/>
      <c r="Q36" s="7" t="inlineStr">
        <is>
          <t>既存テスト：なし
確認事項 2。設計書に記載なし。実装の値</t>
        </is>
      </c>
    </row>
    <row r="37">
      <c r="A37" s="4" t="n">
        <v>33</v>
      </c>
      <c r="B37" s="4" t="inlineStr">
        <is>
          <t>TC-UT_RTY-020</t>
        </is>
      </c>
      <c r="C37" s="5" t="inlineStr">
        <is>
          <t>callWithRetry</t>
        </is>
      </c>
      <c r="D37" s="4" t="inlineStr">
        <is>
          <t>異常系</t>
        </is>
      </c>
      <c r="E37" s="4" t="inlineStr">
        <is>
          <t>エラー処理</t>
        </is>
      </c>
      <c r="F37" s="5" t="inlineStr">
        <is>
          <t>再試行の待ちの途中で signal が abort されたら、2 回目を呼ばずに CancelledError</t>
        </is>
      </c>
      <c r="G37" s="5" t="inlineStr">
        <is>
          <t>前提：一時 DB（createTestDb）、FakeClock 2026-10-22T09:00:00.000Z
入力：timeout の後、待ち中に signal を abort</t>
        </is>
      </c>
      <c r="H37" s="5" t="inlineStr">
        <is>
          <t>ClockCancelledError、呼び出し 1 回、試行 1 件（timeout）</t>
        </is>
      </c>
      <c r="I37" s="5" t="inlineStr">
        <is>
          <t>B6-T</t>
        </is>
      </c>
      <c r="J37" s="5" t="inlineStr">
        <is>
          <t>FakeClock 2026-10-22T09:00:00.000Z、呼び出しの関数</t>
        </is>
      </c>
      <c r="K37" s="5" t="inlineStr"/>
      <c r="L37" s="5" t="inlineStr"/>
      <c r="M37" s="5" t="inlineStr">
        <is>
          <t>TC-UT_RTY-020 再試行の待ちの途中で signal が abort されたら、2 回目を呼ばずに CancelledError を投げる</t>
        </is>
      </c>
      <c r="N37" s="6" t="inlineStr">
        <is>
          <t>未実施</t>
        </is>
      </c>
      <c r="O37" s="6" t="inlineStr"/>
      <c r="P37" s="6" t="inlineStr"/>
      <c r="Q37" s="7" t="inlineStr">
        <is>
          <t>既存テスト：なし（DEV は待ち中の stopSignal だけ）</t>
        </is>
      </c>
    </row>
    <row r="38">
      <c r="A38" s="4" t="n">
        <v>34</v>
      </c>
      <c r="B38" s="4" t="inlineStr">
        <is>
          <t>TC-UT_RTY-021</t>
        </is>
      </c>
      <c r="C38" s="5" t="inlineStr">
        <is>
          <t>callWithRetry</t>
        </is>
      </c>
      <c r="D38" s="4" t="inlineStr">
        <is>
          <t>異常系</t>
        </is>
      </c>
      <c r="E38" s="4" t="inlineStr">
        <is>
          <t>エラー処理</t>
        </is>
      </c>
      <c r="F38" s="5" t="inlineStr">
        <is>
          <t>呼び出し中に stopSignal が abort され、その呼び出しが一時的な失敗なら、待たずに StoppedError（AC-P06）</t>
        </is>
      </c>
      <c r="G38" s="5" t="inlineStr">
        <is>
          <t>前提：一時 DB（createTestDb）、FakeClock 2026-10-22T09:00:00.000Z
入力：stopSignal を abort してから 429 を投げる呼び出し</t>
        </is>
      </c>
      <c r="H38" s="5" t="inlineStr">
        <is>
          <t>StoppedError、呼び出し 1 回、時計は進まない、試行 1 件（rate_limited）</t>
        </is>
      </c>
      <c r="I38" s="5" t="inlineStr">
        <is>
          <t>B4-T</t>
        </is>
      </c>
      <c r="J38" s="5" t="inlineStr">
        <is>
          <t>呼び出しの関数</t>
        </is>
      </c>
      <c r="K38" s="5" t="inlineStr"/>
      <c r="L38" s="5" t="inlineStr"/>
      <c r="M38" s="5" t="inlineStr">
        <is>
          <t>TC-UT_RTY-021 呼び出し中に stopSignal が abort され、その呼び出しが一時的な失敗なら、待たずに StoppedError を投げる</t>
        </is>
      </c>
      <c r="N38" s="6" t="inlineStr">
        <is>
          <t>未実施</t>
        </is>
      </c>
      <c r="O38" s="6" t="inlineStr"/>
      <c r="P38" s="6" t="inlineStr"/>
      <c r="Q38" s="7" t="inlineStr">
        <is>
          <t>既存テスト：なし（DEV-83-05 は呼び出しが成功する場合だけ）</t>
        </is>
      </c>
    </row>
    <row r="39">
      <c r="A39" s="4" t="n">
        <v>35</v>
      </c>
      <c r="B39" s="4" t="inlineStr">
        <is>
          <t>TC-UT_RTY-022</t>
        </is>
      </c>
      <c r="C39" s="5" t="inlineStr">
        <is>
          <t>callWithRetry</t>
        </is>
      </c>
      <c r="D39" s="4" t="inlineStr">
        <is>
          <t>正常系</t>
        </is>
      </c>
      <c r="E39" s="4" t="inlineStr">
        <is>
          <t>依存</t>
        </is>
      </c>
      <c r="F39" s="5" t="inlineStr">
        <is>
          <t>失敗した試行は warn のログに eventId・attemptNo・kind・httpStatus を出す</t>
        </is>
      </c>
      <c r="G39" s="5" t="inlineStr">
        <is>
          <t>前提：一時 DB（createTestDb）、FakeClock 2026-10-22T09:00:00.000Z
入力：ServerError(401)</t>
        </is>
      </c>
      <c r="H39" s="5" t="inlineStr">
        <is>
          <t>「LLM attempt failed」の行に eventId・server_error・401 が入る</t>
        </is>
      </c>
      <c r="I39" s="5" t="inlineStr">
        <is>
          <t>B19-T</t>
        </is>
      </c>
      <c r="J39" s="5" t="inlineStr">
        <is>
          <t>ロガー（sinks で行を集める）</t>
        </is>
      </c>
      <c r="K39" s="5" t="inlineStr"/>
      <c r="L39" s="5" t="inlineStr"/>
      <c r="M39" s="5" t="inlineStr">
        <is>
          <t>TC-UT_RTY-022 失敗した試行は warn のログに eventId・attemptNo・kind・httpStatus を出す</t>
        </is>
      </c>
      <c r="N39" s="6" t="inlineStr">
        <is>
          <t>未実施</t>
        </is>
      </c>
      <c r="O39" s="6" t="inlineStr"/>
      <c r="P39" s="6" t="inlineStr"/>
      <c r="Q39" s="7" t="inlineStr">
        <is>
          <t>既存テスト：なし
設計書 6章：warn（実行 ID・試行の番号・HTTP の状態）</t>
        </is>
      </c>
    </row>
    <row r="40">
      <c r="A40" s="4" t="n">
        <v>36</v>
      </c>
      <c r="B40" s="4" t="inlineStr">
        <is>
          <t>TC-UT_RTY-023</t>
        </is>
      </c>
      <c r="C40" s="5" t="inlineStr">
        <is>
          <t>isCancellation</t>
        </is>
      </c>
      <c r="D40" s="4" t="inlineStr">
        <is>
          <t>正常系</t>
        </is>
      </c>
      <c r="E40" s="4" t="inlineStr">
        <is>
          <t>同値分割</t>
        </is>
      </c>
      <c r="F40" s="5" t="inlineStr">
        <is>
          <t>取り消しの例外か signal の abort を取り消しと判定する</t>
        </is>
      </c>
      <c r="G40" s="5" t="inlineStr">
        <is>
          <t>前提：なし
入力：時計・LLM の CancelledError、abort 済みの TimeoutError、abort されていない TimeoutError</t>
        </is>
      </c>
      <c r="H40" s="5" t="inlineStr">
        <is>
          <t>true・true・true・false</t>
        </is>
      </c>
      <c r="I40" s="5" t="inlineStr">
        <is>
          <t>B1-T, B1-F, B2-T, B2-F</t>
        </is>
      </c>
      <c r="J40" s="5" t="inlineStr">
        <is>
          <t>なし</t>
        </is>
      </c>
      <c r="K40" s="5" t="inlineStr"/>
      <c r="L40" s="5" t="inlineStr"/>
      <c r="M40" s="5" t="inlineStr">
        <is>
          <t>TC-UT_RTY-023 isCancellation は取り消しの例外か signal の abort を取り消しと判定する</t>
        </is>
      </c>
      <c r="N40" s="6" t="inlineStr">
        <is>
          <t>未実施</t>
        </is>
      </c>
      <c r="O40" s="6" t="inlineStr"/>
      <c r="P40" s="6" t="inlineStr"/>
      <c r="Q40" s="7" t="inlineStr">
        <is>
          <t>既存テスト：なし（DEV は callWithRetry 経由だけ）</t>
        </is>
      </c>
    </row>
  </sheetData>
  <autoFilter ref="A4:Q40"/>
  <conditionalFormatting sqref="A5:Q90">
    <cfRule type="expression" priority="1" dxfId="0">
      <formula>$N5="NG"</formula>
    </cfRule>
    <cfRule type="expression" priority="2" dxfId="1">
      <formula>$N5="OK"</formula>
    </cfRule>
    <cfRule type="expression" priority="3" dxfId="2">
      <formula>$N5="保留"</formula>
    </cfRule>
  </conditionalFormatting>
  <dataValidations count="2">
    <dataValidation sqref="N5:N90" showDropDown="0" showInputMessage="0" showErrorMessage="0" allowBlank="1" type="list">
      <formula1>"未実施,OK,NG,保留,対象外"</formula1>
    </dataValidation>
    <dataValidation sqref="D5:D90" showDropDown="0" showInputMessage="0" showErrorMessage="0" allowBlank="1" type="list">
      <formula1>"正常系,異常系"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集計サマリ</t>
        </is>
      </c>
    </row>
    <row r="2">
      <c r="A2" s="2" t="inlineStr">
        <is>
          <t>観点表シートの内容から自動集計されます（手入力不要）。</t>
        </is>
      </c>
    </row>
    <row r="4">
      <c r="A4" s="8" t="inlineStr">
        <is>
          <t>ケース数</t>
        </is>
      </c>
      <c r="B4" s="9" t="n"/>
      <c r="C4" s="9" t="n"/>
    </row>
    <row r="5">
      <c r="A5" s="10" t="inlineStr">
        <is>
          <t>総ケース数</t>
        </is>
      </c>
      <c r="B5" s="10">
        <f>COUNTA(観点表!$B$5:$B$90)</f>
        <v/>
      </c>
    </row>
    <row r="6">
      <c r="A6" s="10" t="inlineStr">
        <is>
          <t>正常系</t>
        </is>
      </c>
      <c r="B6" s="10">
        <f>COUNTIF(観点表!$D$5:$D$90,"正常系")</f>
        <v/>
      </c>
    </row>
    <row r="7">
      <c r="A7" s="10" t="inlineStr">
        <is>
          <t>異常系</t>
        </is>
      </c>
      <c r="B7" s="10">
        <f>COUNTIF(観点表!$D$5:$D$90,"異常系")</f>
        <v/>
      </c>
    </row>
    <row r="9">
      <c r="A9" s="8" t="inlineStr">
        <is>
          <t>技法別</t>
        </is>
      </c>
      <c r="B9" s="9" t="n"/>
      <c r="C9" s="9" t="n"/>
    </row>
    <row r="10">
      <c r="A10" s="10" t="inlineStr">
        <is>
          <t>エラー処理</t>
        </is>
      </c>
      <c r="B10" s="10">
        <f>COUNTIF(観点表!$E$5:$E$90,"エラー処理")</f>
        <v/>
      </c>
    </row>
    <row r="11">
      <c r="A11" s="10" t="inlineStr">
        <is>
          <t>依存</t>
        </is>
      </c>
      <c r="B11" s="10">
        <f>COUNTIF(観点表!$E$5:$E$90,"依存")</f>
        <v/>
      </c>
    </row>
    <row r="12">
      <c r="A12" s="10" t="inlineStr">
        <is>
          <t>分岐網羅</t>
        </is>
      </c>
      <c r="B12" s="10">
        <f>COUNTIF(観点表!$E$5:$E$90,"分岐網羅")</f>
        <v/>
      </c>
    </row>
    <row r="13">
      <c r="A13" s="10" t="inlineStr">
        <is>
          <t>同値分割</t>
        </is>
      </c>
      <c r="B13" s="10">
        <f>COUNTIF(観点表!$E$5:$E$90,"同値分割")</f>
        <v/>
      </c>
    </row>
    <row r="14">
      <c r="A14" s="10" t="inlineStr">
        <is>
          <t>境界値</t>
        </is>
      </c>
      <c r="B14" s="10">
        <f>COUNTIF(観点表!$E$5:$E$90,"境界値")</f>
        <v/>
      </c>
    </row>
    <row r="15">
      <c r="A15" s="10" t="inlineStr">
        <is>
          <t>開発者テスト</t>
        </is>
      </c>
      <c r="B15" s="10">
        <f>COUNTIF(観点表!$E$5:$E$90,"開発者テスト")</f>
        <v/>
      </c>
    </row>
    <row r="17">
      <c r="A17" s="8" t="inlineStr">
        <is>
          <t>テストデータ</t>
        </is>
      </c>
      <c r="B17" s="9" t="n"/>
      <c r="C17" s="9" t="n"/>
    </row>
    <row r="18">
      <c r="A18" s="10" t="inlineStr">
        <is>
          <t>作成済み</t>
        </is>
      </c>
      <c r="B18" s="10">
        <f>COUNTIF(観点表!$K$5:$K$90,"?*")</f>
        <v/>
      </c>
    </row>
    <row r="19">
      <c r="A19" s="10" t="inlineStr">
        <is>
          <t>未作成</t>
        </is>
      </c>
      <c r="B19" s="10">
        <f>B5-B18</f>
        <v/>
      </c>
    </row>
    <row r="21">
      <c r="A21" s="8" t="inlineStr">
        <is>
          <t>実施状況</t>
        </is>
      </c>
      <c r="B21" s="9" t="n"/>
      <c r="C21" s="9" t="n"/>
    </row>
    <row r="22">
      <c r="A22" s="10" t="inlineStr">
        <is>
          <t>未実施</t>
        </is>
      </c>
      <c r="B22" s="10">
        <f>COUNTIF(観点表!$N$5:$N$90,"未実施")</f>
        <v/>
      </c>
    </row>
    <row r="23">
      <c r="A23" s="10" t="inlineStr">
        <is>
          <t>OK</t>
        </is>
      </c>
      <c r="B23" s="10">
        <f>COUNTIF(観点表!$N$5:$N$90,"OK")</f>
        <v/>
      </c>
    </row>
    <row r="24">
      <c r="A24" s="10" t="inlineStr">
        <is>
          <t>NG</t>
        </is>
      </c>
      <c r="B24" s="10">
        <f>COUNTIF(観点表!$N$5:$N$90,"NG")</f>
        <v/>
      </c>
    </row>
    <row r="25">
      <c r="A25" s="10" t="inlineStr">
        <is>
          <t>保留</t>
        </is>
      </c>
      <c r="B25" s="10">
        <f>COUNTIF(観点表!$N$5:$N$90,"保留")</f>
        <v/>
      </c>
    </row>
    <row r="26">
      <c r="A26" s="10" t="inlineStr">
        <is>
          <t>対象外</t>
        </is>
      </c>
      <c r="B26" s="10">
        <f>COUNTIF(観点表!$N$5:$N$90,"対象外")</f>
        <v/>
      </c>
    </row>
    <row r="27">
      <c r="A27" s="10" t="inlineStr">
        <is>
          <t>消化率（未実施以外 / 総数）</t>
        </is>
      </c>
      <c r="B27" s="11">
        <f>IF(B5=0,0,(B5-B22)/B5)</f>
        <v/>
      </c>
    </row>
    <row r="28">
      <c r="A28" s="10" t="inlineStr">
        <is>
          <t>合格率（OK / (総数-対象外)）</t>
        </is>
      </c>
      <c r="B28" s="11">
        <f>IF(B5-B26=0,0,B23/(B5-B26))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9" customWidth="1" min="3" max="3"/>
    <col width="22" customWidth="1" min="4" max="4"/>
    <col width="40" customWidth="1" min="5" max="5"/>
    <col width="30" customWidth="1" min="6" max="6"/>
  </cols>
  <sheetData>
    <row r="1">
      <c r="A1" s="1" t="inlineStr">
        <is>
          <t>テストデータ一覧</t>
        </is>
      </c>
    </row>
    <row r="2">
      <c r="A2" s="2" t="inlineStr">
        <is>
          <t>観点表の各ケースで使う具体値を項目単位に展開したもの（参照用。編集は観点表の「テストデータ（具体値）」列で行う）。</t>
        </is>
      </c>
    </row>
    <row r="4">
      <c r="A4" s="12" t="inlineStr">
        <is>
          <t>ID</t>
        </is>
      </c>
      <c r="B4" s="12" t="inlineStr">
        <is>
          <t>観点</t>
        </is>
      </c>
      <c r="C4" s="12" t="inlineStr">
        <is>
          <t>区分</t>
        </is>
      </c>
      <c r="D4" s="12" t="inlineStr">
        <is>
          <t>項目</t>
        </is>
      </c>
      <c r="E4" s="12" t="inlineStr">
        <is>
          <t>値</t>
        </is>
      </c>
      <c r="F4" s="12" t="inlineStr">
        <is>
          <t>データ参照</t>
        </is>
      </c>
    </row>
    <row r="5">
      <c r="A5" s="13" t="inlineStr">
        <is>
          <t>TC-NOUS63_DEV-07</t>
        </is>
      </c>
      <c r="B5" s="13" t="inlineStr">
        <is>
          <t>指定ミリ秒だけ待ち、待ち中の signal の abort で CancelledError</t>
        </is>
      </c>
      <c r="C5" s="13" t="inlineStr">
        <is>
          <t>未作成</t>
        </is>
      </c>
      <c r="D5" s="13" t="inlineStr"/>
      <c r="E5" s="13" t="inlineStr"/>
      <c r="F5" s="13" t="inlineStr"/>
    </row>
    <row r="6">
      <c r="A6" s="13" t="inlineStr">
        <is>
          <t>TC-NOUS63_DEV-08</t>
        </is>
      </c>
      <c r="B6" s="13" t="inlineStr">
        <is>
          <t>1 回目で成功したら試行を記録せず attemptNo=1 を返す</t>
        </is>
      </c>
      <c r="C6" s="13" t="inlineStr">
        <is>
          <t>未作成</t>
        </is>
      </c>
      <c r="D6" s="13" t="inlineStr"/>
      <c r="E6" s="13" t="inlineStr"/>
      <c r="F6" s="13" t="inlineStr"/>
    </row>
    <row r="7">
      <c r="A7" s="13" t="inlineStr">
        <is>
          <t>TC-NOUS63_DEV-09</t>
        </is>
      </c>
      <c r="B7" s="13" t="inlineStr">
        <is>
          <t>timeout→429(3040)→成功。30 秒・120 秒の順に待ち attemptNo=3</t>
        </is>
      </c>
      <c r="C7" s="13" t="inlineStr">
        <is>
          <t>未作成</t>
        </is>
      </c>
      <c r="D7" s="13" t="inlineStr"/>
      <c r="E7" s="13" t="inlineStr"/>
      <c r="F7" s="13" t="inlineStr"/>
    </row>
    <row r="8">
      <c r="A8" s="13" t="inlineStr">
        <is>
          <t>TC-NOUS63_DEV-10</t>
        </is>
      </c>
      <c r="B8" s="13" t="inlineStr">
        <is>
          <t>3 回目も一時的な失敗なら最後の種類の TemporaryFailureError</t>
        </is>
      </c>
      <c r="C8" s="13" t="inlineStr">
        <is>
          <t>未作成</t>
        </is>
      </c>
      <c r="D8" s="13" t="inlineStr"/>
      <c r="E8" s="13" t="inlineStr"/>
      <c r="F8" s="13" t="inlineStr"/>
    </row>
    <row r="9">
      <c r="A9" s="13" t="inlineStr">
        <is>
          <t>TC-NOUS63_DEV-11</t>
        </is>
      </c>
      <c r="B9" s="13" t="inlineStr">
        <is>
          <t>3036 と 401 は再試行せずに投げる</t>
        </is>
      </c>
      <c r="C9" s="13" t="inlineStr">
        <is>
          <t>未作成</t>
        </is>
      </c>
      <c r="D9" s="13" t="inlineStr"/>
      <c r="E9" s="13" t="inlineStr"/>
      <c r="F9" s="13" t="inlineStr"/>
    </row>
    <row r="10">
      <c r="A10" s="13" t="inlineStr">
        <is>
          <t>TC-NOUS63_DEV-12</t>
        </is>
      </c>
      <c r="B10" s="13" t="inlineStr">
        <is>
          <t>待ちの後に shouldContinue=false か日次上限で StoppedError</t>
        </is>
      </c>
      <c r="C10" s="13" t="inlineStr">
        <is>
          <t>未作成</t>
        </is>
      </c>
      <c r="D10" s="13" t="inlineStr"/>
      <c r="E10" s="13" t="inlineStr"/>
      <c r="F10" s="13" t="inlineStr"/>
    </row>
    <row r="11">
      <c r="A11" s="13" t="inlineStr">
        <is>
          <t>TC-NOUS63_DEV-13</t>
        </is>
      </c>
      <c r="B11" s="13" t="inlineStr">
        <is>
          <t>試行番号が 4 なら 1 回だけ、5 なら呼ばずに TemporaryFailureError</t>
        </is>
      </c>
      <c r="C11" s="13" t="inlineStr">
        <is>
          <t>未作成</t>
        </is>
      </c>
      <c r="D11" s="13" t="inlineStr"/>
      <c r="E11" s="13" t="inlineStr"/>
      <c r="F11" s="13" t="inlineStr"/>
    </row>
    <row r="12">
      <c r="A12" s="13" t="inlineStr">
        <is>
          <t>TC-NOUS63_DEV-14</t>
        </is>
      </c>
      <c r="B12" s="13" t="inlineStr">
        <is>
          <t>LLM の CancelledError は cancelled を記録して投げ直す</t>
        </is>
      </c>
      <c r="C12" s="13" t="inlineStr">
        <is>
          <t>未作成</t>
        </is>
      </c>
      <c r="D12" s="13" t="inlineStr"/>
      <c r="E12" s="13" t="inlineStr"/>
      <c r="F12" s="13" t="inlineStr"/>
    </row>
    <row r="13">
      <c r="A13" s="13" t="inlineStr">
        <is>
          <t>TC-NOUS83_DEV-01</t>
        </is>
      </c>
      <c r="B13" s="13" t="inlineStr">
        <is>
          <t>待つ前・待ち中の stopSignal で StoppedError</t>
        </is>
      </c>
      <c r="C13" s="13" t="inlineStr">
        <is>
          <t>未作成</t>
        </is>
      </c>
      <c r="D13" s="13" t="inlineStr"/>
      <c r="E13" s="13" t="inlineStr"/>
      <c r="F13" s="13" t="inlineStr"/>
    </row>
    <row r="14">
      <c r="A14" s="13" t="inlineStr">
        <is>
          <t>TC-NOUS83_DEV-02</t>
        </is>
      </c>
      <c r="B14" s="13" t="inlineStr">
        <is>
          <t>signal と stopSignal の両方なら signal を優先</t>
        </is>
      </c>
      <c r="C14" s="13" t="inlineStr">
        <is>
          <t>未作成</t>
        </is>
      </c>
      <c r="D14" s="13" t="inlineStr"/>
      <c r="E14" s="13" t="inlineStr"/>
      <c r="F14" s="13" t="inlineStr"/>
    </row>
    <row r="15">
      <c r="A15" s="13" t="inlineStr">
        <is>
          <t>TC-NOUS83_DEV-03</t>
        </is>
      </c>
      <c r="B15" s="13" t="inlineStr">
        <is>
          <t>待ち中の stopSignal で時計を進めずに StoppedError、試行 1 件（AC-P06）</t>
        </is>
      </c>
      <c r="C15" s="13" t="inlineStr">
        <is>
          <t>未作成</t>
        </is>
      </c>
      <c r="D15" s="13" t="inlineStr"/>
      <c r="E15" s="13" t="inlineStr"/>
      <c r="F15" s="13" t="inlineStr"/>
    </row>
    <row r="16">
      <c r="A16" s="13" t="inlineStr">
        <is>
          <t>TC-NOUS83_DEV-04</t>
        </is>
      </c>
      <c r="B16" s="13" t="inlineStr">
        <is>
          <t>stopSignal が無ければ従来どおり待って再試行</t>
        </is>
      </c>
      <c r="C16" s="13" t="inlineStr">
        <is>
          <t>未作成</t>
        </is>
      </c>
      <c r="D16" s="13" t="inlineStr"/>
      <c r="E16" s="13" t="inlineStr"/>
      <c r="F16" s="13" t="inlineStr"/>
    </row>
    <row r="17">
      <c r="A17" s="13" t="inlineStr">
        <is>
          <t>TC-NOUS83_DEV-05</t>
        </is>
      </c>
      <c r="B17" s="13" t="inlineStr">
        <is>
          <t>呼び出し中の stopSignal では呼び出しの完了を待つ</t>
        </is>
      </c>
      <c r="C17" s="13" t="inlineStr">
        <is>
          <t>未作成</t>
        </is>
      </c>
      <c r="D17" s="13" t="inlineStr"/>
      <c r="E17" s="13" t="inlineStr"/>
      <c r="F17" s="13" t="inlineStr"/>
    </row>
    <row r="18">
      <c r="A18" s="13" t="inlineStr">
        <is>
          <t>TC-UT_RTY-001</t>
        </is>
      </c>
      <c r="B18" s="13" t="inlineStr">
        <is>
          <t>待つ前に signal が abort 済みなら sleep を張らずに CancelledError</t>
        </is>
      </c>
      <c r="C18" s="13" t="inlineStr">
        <is>
          <t>未作成</t>
        </is>
      </c>
      <c r="D18" s="13" t="inlineStr"/>
      <c r="E18" s="13" t="inlineStr"/>
      <c r="F18" s="13" t="inlineStr"/>
    </row>
    <row r="19">
      <c r="A19" s="13" t="inlineStr">
        <is>
          <t>TC-UT_RTY-002</t>
        </is>
      </c>
      <c r="B19" s="13" t="inlineStr">
        <is>
          <t>sleep が abort 以外で失敗したら、その例外をそのまま投げる</t>
        </is>
      </c>
      <c r="C19" s="13" t="inlineStr">
        <is>
          <t>未作成</t>
        </is>
      </c>
      <c r="D19" s="13" t="inlineStr"/>
      <c r="E19" s="13" t="inlineStr"/>
      <c r="F19" s="13" t="inlineStr"/>
    </row>
    <row r="20">
      <c r="A20" s="13" t="inlineStr">
        <is>
          <t>TC-UT_RTY-003</t>
        </is>
      </c>
      <c r="B20" s="13" t="inlineStr">
        <is>
          <t>sleep が終わった時点で signal が abort されていれば CancelledError</t>
        </is>
      </c>
      <c r="C20" s="13" t="inlineStr">
        <is>
          <t>未作成</t>
        </is>
      </c>
      <c r="D20" s="13" t="inlineStr"/>
      <c r="E20" s="13" t="inlineStr"/>
      <c r="F20" s="13" t="inlineStr"/>
    </row>
    <row r="21">
      <c r="A21" s="13" t="inlineStr">
        <is>
          <t>TC-UT_RTY-004</t>
        </is>
      </c>
      <c r="B21" s="13" t="inlineStr">
        <is>
          <t>sleep が終わった時点で stopSignal が abort されていれば StoppedError</t>
        </is>
      </c>
      <c r="C21" s="13" t="inlineStr">
        <is>
          <t>未作成</t>
        </is>
      </c>
      <c r="D21" s="13" t="inlineStr"/>
      <c r="E21" s="13" t="inlineStr"/>
      <c r="F21" s="13" t="inlineStr"/>
    </row>
    <row r="22">
      <c r="A22" s="13" t="inlineStr">
        <is>
          <t>TC-UT_RTY-005</t>
        </is>
      </c>
      <c r="B22" s="13" t="inlineStr">
        <is>
          <t>1 回目の失敗の後、29,999 ミリ秒では呼ばず 30,000 ミリ秒で 2 回目を呼ぶ</t>
        </is>
      </c>
      <c r="C22" s="13" t="inlineStr">
        <is>
          <t>未作成</t>
        </is>
      </c>
      <c r="D22" s="13" t="inlineStr"/>
      <c r="E22" s="13" t="inlineStr"/>
      <c r="F22" s="13" t="inlineStr"/>
    </row>
    <row r="23">
      <c r="A23" s="13" t="inlineStr">
        <is>
          <t>TC-UT_RTY-006</t>
        </is>
      </c>
      <c r="B23" s="13" t="inlineStr">
        <is>
          <t>2 回目の失敗の後、119,999 ミリ秒では呼ばず 120,000 ミリ秒で 3 回目を呼ぶ</t>
        </is>
      </c>
      <c r="C23" s="13" t="inlineStr">
        <is>
          <t>未作成</t>
        </is>
      </c>
      <c r="D23" s="13" t="inlineStr"/>
      <c r="E23" s="13" t="inlineStr"/>
      <c r="F23" s="13" t="inlineStr"/>
    </row>
    <row r="24">
      <c r="A24" s="13" t="inlineStr">
        <is>
          <t>TC-UT_RTY-007</t>
        </is>
      </c>
      <c r="B24" s="13" t="inlineStr">
        <is>
          <t>再試行の対象の失敗（timeout・429(3040)・500・502・503・success=false）は 30 秒待って再試行し、1 回目の試行をその種類で記録する</t>
        </is>
      </c>
      <c r="C24" s="13" t="inlineStr">
        <is>
          <t>未作成</t>
        </is>
      </c>
      <c r="D24" s="13" t="inlineStr"/>
      <c r="E24" s="13" t="inlineStr"/>
      <c r="F24" s="13" t="inlineStr"/>
    </row>
    <row r="25">
      <c r="A25" s="13" t="inlineStr">
        <is>
          <t>TC-UT_RTY-008</t>
        </is>
      </c>
      <c r="B25" s="13" t="inlineStr">
        <is>
          <t>400 は再試行せずに server_error の TemporaryFailureError</t>
        </is>
      </c>
      <c r="C25" s="13" t="inlineStr">
        <is>
          <t>未作成</t>
        </is>
      </c>
      <c r="D25" s="13" t="inlineStr"/>
      <c r="E25" s="13" t="inlineStr"/>
      <c r="F25" s="13" t="inlineStr"/>
    </row>
    <row r="26">
      <c r="A26" s="13" t="inlineStr">
        <is>
          <t>TC-UT_RTY-009</t>
        </is>
      </c>
      <c r="B26" s="13" t="inlineStr">
        <is>
          <t>3036 は待たずに FreeTierExceededError を投げ、試行を free_tier で記録し daily_usage を 1 回分加算する</t>
        </is>
      </c>
      <c r="C26" s="13" t="inlineStr">
        <is>
          <t>未作成</t>
        </is>
      </c>
      <c r="D26" s="13" t="inlineStr"/>
      <c r="E26" s="13" t="inlineStr"/>
      <c r="F26" s="13" t="inlineStr"/>
    </row>
    <row r="27">
      <c r="A27" s="13" t="inlineStr">
        <is>
          <t>TC-UT_RTY-010</t>
        </is>
      </c>
      <c r="B27" s="13" t="inlineStr">
        <is>
          <t>LlmError でない例外は試行を記録せずにそのまま投げる</t>
        </is>
      </c>
      <c r="C27" s="13" t="inlineStr">
        <is>
          <t>未作成</t>
        </is>
      </c>
      <c r="D27" s="13" t="inlineStr"/>
      <c r="E27" s="13" t="inlineStr"/>
      <c r="F27" s="13" t="inlineStr"/>
    </row>
    <row r="28">
      <c r="A28" s="13" t="inlineStr">
        <is>
          <t>TC-UT_RTY-011</t>
        </is>
      </c>
      <c r="B28" s="13" t="inlineStr">
        <is>
          <t>呼び出しが InvalidFormatError を投げたら再試行せず server_error の TemporaryFailureError</t>
        </is>
      </c>
      <c r="C28" s="13" t="inlineStr">
        <is>
          <t>未作成</t>
        </is>
      </c>
      <c r="D28" s="13" t="inlineStr"/>
      <c r="E28" s="13" t="inlineStr"/>
      <c r="F28" s="13" t="inlineStr"/>
    </row>
    <row r="29">
      <c r="A29" s="13" t="inlineStr">
        <is>
          <t>TC-UT_RTY-012</t>
        </is>
      </c>
      <c r="B29" s="13" t="inlineStr">
        <is>
          <t>待ちの後、Neurons が日次上限の手前（99.9／100）なら再試行する</t>
        </is>
      </c>
      <c r="C29" s="13" t="inlineStr">
        <is>
          <t>未作成</t>
        </is>
      </c>
      <c r="D29" s="13" t="inlineStr"/>
      <c r="E29" s="13" t="inlineStr"/>
      <c r="F29" s="13" t="inlineStr"/>
    </row>
    <row r="30">
      <c r="A30" s="13" t="inlineStr">
        <is>
          <t>TC-UT_RTY-013</t>
        </is>
      </c>
      <c r="B30" s="13" t="inlineStr">
        <is>
          <t>待ちの後、Neurons が日次上限ちょうど（100／100）なら呼ばずに StoppedError</t>
        </is>
      </c>
      <c r="C30" s="13" t="inlineStr">
        <is>
          <t>未作成</t>
        </is>
      </c>
      <c r="D30" s="13" t="inlineStr"/>
      <c r="E30" s="13" t="inlineStr"/>
      <c r="F30" s="13" t="inlineStr"/>
    </row>
    <row r="31">
      <c r="A31" s="13" t="inlineStr">
        <is>
          <t>TC-UT_RTY-014</t>
        </is>
      </c>
      <c r="B31" s="13" t="inlineStr">
        <is>
          <t>world_settings が無いときは ctx.settings の上限で判定し、上限なら StoppedError</t>
        </is>
      </c>
      <c r="C31" s="13" t="inlineStr">
        <is>
          <t>未作成</t>
        </is>
      </c>
      <c r="D31" s="13" t="inlineStr"/>
      <c r="E31" s="13" t="inlineStr"/>
      <c r="F31" s="13" t="inlineStr"/>
    </row>
    <row r="32">
      <c r="A32" s="13" t="inlineStr">
        <is>
          <t>TC-UT_RTY-015</t>
        </is>
      </c>
      <c r="B32" s="13" t="inlineStr">
        <is>
          <t>world_settings も ctx.settings も無いときは上限を見ずに再試行する</t>
        </is>
      </c>
      <c r="C32" s="13" t="inlineStr">
        <is>
          <t>未作成</t>
        </is>
      </c>
      <c r="D32" s="13" t="inlineStr"/>
      <c r="E32" s="13" t="inlineStr"/>
      <c r="F32" s="13" t="inlineStr"/>
    </row>
    <row r="33">
      <c r="A33" s="13" t="inlineStr">
        <is>
          <t>TC-UT_RTY-016</t>
        </is>
      </c>
      <c r="B33" s="13" t="inlineStr">
        <is>
          <t>startAttemptNo=3 なら 3 回目と 4 回目の 2 回だけ呼ぶ</t>
        </is>
      </c>
      <c r="C33" s="13" t="inlineStr">
        <is>
          <t>未作成</t>
        </is>
      </c>
      <c r="D33" s="13" t="inlineStr"/>
      <c r="E33" s="13" t="inlineStr"/>
      <c r="F33" s="13" t="inlineStr"/>
    </row>
    <row r="34">
      <c r="A34" s="13" t="inlineStr">
        <is>
          <t>TC-UT_RTY-017</t>
        </is>
      </c>
      <c r="B34" s="13" t="inlineStr">
        <is>
          <t>呼ぶ前に signal が abort 済みなら、呼ばず・記録せずに CancelledError</t>
        </is>
      </c>
      <c r="C34" s="13" t="inlineStr">
        <is>
          <t>未作成</t>
        </is>
      </c>
      <c r="D34" s="13" t="inlineStr"/>
      <c r="E34" s="13" t="inlineStr"/>
      <c r="F34" s="13" t="inlineStr"/>
    </row>
    <row r="35">
      <c r="A35" s="13" t="inlineStr">
        <is>
          <t>TC-UT_RTY-018</t>
        </is>
      </c>
      <c r="B35" s="13" t="inlineStr">
        <is>
          <t>呼び出し中に signal が abort され TimeoutError で終わったら cancelled で記録して CancelledError</t>
        </is>
      </c>
      <c r="C35" s="13" t="inlineStr">
        <is>
          <t>未作成</t>
        </is>
      </c>
      <c r="D35" s="13" t="inlineStr"/>
      <c r="E35" s="13" t="inlineStr"/>
      <c r="F35" s="13" t="inlineStr"/>
    </row>
    <row r="36">
      <c r="A36" s="13" t="inlineStr">
        <is>
          <t>TC-UT_RTY-019</t>
        </is>
      </c>
      <c r="B36" s="13" t="inlineStr">
        <is>
          <t>呼び出しが成功した直後に signal が abort されていたら CancelledError、試行は記録しない</t>
        </is>
      </c>
      <c r="C36" s="13" t="inlineStr">
        <is>
          <t>未作成</t>
        </is>
      </c>
      <c r="D36" s="13" t="inlineStr"/>
      <c r="E36" s="13" t="inlineStr"/>
      <c r="F36" s="13" t="inlineStr"/>
    </row>
    <row r="37">
      <c r="A37" s="13" t="inlineStr">
        <is>
          <t>TC-UT_RTY-020</t>
        </is>
      </c>
      <c r="B37" s="13" t="inlineStr">
        <is>
          <t>再試行の待ちの途中で signal が abort されたら、2 回目を呼ばずに CancelledError</t>
        </is>
      </c>
      <c r="C37" s="13" t="inlineStr">
        <is>
          <t>未作成</t>
        </is>
      </c>
      <c r="D37" s="13" t="inlineStr"/>
      <c r="E37" s="13" t="inlineStr"/>
      <c r="F37" s="13" t="inlineStr"/>
    </row>
    <row r="38">
      <c r="A38" s="13" t="inlineStr">
        <is>
          <t>TC-UT_RTY-021</t>
        </is>
      </c>
      <c r="B38" s="13" t="inlineStr">
        <is>
          <t>呼び出し中に stopSignal が abort され、その呼び出しが一時的な失敗なら、待たずに StoppedError（AC-P06）</t>
        </is>
      </c>
      <c r="C38" s="13" t="inlineStr">
        <is>
          <t>未作成</t>
        </is>
      </c>
      <c r="D38" s="13" t="inlineStr"/>
      <c r="E38" s="13" t="inlineStr"/>
      <c r="F38" s="13" t="inlineStr"/>
    </row>
    <row r="39">
      <c r="A39" s="13" t="inlineStr">
        <is>
          <t>TC-UT_RTY-022</t>
        </is>
      </c>
      <c r="B39" s="13" t="inlineStr">
        <is>
          <t>失敗した試行は warn のログに eventId・attemptNo・kind・httpStatus を出す</t>
        </is>
      </c>
      <c r="C39" s="13" t="inlineStr">
        <is>
          <t>未作成</t>
        </is>
      </c>
      <c r="D39" s="13" t="inlineStr"/>
      <c r="E39" s="13" t="inlineStr"/>
      <c r="F39" s="13" t="inlineStr"/>
    </row>
    <row r="40">
      <c r="A40" s="13" t="inlineStr">
        <is>
          <t>TC-UT_RTY-023</t>
        </is>
      </c>
      <c r="B40" s="13" t="inlineStr">
        <is>
          <t>取り消しの例外か signal の abort を取り消しと判定する</t>
        </is>
      </c>
      <c r="C40" s="13" t="inlineStr">
        <is>
          <t>未作成</t>
        </is>
      </c>
      <c r="D40" s="13" t="inlineStr"/>
      <c r="E40" s="13" t="inlineStr"/>
      <c r="F40" s="13" t="inlineStr"/>
    </row>
  </sheetData>
  <autoFilter ref="A4:F40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>
      <c r="A1" s="1" t="inlineStr">
        <is>
          <t>対象概要</t>
        </is>
      </c>
    </row>
    <row r="3">
      <c r="A3" s="14" t="inlineStr">
        <is>
          <t>タイトル</t>
        </is>
      </c>
      <c r="B3" s="15" t="inlineStr">
        <is>
          <t>再試行と待機・停止判定（generation/retryPolicy.ts）</t>
        </is>
      </c>
    </row>
    <row r="4">
      <c r="A4" s="14" t="inlineStr">
        <is>
          <t>対象ファイル</t>
        </is>
      </c>
      <c r="B4" s="15" t="inlineStr">
        <is>
          <t>apps/server/src/generation/retryPolicy.ts</t>
        </is>
      </c>
    </row>
    <row r="5">
      <c r="A5" s="14" t="inlineStr">
        <is>
          <t>言語 / フレームワーク</t>
        </is>
      </c>
      <c r="B5" s="15" t="inlineStr">
        <is>
          <t>TypeScript / Vitest 2.1.9（environment: node）</t>
        </is>
      </c>
    </row>
    <row r="6">
      <c r="A6" s="14" t="inlineStr">
        <is>
          <t>テストファイル</t>
        </is>
      </c>
      <c r="B6" s="15" t="inlineStr">
        <is>
          <t>apps/server/src/generation/retryPolicy.test.ts（実装時、NOUS-63・83）, apps/server/src/generation/retryPolicy.ut.test.ts（単体テストで追加）</t>
        </is>
      </c>
    </row>
    <row r="7">
      <c r="A7" s="14" t="inlineStr">
        <is>
          <t>外部依存</t>
        </is>
      </c>
      <c r="B7" s="15" t="inlineStr">
        <is>
          <t>DB（generation_attempts・daily_usage・world_settings）, 時計（Clock.sleep・now）, LLM の呼び出し（引数の関数で差し替え）, AbortSignal（緊急停止の signal・待ちだけを打ち切る stopSignal）, ロガー</t>
        </is>
      </c>
    </row>
    <row r="8">
      <c r="A8" s="14" t="inlineStr">
        <is>
          <t>作成日</t>
        </is>
      </c>
      <c r="B8" s="15" t="inlineStr">
        <is>
          <t>2026-10-23</t>
        </is>
      </c>
    </row>
    <row r="10">
      <c r="A10" s="16" t="inlineStr">
        <is>
          <t>分岐ID</t>
        </is>
      </c>
      <c r="B10" s="16" t="inlineStr">
        <is>
          <t>条件</t>
        </is>
      </c>
      <c r="C10" s="16" t="inlineStr">
        <is>
          <t>場所</t>
        </is>
      </c>
    </row>
    <row r="11">
      <c r="A11" s="17" t="inlineStr">
        <is>
          <t>B1</t>
        </is>
      </c>
      <c r="B11" s="17" t="inlineStr">
        <is>
          <t>isCancellation：signal?.aborted</t>
        </is>
      </c>
      <c r="C11" s="17" t="inlineStr">
        <is>
          <t>retryPolicy.ts:81</t>
        </is>
      </c>
    </row>
    <row r="12">
      <c r="A12" s="17" t="inlineStr">
        <is>
          <t>B2</t>
        </is>
      </c>
      <c r="B12" s="17" t="inlineStr">
        <is>
          <t>isCancellation：時計か LLM の CancelledError</t>
        </is>
      </c>
      <c r="C12" s="17" t="inlineStr">
        <is>
          <t>retryPolicy.ts:82</t>
        </is>
      </c>
    </row>
    <row r="13">
      <c r="A13" s="17" t="inlineStr">
        <is>
          <t>B3</t>
        </is>
      </c>
      <c r="B13" s="17" t="inlineStr">
        <is>
          <t>waitOrStop：待つ前に signal.aborted</t>
        </is>
      </c>
      <c r="C13" s="17" t="inlineStr">
        <is>
          <t>retryPolicy.ts:94</t>
        </is>
      </c>
    </row>
    <row r="14">
      <c r="A14" s="17" t="inlineStr">
        <is>
          <t>B4</t>
        </is>
      </c>
      <c r="B14" s="17" t="inlineStr">
        <is>
          <t>waitOrStop：待つ前に stopSignal?.aborted</t>
        </is>
      </c>
      <c r="C14" s="17" t="inlineStr">
        <is>
          <t>retryPolicy.ts:97</t>
        </is>
      </c>
    </row>
    <row r="15">
      <c r="A15" s="17" t="inlineStr">
        <is>
          <t>B5</t>
        </is>
      </c>
      <c r="B15" s="17" t="inlineStr">
        <is>
          <t>waitOrStop：stopSignal があれば AbortSignal.any で合成</t>
        </is>
      </c>
      <c r="C15" s="17" t="inlineStr">
        <is>
          <t>retryPolicy.ts:101</t>
        </is>
      </c>
    </row>
    <row r="16">
      <c r="A16" s="17" t="inlineStr">
        <is>
          <t>B6</t>
        </is>
      </c>
      <c r="B16" s="17" t="inlineStr">
        <is>
          <t>waitOrStop：sleep の失敗で signal.aborted</t>
        </is>
      </c>
      <c r="C16" s="17" t="inlineStr">
        <is>
          <t>retryPolicy.ts:106</t>
        </is>
      </c>
    </row>
    <row r="17">
      <c r="A17" s="17" t="inlineStr">
        <is>
          <t>B7</t>
        </is>
      </c>
      <c r="B17" s="17" t="inlineStr">
        <is>
          <t>waitOrStop：sleep の失敗で stopSignal?.aborted（偽ならそのまま投げる）</t>
        </is>
      </c>
      <c r="C17" s="17" t="inlineStr">
        <is>
          <t>retryPolicy.ts:109-112</t>
        </is>
      </c>
    </row>
    <row r="18">
      <c r="A18" s="17" t="inlineStr">
        <is>
          <t>B8</t>
        </is>
      </c>
      <c r="B18" s="17" t="inlineStr">
        <is>
          <t>waitOrStop：待った後に signal.aborted</t>
        </is>
      </c>
      <c r="C18" s="17" t="inlineStr">
        <is>
          <t>retryPolicy.ts:115</t>
        </is>
      </c>
    </row>
    <row r="19">
      <c r="A19" s="17" t="inlineStr">
        <is>
          <t>B9</t>
        </is>
      </c>
      <c r="B19" s="17" t="inlineStr">
        <is>
          <t>waitOrStop：待った後に stopSignal?.aborted</t>
        </is>
      </c>
      <c r="C19" s="17" t="inlineStr">
        <is>
          <t>retryPolicy.ts:118</t>
        </is>
      </c>
    </row>
    <row r="20">
      <c r="A20" s="17" t="inlineStr">
        <is>
          <t>B10</t>
        </is>
      </c>
      <c r="B20" s="17" t="inlineStr">
        <is>
          <t>loadLimitsSettings：world_settings の行がある（偽なら fallback ?? null）</t>
        </is>
      </c>
      <c r="C20" s="17" t="inlineStr">
        <is>
          <t>retryPolicy.ts:125-126</t>
        </is>
      </c>
    </row>
    <row r="21">
      <c r="A21" s="17" t="inlineStr">
        <is>
          <t>B11</t>
        </is>
      </c>
      <c r="B21" s="17" t="inlineStr">
        <is>
          <t>toTemporaryFailureKind：timeout か rate_limited（偽なら server_error）</t>
        </is>
      </c>
      <c r="C21" s="17" t="inlineStr">
        <is>
          <t>retryPolicy.ts:130</t>
        </is>
      </c>
    </row>
    <row r="22">
      <c r="A22" s="17" t="inlineStr">
        <is>
          <t>B12</t>
        </is>
      </c>
      <c r="B22" s="17" t="inlineStr">
        <is>
          <t>callWithRetry：attemptNo &gt; 4</t>
        </is>
      </c>
      <c r="C22" s="17" t="inlineStr">
        <is>
          <t>retryPolicy.ts:146</t>
        </is>
      </c>
    </row>
    <row r="23">
      <c r="A23" s="17" t="inlineStr">
        <is>
          <t>B13</t>
        </is>
      </c>
      <c r="B23" s="17" t="inlineStr">
        <is>
          <t>呼ぶ前に signal.aborted</t>
        </is>
      </c>
      <c r="C23" s="17" t="inlineStr">
        <is>
          <t>retryPolicy.ts:151</t>
        </is>
      </c>
    </row>
    <row r="24">
      <c r="A24" s="17" t="inlineStr">
        <is>
          <t>B14</t>
        </is>
      </c>
      <c r="B24" s="17" t="inlineStr">
        <is>
          <t>成功の後に signal.aborted</t>
        </is>
      </c>
      <c r="C24" s="17" t="inlineStr">
        <is>
          <t>retryPolicy.ts:161</t>
        </is>
      </c>
    </row>
    <row r="25">
      <c r="A25" s="17" t="inlineStr">
        <is>
          <t>B15</t>
        </is>
      </c>
      <c r="B25" s="17" t="inlineStr">
        <is>
          <t>失敗が取り消し（isCancellation）</t>
        </is>
      </c>
      <c r="C25" s="17" t="inlineStr">
        <is>
          <t>retryPolicy.ts:173</t>
        </is>
      </c>
    </row>
    <row r="26">
      <c r="A26" s="17" t="inlineStr">
        <is>
          <t>B16</t>
        </is>
      </c>
      <c r="B26" s="17" t="inlineStr">
        <is>
          <t>取り消しの例外の型がそのまま CancelledError（偽なら ClockCancelledError に変える）</t>
        </is>
      </c>
      <c r="C26" s="17" t="inlineStr">
        <is>
          <t>retryPolicy.ts:183</t>
        </is>
      </c>
    </row>
    <row r="27">
      <c r="A27" s="17" t="inlineStr">
        <is>
          <t>B17</t>
        </is>
      </c>
      <c r="B27" s="17" t="inlineStr">
        <is>
          <t>!isLlmError(err)</t>
        </is>
      </c>
      <c r="C27" s="17" t="inlineStr">
        <is>
          <t>retryPolicy.ts:189</t>
        </is>
      </c>
    </row>
    <row r="28">
      <c r="A28" s="17" t="inlineStr">
        <is>
          <t>B18</t>
        </is>
      </c>
      <c r="B28" s="17" t="inlineStr">
        <is>
          <t>FreeTierExceededError（3036）</t>
        </is>
      </c>
      <c r="C28" s="17" t="inlineStr">
        <is>
          <t>retryPolicy.ts:214</t>
        </is>
      </c>
    </row>
    <row r="29">
      <c r="A29" s="17" t="inlineStr">
        <is>
          <t>B19</t>
        </is>
      </c>
      <c r="B29" s="17" t="inlineStr">
        <is>
          <t>!err.retryable（400・401・invalid_format）</t>
        </is>
      </c>
      <c r="C29" s="17" t="inlineStr">
        <is>
          <t>retryPolicy.ts:220</t>
        </is>
      </c>
    </row>
    <row r="30">
      <c r="A30" s="17" t="inlineStr">
        <is>
          <t>B20</t>
        </is>
      </c>
      <c r="B30" s="17" t="inlineStr">
        <is>
          <t>最後の再試行か、試行が 4 に達した</t>
        </is>
      </c>
      <c r="C30" s="17" t="inlineStr">
        <is>
          <t>retryPolicy.ts:230</t>
        </is>
      </c>
    </row>
    <row r="31">
      <c r="A31" s="17" t="inlineStr">
        <is>
          <t>B21</t>
        </is>
      </c>
      <c r="B31" s="17" t="inlineStr">
        <is>
          <t>上限の設定がある（偽なら上限を見ない）</t>
        </is>
      </c>
      <c r="C31" s="17" t="inlineStr">
        <is>
          <t>retryPolicy.ts:243</t>
        </is>
      </c>
    </row>
    <row r="32">
      <c r="A32" s="17" t="inlineStr">
        <is>
          <t>B22</t>
        </is>
      </c>
      <c r="B32" s="17" t="inlineStr">
        <is>
          <t>!shouldContinue() || !withinLimits</t>
        </is>
      </c>
      <c r="C32" s="17" t="inlineStr">
        <is>
          <t>retryPolicy.ts:245</t>
        </is>
      </c>
    </row>
    <row r="34">
      <c r="A34" s="14" t="inlineStr">
        <is>
          <t>確認事項・潜在バグ</t>
        </is>
      </c>
    </row>
    <row r="35" ht="30" customHeight="1">
      <c r="A35" s="18" t="inlineStr">
        <is>
          <t>・確認事項 1：runs の上限ちょうど。この生成イベントの最初の試行で daily_usage.runs が上限に達すると、待ちの後の上限の確認で StoppedError になり、上限の中で始めた最後の 1 回が再試行できない（TC-NOUS63_DEV-12 がこの動きを期待している）。runs は「LLM を呼んだ生成イベントの数」なので、同じイベントの再試行は runs の上限で止めない方が設計の意図に近いと考える。仕様の確認を求める</t>
        </is>
      </c>
    </row>
    <row r="36" ht="30" customHeight="1">
      <c r="A36" s="18" t="inlineStr">
        <is>
          <t>・確認事項 2：呼び出しが成功した直後に signal が abort されると、試行を記録せずに CancelledError になる（TC-UT_RTY-019）。消費した Neurons が daily_usage に入らない。緊急停止のときだけで影響は小さい。設計書に記載がないため、テストは実装の値で書いた</t>
        </is>
      </c>
    </row>
    <row r="37" ht="30" customHeight="1">
      <c r="A37" s="18" t="inlineStr">
        <is>
          <t>・確認事項 3：TC-NOUS63_DEV-09・10・12、TC-NOUS83_DEV-04 は、callWithRetry を呼んだ直後に clock.advance するため、sleep が張られる前に時刻が進む可能性がある（FakeClock.advance は呼んだ時点のタイマーだけを解決する）。実施のときに落ちたら、テストの書き方の問題として切り分ける。UT ではタイマーが張られるのを待ってから進めている</t>
        </is>
      </c>
    </row>
    <row r="38" ht="30" customHeight="1">
      <c r="A38" s="18" t="inlineStr">
        <is>
          <t>・分岐 B12 の真（startAttemptNo が 5 以上）は TC-NOUS63_DEV-13 で通る。opportunityRunner からは 5 以上で呼ばれることはない</t>
        </is>
      </c>
    </row>
  </sheetData>
  <mergeCells count="4">
    <mergeCell ref="A35:C35"/>
    <mergeCell ref="A37:C37"/>
    <mergeCell ref="A38:C38"/>
    <mergeCell ref="A36:C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2026-10-23T07:22:38Z</dcterms:created>
  <dcterms:modified xsi:type="dcterms:W3CDTF">2026-10-23T07:22:38Z</dcterms:modified>
</cp:coreProperties>
</file>