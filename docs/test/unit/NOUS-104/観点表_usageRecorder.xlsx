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'観点表'!$A$4:$Q$23</definedName>
    <definedName name="_xlnm.Print_Titles" localSheetId="0">'観点表'!$4:$4</definedName>
    <definedName name="_xlnm._FilterDatabase" localSheetId="2" hidden="1">'テストデータ'!$A$4:$F$23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試行の記録と利用量の加算（generation/usageRecorder.ts）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TC-NOUS63_DEV-01</t>
        </is>
      </c>
      <c r="C5" s="5" t="inlineStr">
        <is>
          <t>recordAttempt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ok の 1 回目は試行・daily_usage・生成イベントを 1 トランザクションで更新する</t>
        </is>
      </c>
      <c r="G5" s="5" t="inlineStr">
        <is>
          <t>前提：一時 DB（createTestDb）
入力：result=ok、attemptNo=1</t>
        </is>
      </c>
      <c r="H5" s="5" t="inlineStr">
        <is>
          <t>試行 1 件、daily_usage calls=1・runs=1、生成イベントの合計</t>
        </is>
      </c>
      <c r="I5" s="5" t="inlineStr">
        <is>
          <t>B8-T, B9-F</t>
        </is>
      </c>
      <c r="J5" s="5" t="inlineStr">
        <is>
          <t>なし</t>
        </is>
      </c>
      <c r="K5" s="5" t="inlineStr"/>
      <c r="L5" s="5" t="inlineStr"/>
      <c r="M5" s="5" t="inlineStr">
        <is>
          <t>TC-NOUS63_DEV-01 recordAttempt（ok・1回目）は generation_attempts・daily_usage・generation_events を 1 トランザクションで更新する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既存テスト：実装時のテスト（NOUS-63）</t>
        </is>
      </c>
    </row>
    <row r="6">
      <c r="A6" s="4" t="n">
        <v>2</v>
      </c>
      <c r="B6" s="4" t="inlineStr">
        <is>
          <t>TC-NOUS63_DEV-02</t>
        </is>
      </c>
      <c r="C6" s="5" t="inlineStr">
        <is>
          <t>recordAttempt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失敗の試行はトークン・Neurons を 0、2 回目以降は runs を加算しない</t>
        </is>
      </c>
      <c r="G6" s="5" t="inlineStr">
        <is>
          <t>前提：一時 DB（createTestDb）
入力：timeout・invalid_format・ok</t>
        </is>
      </c>
      <c r="H6" s="5" t="inlineStr">
        <is>
          <t>calls=3・runs=1、トークン・Neurons は ok の分だけ</t>
        </is>
      </c>
      <c r="I6" s="5" t="inlineStr">
        <is>
          <t>B8-F, B9-F</t>
        </is>
      </c>
      <c r="J6" s="5" t="inlineStr">
        <is>
          <t>なし</t>
        </is>
      </c>
      <c r="K6" s="5" t="inlineStr"/>
      <c r="L6" s="5" t="inlineStr"/>
      <c r="M6" s="5" t="inlineStr">
        <is>
          <t>TC-NOUS63_DEV-02 失敗の試行はトークン・neurons を 0 で記録し、2 回目以降の試行では daily_usage.runs を増やさない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既存テスト：実装時のテスト（NOUS-63）
疑い：invalid_format の試行のトークン・Neurons を 0 とする期待値が、疑い 1 と食い違う</t>
        </is>
      </c>
    </row>
    <row r="7">
      <c r="A7" s="4" t="n">
        <v>3</v>
      </c>
      <c r="B7" s="4" t="inlineStr">
        <is>
          <t>TC-NOUS63_DEV-03</t>
        </is>
      </c>
      <c r="C7" s="5" t="inlineStr">
        <is>
          <t>clipErrorDetail / recordAttempt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error_detail を 500 コードポイントまでに切る</t>
        </is>
      </c>
      <c r="G7" s="5" t="inlineStr">
        <is>
          <t>前提：一時 DB（createTestDb）
入力：650 字の日本語、null</t>
        </is>
      </c>
      <c r="H7" s="5" t="inlineStr">
        <is>
          <t>500 字、null</t>
        </is>
      </c>
      <c r="I7" s="5" t="inlineStr">
        <is>
          <t>B1-T, B2-F</t>
        </is>
      </c>
      <c r="J7" s="5" t="inlineStr">
        <is>
          <t>なし</t>
        </is>
      </c>
      <c r="K7" s="5" t="inlineStr"/>
      <c r="L7" s="5" t="inlineStr"/>
      <c r="M7" s="5" t="inlineStr">
        <is>
          <t>TC-NOUS63_DEV-03 clipErrorDetail と recordAttempt は error_detail を 500 コードポイントまでに切り詰める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既存テスト：実装時のテスト（NOUS-63）</t>
        </is>
      </c>
    </row>
    <row r="8">
      <c r="A8" s="4" t="n">
        <v>4</v>
      </c>
      <c r="B8" s="4" t="inlineStr">
        <is>
          <t>TC-NOUS63_DEV-04</t>
        </is>
      </c>
      <c r="C8" s="5" t="inlineStr">
        <is>
          <t>addDailyUsage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複数のイベントにわたり calls と runs を積み上げる</t>
        </is>
      </c>
      <c r="G8" s="5" t="inlineStr">
        <is>
          <t>前提：一時 DB（createTestDb）
入力：isFirstOfEvent true・false・true</t>
        </is>
      </c>
      <c r="H8" s="5" t="inlineStr">
        <is>
          <t>calls=3・runs=2、トークン・Neurons の合計</t>
        </is>
      </c>
      <c r="I8" s="5" t="inlineStr">
        <is>
          <t>B3-F, B4-T</t>
        </is>
      </c>
      <c r="J8" s="5" t="inlineStr">
        <is>
          <t>なし</t>
        </is>
      </c>
      <c r="K8" s="5" t="inlineStr"/>
      <c r="L8" s="5" t="inlineStr"/>
      <c r="M8" s="5" t="inlineStr">
        <is>
          <t>TC-NOUS63_DEV-04 addDailyUsage は複数イベントにわたり calls と runs を正しく積み上げる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既存テスト：実装時のテスト（NOUS-63）</t>
        </is>
      </c>
    </row>
    <row r="9">
      <c r="A9" s="4" t="n">
        <v>5</v>
      </c>
      <c r="B9" s="4" t="inlineStr">
        <is>
          <t>TC-NOUS63_DEV-05</t>
        </is>
      </c>
      <c r="C9" s="5" t="inlineStr">
        <is>
          <t>addDailyMetrics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渡された列だけを加算し、他の列を保つ</t>
        </is>
      </c>
      <c r="G9" s="5" t="inlineStr">
        <is>
          <t>前提：一時 DB（createTestDb）
入力：6 回の加算</t>
        </is>
      </c>
      <c r="H9" s="5" t="inlineStr">
        <is>
          <t>各列の合計</t>
        </is>
      </c>
      <c r="I9" s="5" t="inlineStr">
        <is>
          <t>B5-T, B5-F, B6-F</t>
        </is>
      </c>
      <c r="J9" s="5" t="inlineStr">
        <is>
          <t>なし</t>
        </is>
      </c>
      <c r="K9" s="5" t="inlineStr"/>
      <c r="L9" s="5" t="inlineStr"/>
      <c r="M9" s="5" t="inlineStr">
        <is>
          <t>TC-NOUS63_DEV-05 addDailyMetrics は渡された列だけを加算し、他の列を維持する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既存テスト：実装時のテスト（NOUS-63）</t>
        </is>
      </c>
    </row>
    <row r="10">
      <c r="A10" s="4" t="n">
        <v>6</v>
      </c>
      <c r="B10" s="4" t="inlineStr">
        <is>
          <t>TC-NOUS63_DEV-06</t>
        </is>
      </c>
      <c r="C10" s="5" t="inlineStr">
        <is>
          <t>metricsForSucceededAction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行動ごとの daily_metrics の加算値</t>
        </is>
      </c>
      <c r="G10" s="5" t="inlineStr">
        <is>
          <t>前提：なし
入力：post・reply・like・follow・unfollow・none</t>
        </is>
      </c>
      <c r="H10" s="5" t="inlineStr">
        <is>
          <t>各加算値</t>
        </is>
      </c>
      <c r="I10" s="5" t="inlineStr">
        <is>
          <t>B7-T</t>
        </is>
      </c>
      <c r="J10" s="5" t="inlineStr">
        <is>
          <t>なし</t>
        </is>
      </c>
      <c r="K10" s="5" t="inlineStr"/>
      <c r="L10" s="5" t="inlineStr"/>
      <c r="M10" s="5" t="inlineStr">
        <is>
          <t>TC-NOUS63_DEV-06 metricsForSucceededAction は行動ごとの daily_metrics 加算値を返す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既存テスト：実装時のテスト（NOUS-63）</t>
        </is>
      </c>
    </row>
    <row r="11">
      <c r="A11" s="4" t="n">
        <v>7</v>
      </c>
      <c r="B11" s="4" t="inlineStr">
        <is>
          <t>TC-UT_USG-001</t>
        </is>
      </c>
      <c r="C11" s="5" t="inlineStr">
        <is>
          <t>clipErrorDetail</t>
        </is>
      </c>
      <c r="D11" s="4" t="inlineStr">
        <is>
          <t>正常系</t>
        </is>
      </c>
      <c r="E11" s="4" t="inlineStr">
        <is>
          <t>境界値</t>
        </is>
      </c>
      <c r="F11" s="5" t="inlineStr">
        <is>
          <t>500 字以下ならそのまま、501 字なら 500 字に切る</t>
        </is>
      </c>
      <c r="G11" s="5" t="inlineStr">
        <is>
          <t>前提：なし
入力：499・500・501 字</t>
        </is>
      </c>
      <c r="H11" s="5" t="inlineStr">
        <is>
          <t>499・500・500 字</t>
        </is>
      </c>
      <c r="I11" s="5" t="inlineStr">
        <is>
          <t>B1-F, B2-T, B2-F</t>
        </is>
      </c>
      <c r="J11" s="5" t="inlineStr">
        <is>
          <t>なし</t>
        </is>
      </c>
      <c r="K11" s="5" t="inlineStr"/>
      <c r="L11" s="5" t="inlineStr"/>
      <c r="M11" s="5" t="inlineStr">
        <is>
          <t>TC-UT_USG-001 clipErrorDetail は 500 字以下ならそのまま、501 字なら 500 字に切る（$length 字）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既存テスト：一部 TC-NOUS63_DEV-03（650 字だけ）</t>
        </is>
      </c>
    </row>
    <row r="12">
      <c r="A12" s="4" t="n">
        <v>8</v>
      </c>
      <c r="B12" s="4" t="inlineStr">
        <is>
          <t>TC-UT_USG-002</t>
        </is>
      </c>
      <c r="C12" s="5" t="inlineStr">
        <is>
          <t>clipErrorDetail</t>
        </is>
      </c>
      <c r="D12" s="4" t="inlineStr">
        <is>
          <t>正常系</t>
        </is>
      </c>
      <c r="E12" s="4" t="inlineStr">
        <is>
          <t>同値分割</t>
        </is>
      </c>
      <c r="F12" s="5" t="inlineStr">
        <is>
          <t>undefined なら null を返す</t>
        </is>
      </c>
      <c r="G12" s="5" t="inlineStr">
        <is>
          <t>前提：なし
入力：undefined</t>
        </is>
      </c>
      <c r="H12" s="5" t="inlineStr">
        <is>
          <t>null</t>
        </is>
      </c>
      <c r="I12" s="5" t="inlineStr">
        <is>
          <t>B1-T</t>
        </is>
      </c>
      <c r="J12" s="5" t="inlineStr">
        <is>
          <t>なし</t>
        </is>
      </c>
      <c r="K12" s="5" t="inlineStr"/>
      <c r="L12" s="5" t="inlineStr"/>
      <c r="M12" s="5" t="inlineStr">
        <is>
          <t>TC-UT_USG-002 clipErrorDetail は undefined なら null を返す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既存テスト：一部 TC-NOUS63_DEV-03（null だけ）</t>
        </is>
      </c>
    </row>
    <row r="13">
      <c r="A13" s="4" t="n">
        <v>9</v>
      </c>
      <c r="B13" s="4" t="inlineStr">
        <is>
          <t>TC-UT_USG-003</t>
        </is>
      </c>
      <c r="C13" s="5" t="inlineStr">
        <is>
          <t>clipErrorDetail</t>
        </is>
      </c>
      <c r="D13" s="4" t="inlineStr">
        <is>
          <t>正常系</t>
        </is>
      </c>
      <c r="E13" s="4" t="inlineStr">
        <is>
          <t>同値分割</t>
        </is>
      </c>
      <c r="F13" s="5" t="inlineStr">
        <is>
          <t>サロゲートペアの字をコードポイントで数え、字の途中で切らない</t>
        </is>
      </c>
      <c r="G13" s="5" t="inlineStr">
        <is>
          <t>前提：なし
入力：絵文字 501 字</t>
        </is>
      </c>
      <c r="H13" s="5" t="inlineStr">
        <is>
          <t>絵文字 500 字</t>
        </is>
      </c>
      <c r="I13" s="5" t="inlineStr">
        <is>
          <t>B2-F</t>
        </is>
      </c>
      <c r="J13" s="5" t="inlineStr">
        <is>
          <t>なし</t>
        </is>
      </c>
      <c r="K13" s="5" t="inlineStr"/>
      <c r="L13" s="5" t="inlineStr"/>
      <c r="M13" s="5" t="inlineStr">
        <is>
          <t>TC-UT_USG-003 clipErrorDetail はサロゲートペアの字をコードポイントで数え、字の途中で切らない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既存テスト：なし（DEV-03 は BMP の字だけ）</t>
        </is>
      </c>
    </row>
    <row r="14">
      <c r="A14" s="4" t="n">
        <v>10</v>
      </c>
      <c r="B14" s="4" t="inlineStr">
        <is>
          <t>TC-UT_USG-004</t>
        </is>
      </c>
      <c r="C14" s="5" t="inlineStr">
        <is>
          <t>addDailyMetrics</t>
        </is>
      </c>
      <c r="D14" s="4" t="inlineStr">
        <is>
          <t>正常系</t>
        </is>
      </c>
      <c r="E14" s="4" t="inlineStr">
        <is>
          <t>分岐網羅</t>
        </is>
      </c>
      <c r="F14" s="5" t="inlineStr">
        <is>
          <t>空の差分なら、行が無ければ 0 の行を作り、行があれば何も変えない</t>
        </is>
      </c>
      <c r="G14" s="5" t="inlineStr">
        <is>
          <t>前提：一時 DB（createTestDb）
入力：{} → {runs:2} → {}</t>
        </is>
      </c>
      <c r="H14" s="5" t="inlineStr">
        <is>
          <t>最初は 0 の行、最後は runs=2 のまま 1 行</t>
        </is>
      </c>
      <c r="I14" s="5" t="inlineStr">
        <is>
          <t>B5-F, B6-T</t>
        </is>
      </c>
      <c r="J14" s="5" t="inlineStr">
        <is>
          <t>なし</t>
        </is>
      </c>
      <c r="K14" s="5" t="inlineStr"/>
      <c r="L14" s="5" t="inlineStr"/>
      <c r="M14" s="5" t="inlineStr">
        <is>
          <t>TC-UT_USG-004 addDailyMetrics は空の差分なら、行が無いときは 0 の行を作り、行があるときは何も変えない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</t>
        </is>
      </c>
    </row>
    <row r="15">
      <c r="A15" s="4" t="n">
        <v>11</v>
      </c>
      <c r="B15" s="4" t="inlineStr">
        <is>
          <t>TC-UT_USG-005</t>
        </is>
      </c>
      <c r="C15" s="5" t="inlineStr">
        <is>
          <t>recordAttempt</t>
        </is>
      </c>
      <c r="D15" s="4" t="inlineStr">
        <is>
          <t>正常系</t>
        </is>
      </c>
      <c r="E15" s="4" t="inlineStr">
        <is>
          <t>分岐網羅</t>
        </is>
      </c>
      <c r="F15" s="5" t="inlineStr">
        <is>
          <t>isFirstOfEvent を省略すると attemptNo が 1 のときだけ runs を加算する</t>
        </is>
      </c>
      <c r="G15" s="5" t="inlineStr">
        <is>
          <t>前提：一時 DB（createTestDb）
入力：attemptNo=1・2（isFirstOfEvent なし）</t>
        </is>
      </c>
      <c r="H15" s="5" t="inlineStr">
        <is>
          <t>runs=1・0</t>
        </is>
      </c>
      <c r="I15" s="5" t="inlineStr">
        <is>
          <t>B9-F</t>
        </is>
      </c>
      <c r="J15" s="5" t="inlineStr">
        <is>
          <t>なし</t>
        </is>
      </c>
      <c r="K15" s="5" t="inlineStr"/>
      <c r="L15" s="5" t="inlineStr"/>
      <c r="M15" s="5" t="inlineStr">
        <is>
          <t>TC-UT_USG-005 recordAttempt は isFirstOfEvent を省略すると attemptNo が 1 のときだけ runs を加算する（attemptNo=$attemptNo）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TC-NOUS63_DEV-02</t>
        </is>
      </c>
    </row>
    <row r="16">
      <c r="A16" s="4" t="n">
        <v>12</v>
      </c>
      <c r="B16" s="4" t="inlineStr">
        <is>
          <t>TC-UT_USG-006</t>
        </is>
      </c>
      <c r="C16" s="5" t="inlineStr">
        <is>
          <t>recordAttempt</t>
        </is>
      </c>
      <c r="D16" s="4" t="inlineStr">
        <is>
          <t>正常系</t>
        </is>
      </c>
      <c r="E16" s="4" t="inlineStr">
        <is>
          <t>分岐網羅</t>
        </is>
      </c>
      <c r="F16" s="5" t="inlineStr">
        <is>
          <t>isFirstOfEvent を明示すると attemptNo より優先する</t>
        </is>
      </c>
      <c r="G16" s="5" t="inlineStr">
        <is>
          <t>前提：一時 DB（createTestDb）
入力：attemptNo=1 で false、attemptNo=3 で true</t>
        </is>
      </c>
      <c r="H16" s="5" t="inlineStr">
        <is>
          <t>runs=0 → 1</t>
        </is>
      </c>
      <c r="I16" s="5" t="inlineStr">
        <is>
          <t>B9-T</t>
        </is>
      </c>
      <c r="J16" s="5" t="inlineStr">
        <is>
          <t>なし</t>
        </is>
      </c>
      <c r="K16" s="5" t="inlineStr"/>
      <c r="L16" s="5" t="inlineStr"/>
      <c r="M16" s="5" t="inlineStr">
        <is>
          <t>TC-UT_USG-006 recordAttempt は isFirstOfEvent を明示すると attemptNo より優先する（1 回目で false なら runs は 0、3 回目で true なら 1）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
設計書 4章：再生成・再試行では false</t>
        </is>
      </c>
    </row>
    <row r="17">
      <c r="A17" s="4" t="n">
        <v>13</v>
      </c>
      <c r="B17" s="4" t="inlineStr">
        <is>
          <t>TC-UT_USG-007</t>
        </is>
      </c>
      <c r="C17" s="5" t="inlineStr">
        <is>
          <t>addDailyUsage</t>
        </is>
      </c>
      <c r="D17" s="4" t="inlineStr">
        <is>
          <t>正常系</t>
        </is>
      </c>
      <c r="E17" s="4" t="inlineStr">
        <is>
          <t>分岐網羅</t>
        </is>
      </c>
      <c r="F17" s="5" t="inlineStr">
        <is>
          <t>runs を直接渡すと isFirstOfEvent より優先する</t>
        </is>
      </c>
      <c r="G17" s="5" t="inlineStr">
        <is>
          <t>前提：一時 DB（createTestDb）
入力：isFirstOfEvent=true、runs=0</t>
        </is>
      </c>
      <c r="H17" s="5" t="inlineStr">
        <is>
          <t>calls=1・runs=0</t>
        </is>
      </c>
      <c r="I17" s="5" t="inlineStr">
        <is>
          <t>B3-T</t>
        </is>
      </c>
      <c r="J17" s="5" t="inlineStr">
        <is>
          <t>なし</t>
        </is>
      </c>
      <c r="K17" s="5" t="inlineStr"/>
      <c r="L17" s="5" t="inlineStr"/>
      <c r="M17" s="5" t="inlineStr">
        <is>
          <t>TC-UT_USG-007 addDailyUsage は runs を直接渡すと isFirstOfEvent より優先する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
設計書に記載なし。実装の値</t>
        </is>
      </c>
    </row>
    <row r="18">
      <c r="A18" s="4" t="n">
        <v>14</v>
      </c>
      <c r="B18" s="4" t="inlineStr">
        <is>
          <t>TC-UT_USG-008</t>
        </is>
      </c>
      <c r="C18" s="5" t="inlineStr">
        <is>
          <t>addDailyUsage</t>
        </is>
      </c>
      <c r="D18" s="4" t="inlineStr">
        <is>
          <t>正常系</t>
        </is>
      </c>
      <c r="E18" s="4" t="inlineStr">
        <is>
          <t>分岐網羅</t>
        </is>
      </c>
      <c r="F18" s="5" t="inlineStr">
        <is>
          <t>入力を省略すると calls だけ 1 加算する</t>
        </is>
      </c>
      <c r="G18" s="5" t="inlineStr">
        <is>
          <t>前提：一時 DB（createTestDb）
入力：入力なし</t>
        </is>
      </c>
      <c r="H18" s="5" t="inlineStr">
        <is>
          <t>calls=1、runs・トークン・Neurons は 0</t>
        </is>
      </c>
      <c r="I18" s="5" t="inlineStr">
        <is>
          <t>B3-F, B4-F</t>
        </is>
      </c>
      <c r="J18" s="5" t="inlineStr">
        <is>
          <t>なし</t>
        </is>
      </c>
      <c r="K18" s="5" t="inlineStr"/>
      <c r="L18" s="5" t="inlineStr"/>
      <c r="M18" s="5" t="inlineStr">
        <is>
          <t>TC-UT_USG-008 addDailyUsage は入力を省略すると calls だけ 1 加算し、runs・トークン・Neurons は 0 にする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TC-UT_USG-009</t>
        </is>
      </c>
      <c r="C19" s="5" t="inlineStr">
        <is>
          <t>recordAttempt</t>
        </is>
      </c>
      <c r="D19" s="4" t="inlineStr">
        <is>
          <t>異常系</t>
        </is>
      </c>
      <c r="E19" s="4" t="inlineStr">
        <is>
          <t>境界値</t>
        </is>
      </c>
      <c r="F19" s="5" t="inlineStr">
        <is>
          <t>所要時間が負なら 0、小数なら切り捨てて記録する</t>
        </is>
      </c>
      <c r="G19" s="5" t="inlineStr">
        <is>
          <t>前提：一時 DB（createTestDb）
入力：durationMs=-5・12.9</t>
        </is>
      </c>
      <c r="H19" s="5" t="inlineStr">
        <is>
          <t>duration_ms=0・12</t>
        </is>
      </c>
      <c r="I19" s="5" t="inlineStr">
        <is>
          <t>B10-T, B10-F</t>
        </is>
      </c>
      <c r="J19" s="5" t="inlineStr">
        <is>
          <t>なし</t>
        </is>
      </c>
      <c r="K19" s="5" t="inlineStr"/>
      <c r="L19" s="5" t="inlineStr"/>
      <c r="M19" s="5" t="inlineStr">
        <is>
          <t>TC-UT_USG-009 recordAttempt は所要時間が負なら 0、小数なら切り捨てて記録する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
DB の CHECK（duration_ms &gt;= 0）を満たすため</t>
        </is>
      </c>
    </row>
    <row r="20">
      <c r="A20" s="4" t="n">
        <v>16</v>
      </c>
      <c r="B20" s="4" t="inlineStr">
        <is>
          <t>TC-UT_USG-010</t>
        </is>
      </c>
      <c r="C20" s="5" t="inlineStr">
        <is>
          <t>recordAttempt</t>
        </is>
      </c>
      <c r="D20" s="4" t="inlineStr">
        <is>
          <t>正常系</t>
        </is>
      </c>
      <c r="E20" s="4" t="inlineStr">
        <is>
          <t>同値分割</t>
        </is>
      </c>
      <c r="F20" s="5" t="inlineStr">
        <is>
          <t>usageDate が違えば daily_usage の別の行に加算する</t>
        </is>
      </c>
      <c r="G20" s="5" t="inlineStr">
        <is>
          <t>前提：一時 DB（createTestDb）
入力：2026-10-22 と 2026-10-23</t>
        </is>
      </c>
      <c r="H20" s="5" t="inlineStr">
        <is>
          <t>日ごとに 1 行ずつ</t>
        </is>
      </c>
      <c r="I20" s="5" t="inlineStr">
        <is>
          <t>B8-T</t>
        </is>
      </c>
      <c r="J20" s="5" t="inlineStr">
        <is>
          <t>なし</t>
        </is>
      </c>
      <c r="K20" s="5" t="inlineStr"/>
      <c r="L20" s="5" t="inlineStr"/>
      <c r="M20" s="5" t="inlineStr">
        <is>
          <t>TC-UT_USG-010 recordAttempt は usageDate が違えば daily_usage の別の行に加算する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</t>
        </is>
      </c>
    </row>
    <row r="21">
      <c r="A21" s="4" t="n">
        <v>17</v>
      </c>
      <c r="B21" s="4" t="inlineStr">
        <is>
          <t>TC-UT_USG-011</t>
        </is>
      </c>
      <c r="C21" s="5" t="inlineStr">
        <is>
          <t>recordAttempt</t>
        </is>
      </c>
      <c r="D21" s="4" t="inlineStr">
        <is>
          <t>異常系</t>
        </is>
      </c>
      <c r="E21" s="4" t="inlineStr">
        <is>
          <t>エラー処理</t>
        </is>
      </c>
      <c r="F21" s="5" t="inlineStr">
        <is>
          <t>試行の INSERT が CHECK 違反（attempt_no=5）なら daily_usage と生成イベントの合計を変えない</t>
        </is>
      </c>
      <c r="G21" s="5" t="inlineStr">
        <is>
          <t>前提：一時 DB（createTestDb）
入力：attemptNo=5</t>
        </is>
      </c>
      <c r="H21" s="5" t="inlineStr">
        <is>
          <t>例外、試行 0 件、daily_usage 0 件、生成イベントの合計 0</t>
        </is>
      </c>
      <c r="I21" s="5" t="inlineStr">
        <is>
          <t>B8-T</t>
        </is>
      </c>
      <c r="J21" s="5" t="inlineStr">
        <is>
          <t>なし</t>
        </is>
      </c>
      <c r="K21" s="5" t="inlineStr"/>
      <c r="L21" s="5" t="inlineStr"/>
      <c r="M21" s="5" t="inlineStr">
        <is>
          <t>TC-UT_USG-011 recordAttempt は試行の INSERT が CHECK 違反（attempt_no=5）なら daily_usage と生成イベントの合計を変えない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設計書 6章：recordAttempt は 1 トランザクション</t>
        </is>
      </c>
    </row>
    <row r="22">
      <c r="A22" s="4" t="n">
        <v>18</v>
      </c>
      <c r="B22" s="4" t="inlineStr">
        <is>
          <t>TC-UT_USG-012</t>
        </is>
      </c>
      <c r="C22" s="5" t="inlineStr">
        <is>
          <t>recordAttempt</t>
        </is>
      </c>
      <c r="D22" s="4" t="inlineStr">
        <is>
          <t>正常系</t>
        </is>
      </c>
      <c r="E22" s="4" t="inlineStr">
        <is>
          <t>同値分割</t>
        </is>
      </c>
      <c r="F22" s="5" t="inlineStr">
        <is>
          <t>不正な形式の試行もトークンと Neurons を試行・daily_usage・生成イベントに加算する</t>
        </is>
      </c>
      <c r="G22" s="5" t="inlineStr">
        <is>
          <t>前提：一時 DB（createTestDb）
入力：result=invalid_format、トークン 600・40、Neurons 6.5</t>
        </is>
      </c>
      <c r="H22" s="5" t="inlineStr">
        <is>
          <t>試行・daily_usage・生成イベントにトークン 600・40、Neurons 6.5</t>
        </is>
      </c>
      <c r="I22" s="5" t="inlineStr">
        <is>
          <t>B8-F</t>
        </is>
      </c>
      <c r="J22" s="5" t="inlineStr">
        <is>
          <t>なし</t>
        </is>
      </c>
      <c r="K22" s="5" t="inlineStr"/>
      <c r="L22" s="5" t="inlineStr"/>
      <c r="M22" s="5" t="inlineStr">
        <is>
          <t>TC-UT_USG-012 不正な形式の試行（LLM は応答している）もトークンと Neurons を試行・daily_usage・生成イベントに加算する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既存テスト：なし（DEV-02 は 0 を期待）
疑い：実装は ok 以外のトークン・Neurons を 0 にする（疑い 1）</t>
        </is>
      </c>
    </row>
    <row r="23">
      <c r="A23" s="4" t="n">
        <v>19</v>
      </c>
      <c r="B23" s="4" t="inlineStr">
        <is>
          <t>TC-UT_USG-013</t>
        </is>
      </c>
      <c r="C23" s="5" t="inlineStr">
        <is>
          <t>recordAttempt</t>
        </is>
      </c>
      <c r="D23" s="4" t="inlineStr">
        <is>
          <t>正常系</t>
        </is>
      </c>
      <c r="E23" s="4" t="inlineStr">
        <is>
          <t>同値分割</t>
        </is>
      </c>
      <c r="F23" s="5" t="inlineStr">
        <is>
          <t>同じ生成イベントの ok の試行が続けば、生成イベントのトークン・Neurons を積み上げる</t>
        </is>
      </c>
      <c r="G23" s="5" t="inlineStr">
        <is>
          <t>前提：一時 DB（createTestDb）
入力：ok を 2 回</t>
        </is>
      </c>
      <c r="H23" s="5" t="inlineStr">
        <is>
          <t>生成イベント 1000・50・10</t>
        </is>
      </c>
      <c r="I23" s="5" t="inlineStr">
        <is>
          <t>B8-T</t>
        </is>
      </c>
      <c r="J23" s="5" t="inlineStr">
        <is>
          <t>なし</t>
        </is>
      </c>
      <c r="K23" s="5" t="inlineStr"/>
      <c r="L23" s="5" t="inlineStr"/>
      <c r="M23" s="5" t="inlineStr">
        <is>
          <t>TC-UT_USG-013 recordAttempt は同じ生成イベントの ok の試行が続けば、生成イベントのトークン・Neurons を積み上げる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</t>
        </is>
      </c>
    </row>
  </sheetData>
  <autoFilter ref="A4:Q23"/>
  <conditionalFormatting sqref="A5:Q73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3" showDropDown="0" showInputMessage="0" showErrorMessage="0" allowBlank="1" type="list">
      <formula1>"未実施,OK,NG,保留,対象外"</formula1>
    </dataValidation>
    <dataValidation sqref="D5:D73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COUNTA(観点表!$B$5:$B$73)</f>
        <v/>
      </c>
    </row>
    <row r="6">
      <c r="A6" s="10" t="inlineStr">
        <is>
          <t>正常系</t>
        </is>
      </c>
      <c r="B6" s="10">
        <f>COUNTIF(観点表!$D$5:$D$73,"正常系")</f>
        <v/>
      </c>
    </row>
    <row r="7">
      <c r="A7" s="10" t="inlineStr">
        <is>
          <t>異常系</t>
        </is>
      </c>
      <c r="B7" s="10">
        <f>COUNTIF(観点表!$D$5:$D$73,"異常系")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COUNTIF(観点表!$E$5:$E$73,"エラー処理")</f>
        <v/>
      </c>
    </row>
    <row r="11">
      <c r="A11" s="10" t="inlineStr">
        <is>
          <t>分岐網羅</t>
        </is>
      </c>
      <c r="B11" s="10">
        <f>COUNTIF(観点表!$E$5:$E$73,"分岐網羅")</f>
        <v/>
      </c>
    </row>
    <row r="12">
      <c r="A12" s="10" t="inlineStr">
        <is>
          <t>同値分割</t>
        </is>
      </c>
      <c r="B12" s="10">
        <f>COUNTIF(観点表!$E$5:$E$73,"同値分割")</f>
        <v/>
      </c>
    </row>
    <row r="13">
      <c r="A13" s="10" t="inlineStr">
        <is>
          <t>境界値</t>
        </is>
      </c>
      <c r="B13" s="10">
        <f>COUNTIF(観点表!$E$5:$E$73,"境界値")</f>
        <v/>
      </c>
    </row>
    <row r="14">
      <c r="A14" s="10" t="inlineStr">
        <is>
          <t>開発者テスト</t>
        </is>
      </c>
      <c r="B14" s="10">
        <f>COUNTIF(観点表!$E$5:$E$73,"開発者テスト")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COUNTIF(観点表!$K$5:$K$73,"?*")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COUNTIF(観点表!$N$5:$N$73,"未実施")</f>
        <v/>
      </c>
    </row>
    <row r="22">
      <c r="A22" s="10" t="inlineStr">
        <is>
          <t>OK</t>
        </is>
      </c>
      <c r="B22" s="10">
        <f>COUNTIF(観点表!$N$5:$N$73,"OK")</f>
        <v/>
      </c>
    </row>
    <row r="23">
      <c r="A23" s="10" t="inlineStr">
        <is>
          <t>NG</t>
        </is>
      </c>
      <c r="B23" s="10">
        <f>COUNTIF(観点表!$N$5:$N$73,"NG")</f>
        <v/>
      </c>
    </row>
    <row r="24">
      <c r="A24" s="10" t="inlineStr">
        <is>
          <t>保留</t>
        </is>
      </c>
      <c r="B24" s="10">
        <f>COUNTIF(観点表!$N$5:$N$73,"保留")</f>
        <v/>
      </c>
    </row>
    <row r="25">
      <c r="A25" s="10" t="inlineStr">
        <is>
          <t>対象外</t>
        </is>
      </c>
      <c r="B25" s="10">
        <f>COUNTIF(観点表!$N$5:$N$73,"対象外")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TC-NOUS63_DEV-01</t>
        </is>
      </c>
      <c r="B5" s="13" t="inlineStr">
        <is>
          <t>ok の 1 回目は試行・daily_usage・生成イベントを 1 トランザクションで更新する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TC-NOUS63_DEV-02</t>
        </is>
      </c>
      <c r="B6" s="13" t="inlineStr">
        <is>
          <t>失敗の試行はトークン・Neurons を 0、2 回目以降は runs を加算しない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TC-NOUS63_DEV-03</t>
        </is>
      </c>
      <c r="B7" s="13" t="inlineStr">
        <is>
          <t>error_detail を 500 コードポイントまでに切る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TC-NOUS63_DEV-04</t>
        </is>
      </c>
      <c r="B8" s="13" t="inlineStr">
        <is>
          <t>複数のイベントにわたり calls と runs を積み上げる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TC-NOUS63_DEV-05</t>
        </is>
      </c>
      <c r="B9" s="13" t="inlineStr">
        <is>
          <t>渡された列だけを加算し、他の列を保つ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TC-NOUS63_DEV-06</t>
        </is>
      </c>
      <c r="B10" s="13" t="inlineStr">
        <is>
          <t>行動ごとの daily_metrics の加算値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TC-UT_USG-001</t>
        </is>
      </c>
      <c r="B11" s="13" t="inlineStr">
        <is>
          <t>500 字以下ならそのまま、501 字なら 500 字に切る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TC-UT_USG-002</t>
        </is>
      </c>
      <c r="B12" s="13" t="inlineStr">
        <is>
          <t>undefined なら null を返す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TC-UT_USG-003</t>
        </is>
      </c>
      <c r="B13" s="13" t="inlineStr">
        <is>
          <t>サロゲートペアの字をコードポイントで数え、字の途中で切らない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TC-UT_USG-004</t>
        </is>
      </c>
      <c r="B14" s="13" t="inlineStr">
        <is>
          <t>空の差分なら、行が無ければ 0 の行を作り、行があれば何も変えない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TC-UT_USG-005</t>
        </is>
      </c>
      <c r="B15" s="13" t="inlineStr">
        <is>
          <t>isFirstOfEvent を省略すると attemptNo が 1 のときだけ runs を加算する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TC-UT_USG-006</t>
        </is>
      </c>
      <c r="B16" s="13" t="inlineStr">
        <is>
          <t>isFirstOfEvent を明示すると attemptNo より優先する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TC-UT_USG-007</t>
        </is>
      </c>
      <c r="B17" s="13" t="inlineStr">
        <is>
          <t>runs を直接渡すと isFirstOfEvent より優先する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TC-UT_USG-008</t>
        </is>
      </c>
      <c r="B18" s="13" t="inlineStr">
        <is>
          <t>入力を省略すると calls だけ 1 加算する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TC-UT_USG-009</t>
        </is>
      </c>
      <c r="B19" s="13" t="inlineStr">
        <is>
          <t>所要時間が負なら 0、小数なら切り捨てて記録する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TC-UT_USG-010</t>
        </is>
      </c>
      <c r="B20" s="13" t="inlineStr">
        <is>
          <t>usageDate が違えば daily_usage の別の行に加算する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TC-UT_USG-011</t>
        </is>
      </c>
      <c r="B21" s="13" t="inlineStr">
        <is>
          <t>試行の INSERT が CHECK 違反（attempt_no=5）なら daily_usage と生成イベントの合計を変えない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TC-UT_USG-012</t>
        </is>
      </c>
      <c r="B22" s="13" t="inlineStr">
        <is>
          <t>不正な形式の試行もトークンと Neurons を試行・daily_usage・生成イベントに加算する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TC-UT_USG-013</t>
        </is>
      </c>
      <c r="B23" s="13" t="inlineStr">
        <is>
          <t>同じ生成イベントの ok の試行が続けば、生成イベントのトークン・Neurons を積み上げる</t>
        </is>
      </c>
      <c r="C23" s="13" t="inlineStr">
        <is>
          <t>未作成</t>
        </is>
      </c>
      <c r="D23" s="13" t="inlineStr"/>
      <c r="E23" s="13" t="inlineStr"/>
      <c r="F23" s="13" t="inlineStr"/>
    </row>
  </sheetData>
  <autoFilter ref="A4:F2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試行の記録と利用量の加算（generation/usageRecorder.ts）</t>
        </is>
      </c>
    </row>
    <row r="4">
      <c r="A4" s="14" t="inlineStr">
        <is>
          <t>対象ファイル</t>
        </is>
      </c>
      <c r="B4" s="15" t="inlineStr">
        <is>
          <t>apps/server/src/generation/usageRecorder.ts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apps/server/src/generation/usageRecorder.test.ts（実装時、NOUS-63）, apps/server/src/generation/usageRecorder.ut.test.ts（単体テストで追加）</t>
        </is>
      </c>
    </row>
    <row r="7">
      <c r="A7" s="14" t="inlineStr">
        <is>
          <t>外部依存</t>
        </is>
      </c>
      <c r="B7" s="15" t="inlineStr">
        <is>
          <t>DB（generation_attempts・daily_usage・daily_metrics・generation_events）, ULID（newUlid）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clipErrorDetail：detail == null</t>
        </is>
      </c>
      <c r="C11" s="17" t="inlineStr">
        <is>
          <t>usageRecorder.ts:57</t>
        </is>
      </c>
    </row>
    <row r="12">
      <c r="A12" s="17" t="inlineStr">
        <is>
          <t>B2</t>
        </is>
      </c>
      <c r="B12" s="17" t="inlineStr">
        <is>
          <t>clipErrorDetail：500 コードポイント以下</t>
        </is>
      </c>
      <c r="C12" s="17" t="inlineStr">
        <is>
          <t>usageRecorder.ts:59</t>
        </is>
      </c>
    </row>
    <row r="13">
      <c r="A13" s="17" t="inlineStr">
        <is>
          <t>B3</t>
        </is>
      </c>
      <c r="B13" s="17" t="inlineStr">
        <is>
          <t>addDailyUsage：input.runs が渡されている（偽なら isFirstOfEvent で 1 か 0）</t>
        </is>
      </c>
      <c r="C13" s="17" t="inlineStr">
        <is>
          <t>usageRecorder.ts:67</t>
        </is>
      </c>
    </row>
    <row r="14">
      <c r="A14" s="17" t="inlineStr">
        <is>
          <t>B4</t>
        </is>
      </c>
      <c r="B14" s="17" t="inlineStr">
        <is>
          <t>addDailyUsage：トークン・Neurons が渡されている（偽なら 0）</t>
        </is>
      </c>
      <c r="C14" s="17" t="inlineStr">
        <is>
          <t>usageRecorder.ts:68-70</t>
        </is>
      </c>
    </row>
    <row r="15">
      <c r="A15" s="17" t="inlineStr">
        <is>
          <t>B5</t>
        </is>
      </c>
      <c r="B15" s="17" t="inlineStr">
        <is>
          <t>addDailyMetrics：列の値が undefined でない</t>
        </is>
      </c>
      <c r="C15" s="17" t="inlineStr">
        <is>
          <t>usageRecorder.ts:106</t>
        </is>
      </c>
    </row>
    <row r="16">
      <c r="A16" s="17" t="inlineStr">
        <is>
          <t>B6</t>
        </is>
      </c>
      <c r="B16" s="17" t="inlineStr">
        <is>
          <t>addDailyMetrics：加算する列が 0 個</t>
        </is>
      </c>
      <c r="C16" s="17" t="inlineStr">
        <is>
          <t>usageRecorder.ts:112</t>
        </is>
      </c>
    </row>
    <row r="17">
      <c r="A17" s="17" t="inlineStr">
        <is>
          <t>B7</t>
        </is>
      </c>
      <c r="B17" s="17" t="inlineStr">
        <is>
          <t>metricsForSucceededAction：行動の種類（6 通り）</t>
        </is>
      </c>
      <c r="C17" s="17" t="inlineStr">
        <is>
          <t>usageRecorder.ts:131-142</t>
        </is>
      </c>
    </row>
    <row r="18">
      <c r="A18" s="17" t="inlineStr">
        <is>
          <t>B8</t>
        </is>
      </c>
      <c r="B18" s="17" t="inlineStr">
        <is>
          <t>recordAttempt：result が ok</t>
        </is>
      </c>
      <c r="C18" s="17" t="inlineStr">
        <is>
          <t>usageRecorder.ts:154</t>
        </is>
      </c>
    </row>
    <row r="19">
      <c r="A19" s="17" t="inlineStr">
        <is>
          <t>B9</t>
        </is>
      </c>
      <c r="B19" s="17" t="inlineStr">
        <is>
          <t>recordAttempt：isFirstOfEvent が渡されている（偽なら attemptNo === 1）</t>
        </is>
      </c>
      <c r="C19" s="17" t="inlineStr">
        <is>
          <t>usageRecorder.ts:158</t>
        </is>
      </c>
    </row>
    <row r="20">
      <c r="A20" s="17" t="inlineStr">
        <is>
          <t>B10</t>
        </is>
      </c>
      <c r="B20" s="17" t="inlineStr">
        <is>
          <t>recordAttempt：所要時間が負（0 にする）</t>
        </is>
      </c>
      <c r="C20" s="17" t="inlineStr">
        <is>
          <t>usageRecorder.ts:160</t>
        </is>
      </c>
    </row>
    <row r="22">
      <c r="A22" s="14" t="inlineStr">
        <is>
          <t>確認事項・潜在バグ</t>
        </is>
      </c>
    </row>
    <row r="23" ht="30" customHeight="1">
      <c r="A23" s="18" t="inlineStr">
        <is>
          <t>・疑い 1：不正な形式の試行は LLM が応答しており Neurons を消費しているが、トークン・Neurons を 0 で記録している。daily_usage.neurons が実際の消費より少なくなり、日次上限の判定が甘くなる。recordAttempt は result が ok 以外のときトークン・Neurons を 0 にする。設計書 4章の recordAttempt は「addDailyUsage（calls+1、runs…、トークン、Neurons）」で ok に限っておらず、P207 のワイヤーフレームも invalid_format の失敗に Neurons 31.0 を出している。TC-UT_USG-012 は設計どおりの期待結果で書いた（実施で NG になる見込み）。TC-NOUS63_DEV-02 は 0 を期待しており、疑いと食い違う</t>
        </is>
      </c>
    </row>
  </sheetData>
  <mergeCells count="1"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2026-10-23T07:22:38Z</dcterms:created>
  <dcterms:modified xsi:type="dcterms:W3CDTF">2026-10-23T07:22:38Z</dcterms:modified>
</cp:coreProperties>
</file>