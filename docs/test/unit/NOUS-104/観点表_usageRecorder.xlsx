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観点表" sheetId="1" state="visible" r:id="rId1"/>
    <sheet name="サマリ" sheetId="2" state="visible" r:id="rId2"/>
    <sheet name="テストデータ" sheetId="3" state="visible" r:id="rId3"/>
    <sheet name="対象概要" sheetId="4" state="visible" r:id="rId4"/>
  </sheets>
  <definedNames>
    <definedName name="_xlnm._FilterDatabase" localSheetId="0" hidden="1">'観点表'!$A$4:$Q$23</definedName>
    <definedName name="_xlnm.Print_Titles" localSheetId="0">'観点表'!$4:$4</definedName>
    <definedName name="_xlnm._FilterDatabase" localSheetId="2" hidden="1">'テストデータ'!$A$4:$F$23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i val="1"/>
      <color rgb="00595959"/>
      <sz val="9"/>
    </font>
    <font>
      <name val="Meiryo UI"/>
      <b val="1"/>
      <color rgb="00FFFFFF"/>
      <sz val="10"/>
    </font>
    <font>
      <name val="Meiryo UI"/>
      <sz val="10"/>
    </font>
    <font>
      <name val="Meiryo UI"/>
      <b val="1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left" vertical="top" wrapText="1"/>
    </xf>
    <xf numFmtId="0" fontId="5" fillId="4" borderId="0" pivotButton="0" quotePrefix="0" xfId="0"/>
    <xf numFmtId="0" fontId="0" fillId="4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3" fillId="2" borderId="1" applyAlignment="1" pivotButton="0" quotePrefix="0" xfId="0">
      <alignment horizontal="center"/>
    </xf>
    <xf numFmtId="0" fontId="4" fillId="5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11" customWidth="1" min="5" max="5"/>
    <col width="30" customWidth="1" min="6" max="6"/>
    <col width="32" customWidth="1" min="7" max="7"/>
    <col width="32" customWidth="1" min="8" max="8"/>
    <col width="13" customWidth="1" min="9" max="9"/>
    <col width="22" customWidth="1" min="10" max="10"/>
    <col width="30" customWidth="1" min="11" max="11"/>
    <col width="26" customWidth="1" min="12" max="12"/>
    <col width="30" customWidth="1" min="13" max="13"/>
    <col width="10" customWidth="1" min="14" max="14"/>
    <col width="11" customWidth="1" min="15" max="15"/>
    <col width="10" customWidth="1" min="16" max="16"/>
    <col width="30" customWidth="1" min="17" max="17"/>
  </cols>
  <sheetData>
    <row r="1">
      <c r="A1" s="1" t="inlineStr">
        <is>
          <t>テスト観点表: 試行の記録と利用量の加算（generation/usageRecorder.ts）</t>
        </is>
      </c>
    </row>
    <row r="2">
      <c r="A2" s="2" t="inlineStr">
        <is>
          <t>黄色の列（実施結果・実施日・確認者・備考）を記入してください。観点やテストデータを修正した場合は import_test_matrix.py で JSON に取り込めます。</t>
        </is>
      </c>
    </row>
    <row r="4" ht="28" customHeight="1">
      <c r="A4" s="3" t="inlineStr">
        <is>
          <t>No</t>
        </is>
      </c>
      <c r="B4" s="3" t="inlineStr">
        <is>
          <t>ID</t>
        </is>
      </c>
      <c r="C4" s="3" t="inlineStr">
        <is>
          <t>対象</t>
        </is>
      </c>
      <c r="D4" s="3" t="inlineStr">
        <is>
          <t>分類</t>
        </is>
      </c>
      <c r="E4" s="3" t="inlineStr">
        <is>
          <t>技法</t>
        </is>
      </c>
      <c r="F4" s="3" t="inlineStr">
        <is>
          <t>観点</t>
        </is>
      </c>
      <c r="G4" s="3" t="inlineStr">
        <is>
          <t>入力・前提条件</t>
        </is>
      </c>
      <c r="H4" s="3" t="inlineStr">
        <is>
          <t>期待結果</t>
        </is>
      </c>
      <c r="I4" s="3" t="inlineStr">
        <is>
          <t>網羅する分岐</t>
        </is>
      </c>
      <c r="J4" s="3" t="inlineStr">
        <is>
          <t>モック</t>
        </is>
      </c>
      <c r="K4" s="3" t="inlineStr">
        <is>
          <t>テストデータ（具体値）</t>
        </is>
      </c>
      <c r="L4" s="3" t="inlineStr">
        <is>
          <t>データ参照</t>
        </is>
      </c>
      <c r="M4" s="3" t="inlineStr">
        <is>
          <t>テスト関数名</t>
        </is>
      </c>
      <c r="N4" s="3" t="inlineStr">
        <is>
          <t>実施結果</t>
        </is>
      </c>
      <c r="O4" s="3" t="inlineStr">
        <is>
          <t>実施日</t>
        </is>
      </c>
      <c r="P4" s="3" t="inlineStr">
        <is>
          <t>確認者</t>
        </is>
      </c>
      <c r="Q4" s="3" t="inlineStr">
        <is>
          <t>備考</t>
        </is>
      </c>
    </row>
    <row r="5">
      <c r="A5" s="4" t="n">
        <v>1</v>
      </c>
      <c r="B5" s="4" t="inlineStr">
        <is>
          <t>TC-NOUS63_DEV-01</t>
        </is>
      </c>
      <c r="C5" s="5" t="inlineStr">
        <is>
          <t>recordAttempt</t>
        </is>
      </c>
      <c r="D5" s="4" t="inlineStr">
        <is>
          <t>正常系</t>
        </is>
      </c>
      <c r="E5" s="4" t="inlineStr">
        <is>
          <t>開発者テスト</t>
        </is>
      </c>
      <c r="F5" s="5" t="inlineStr">
        <is>
          <t>ok の 1 回目は試行・daily_usage・生成イベントを 1 トランザクションで更新する</t>
        </is>
      </c>
      <c r="G5" s="5" t="inlineStr">
        <is>
          <t>前提：一時 DB（createTestDb）
入力：result=ok、attemptNo=1</t>
        </is>
      </c>
      <c r="H5" s="5" t="inlineStr">
        <is>
          <t>試行 1 件、daily_usage calls=1・runs=1、生成イベントの合計</t>
        </is>
      </c>
      <c r="I5" s="5" t="inlineStr">
        <is>
          <t>B8-T, B9-F</t>
        </is>
      </c>
      <c r="J5" s="5" t="inlineStr">
        <is>
          <t>なし</t>
        </is>
      </c>
      <c r="K5" s="5" t="inlineStr"/>
      <c r="L5" s="5" t="inlineStr"/>
      <c r="M5" s="5" t="inlineStr">
        <is>
          <t>TC-NOUS63_DEV-01 recordAttempt（ok・1回目）は generation_attempts・daily_usage・generation_events を 1 トランザクションで更新する</t>
        </is>
      </c>
      <c r="N5" s="6" t="inlineStr">
        <is>
          <t>未実施</t>
        </is>
      </c>
      <c r="O5" s="6" t="inlineStr"/>
      <c r="P5" s="6" t="inlineStr"/>
      <c r="Q5" s="7" t="inlineStr">
        <is>
          <t>既存テスト：実装時のテスト（NOUS-63）</t>
        </is>
      </c>
    </row>
    <row r="6">
      <c r="A6" s="4" t="n">
        <v>2</v>
      </c>
      <c r="B6" s="4" t="inlineStr">
        <is>
          <t>TC-NOUS63_DEV-02</t>
        </is>
      </c>
      <c r="C6" s="5" t="inlineStr">
        <is>
          <t>recordAttempt</t>
        </is>
      </c>
      <c r="D6" s="4" t="inlineStr">
        <is>
          <t>正常系</t>
        </is>
      </c>
      <c r="E6" s="4" t="inlineStr">
        <is>
          <t>開発者テスト</t>
        </is>
      </c>
      <c r="F6" s="5" t="inlineStr">
        <is>
          <t>失敗の試行はトークン・Neurons を 0、2 回目以降は runs を加算しない</t>
        </is>
      </c>
      <c r="G6" s="5" t="inlineStr">
        <is>
          <t>前提：一時 DB（createTestDb）
入力：timeout・invalid_format・ok</t>
        </is>
      </c>
      <c r="H6" s="5" t="inlineStr">
        <is>
          <t>calls=3・runs=1、トークン・Neurons は ok の分だけ</t>
        </is>
      </c>
      <c r="I6" s="5" t="inlineStr">
        <is>
          <t>B8-F, B9-F</t>
        </is>
      </c>
      <c r="J6" s="5" t="inlineStr">
        <is>
          <t>なし</t>
        </is>
      </c>
      <c r="K6" s="5" t="inlineStr"/>
      <c r="L6" s="5" t="inlineStr"/>
      <c r="M6" s="5" t="inlineStr">
        <is>
          <t>TC-NOUS63_DEV-02 失敗の試行はトークン・neurons を 0 で記録し、2 回目以降の試行では daily_usage.runs を増やさない</t>
        </is>
      </c>
      <c r="N6" s="6" t="inlineStr">
        <is>
          <t>未実施</t>
        </is>
      </c>
      <c r="O6" s="6" t="inlineStr"/>
      <c r="P6" s="6" t="inlineStr"/>
      <c r="Q6" s="7" t="inlineStr">
        <is>
          <t>既存テスト：実装時のテスト（NOUS-63）
疑い：invalid_format の試行のトークン・Neurons を 0 とする期待値が、疑い 1 と食い違う</t>
        </is>
      </c>
    </row>
    <row r="7">
      <c r="A7" s="4" t="n">
        <v>3</v>
      </c>
      <c r="B7" s="4" t="inlineStr">
        <is>
          <t>TC-NOUS63_DEV-03</t>
        </is>
      </c>
      <c r="C7" s="5" t="inlineStr">
        <is>
          <t>clipErrorDetail / recordAttempt</t>
        </is>
      </c>
      <c r="D7" s="4" t="inlineStr">
        <is>
          <t>異常系</t>
        </is>
      </c>
      <c r="E7" s="4" t="inlineStr">
        <is>
          <t>開発者テスト</t>
        </is>
      </c>
      <c r="F7" s="5" t="inlineStr">
        <is>
          <t>error_detail を 500 コードポイントまでに切る</t>
        </is>
      </c>
      <c r="G7" s="5" t="inlineStr">
        <is>
          <t>前提：一時 DB（createTestDb）
入力：650 字の日本語、null</t>
        </is>
      </c>
      <c r="H7" s="5" t="inlineStr">
        <is>
          <t>500 字、null</t>
        </is>
      </c>
      <c r="I7" s="5" t="inlineStr">
        <is>
          <t>B1-T, B2-F</t>
        </is>
      </c>
      <c r="J7" s="5" t="inlineStr">
        <is>
          <t>なし</t>
        </is>
      </c>
      <c r="K7" s="5" t="inlineStr"/>
      <c r="L7" s="5" t="inlineStr"/>
      <c r="M7" s="5" t="inlineStr">
        <is>
          <t>TC-NOUS63_DEV-03 clipErrorDetail と recordAttempt は error_detail を 500 コードポイントまでに切り詰める</t>
        </is>
      </c>
      <c r="N7" s="6" t="inlineStr">
        <is>
          <t>未実施</t>
        </is>
      </c>
      <c r="O7" s="6" t="inlineStr"/>
      <c r="P7" s="6" t="inlineStr"/>
      <c r="Q7" s="7" t="inlineStr">
        <is>
          <t>既存テスト：実装時のテスト（NOUS-63）</t>
        </is>
      </c>
    </row>
    <row r="8">
      <c r="A8" s="4" t="n">
        <v>4</v>
      </c>
      <c r="B8" s="4" t="inlineStr">
        <is>
          <t>TC-NOUS63_DEV-04</t>
        </is>
      </c>
      <c r="C8" s="5" t="inlineStr">
        <is>
          <t>addDailyUsage</t>
        </is>
      </c>
      <c r="D8" s="4" t="inlineStr">
        <is>
          <t>正常系</t>
        </is>
      </c>
      <c r="E8" s="4" t="inlineStr">
        <is>
          <t>開発者テスト</t>
        </is>
      </c>
      <c r="F8" s="5" t="inlineStr">
        <is>
          <t>複数のイベントにわたり calls と runs を積み上げる</t>
        </is>
      </c>
      <c r="G8" s="5" t="inlineStr">
        <is>
          <t>前提：一時 DB（createTestDb）
入力：isFirstOfEvent true・false・true</t>
        </is>
      </c>
      <c r="H8" s="5" t="inlineStr">
        <is>
          <t>calls=3・runs=2、トークン・Neurons の合計</t>
        </is>
      </c>
      <c r="I8" s="5" t="inlineStr">
        <is>
          <t>B3-F, B4-T</t>
        </is>
      </c>
      <c r="J8" s="5" t="inlineStr">
        <is>
          <t>なし</t>
        </is>
      </c>
      <c r="K8" s="5" t="inlineStr"/>
      <c r="L8" s="5" t="inlineStr"/>
      <c r="M8" s="5" t="inlineStr">
        <is>
          <t>TC-NOUS63_DEV-04 addDailyUsage は複数イベントにわたり calls と runs を正しく積み上げる</t>
        </is>
      </c>
      <c r="N8" s="6" t="inlineStr">
        <is>
          <t>未実施</t>
        </is>
      </c>
      <c r="O8" s="6" t="inlineStr"/>
      <c r="P8" s="6" t="inlineStr"/>
      <c r="Q8" s="7" t="inlineStr">
        <is>
          <t>既存テスト：実装時のテスト（NOUS-63）</t>
        </is>
      </c>
    </row>
    <row r="9">
      <c r="A9" s="4" t="n">
        <v>5</v>
      </c>
      <c r="B9" s="4" t="inlineStr">
        <is>
          <t>TC-NOUS63_DEV-05</t>
        </is>
      </c>
      <c r="C9" s="5" t="inlineStr">
        <is>
          <t>addDailyMetrics</t>
        </is>
      </c>
      <c r="D9" s="4" t="inlineStr">
        <is>
          <t>正常系</t>
        </is>
      </c>
      <c r="E9" s="4" t="inlineStr">
        <is>
          <t>開発者テスト</t>
        </is>
      </c>
      <c r="F9" s="5" t="inlineStr">
        <is>
          <t>渡された列だけを加算し、他の列を保つ</t>
        </is>
      </c>
      <c r="G9" s="5" t="inlineStr">
        <is>
          <t>前提：一時 DB（createTestDb）
入力：6 回の加算</t>
        </is>
      </c>
      <c r="H9" s="5" t="inlineStr">
        <is>
          <t>各列の合計</t>
        </is>
      </c>
      <c r="I9" s="5" t="inlineStr">
        <is>
          <t>B5-T, B5-F, B6-F</t>
        </is>
      </c>
      <c r="J9" s="5" t="inlineStr">
        <is>
          <t>なし</t>
        </is>
      </c>
      <c r="K9" s="5" t="inlineStr"/>
      <c r="L9" s="5" t="inlineStr"/>
      <c r="M9" s="5" t="inlineStr">
        <is>
          <t>TC-NOUS63_DEV-05 addDailyMetrics は渡された列だけを加算し、他の列を維持する</t>
        </is>
      </c>
      <c r="N9" s="6" t="inlineStr">
        <is>
          <t>未実施</t>
        </is>
      </c>
      <c r="O9" s="6" t="inlineStr"/>
      <c r="P9" s="6" t="inlineStr"/>
      <c r="Q9" s="7" t="inlineStr">
        <is>
          <t>既存テスト：実装時のテスト（NOUS-63）</t>
        </is>
      </c>
    </row>
    <row r="10">
      <c r="A10" s="4" t="n">
        <v>6</v>
      </c>
      <c r="B10" s="4" t="inlineStr">
        <is>
          <t>TC-NOUS63_DEV-06</t>
        </is>
      </c>
      <c r="C10" s="5" t="inlineStr">
        <is>
          <t>metricsForSucceededAction</t>
        </is>
      </c>
      <c r="D10" s="4" t="inlineStr">
        <is>
          <t>正常系</t>
        </is>
      </c>
      <c r="E10" s="4" t="inlineStr">
        <is>
          <t>開発者テスト</t>
        </is>
      </c>
      <c r="F10" s="5" t="inlineStr">
        <is>
          <t>行動ごとの daily_metrics の加算値</t>
        </is>
      </c>
      <c r="G10" s="5" t="inlineStr">
        <is>
          <t>前提：なし
入力：post・reply・like・follow・unfollow・none</t>
        </is>
      </c>
      <c r="H10" s="5" t="inlineStr">
        <is>
          <t>各加算値</t>
        </is>
      </c>
      <c r="I10" s="5" t="inlineStr">
        <is>
          <t>B7-T</t>
        </is>
      </c>
      <c r="J10" s="5" t="inlineStr">
        <is>
          <t>なし</t>
        </is>
      </c>
      <c r="K10" s="5" t="inlineStr"/>
      <c r="L10" s="5" t="inlineStr"/>
      <c r="M10" s="5" t="inlineStr">
        <is>
          <t>TC-NOUS63_DEV-06 metricsForSucceededAction は行動ごとの daily_metrics 加算値を返す</t>
        </is>
      </c>
      <c r="N10" s="6" t="inlineStr">
        <is>
          <t>未実施</t>
        </is>
      </c>
      <c r="O10" s="6" t="inlineStr"/>
      <c r="P10" s="6" t="inlineStr"/>
      <c r="Q10" s="7" t="inlineStr">
        <is>
          <t>既存テスト：実装時のテスト（NOUS-63）</t>
        </is>
      </c>
    </row>
    <row r="11">
      <c r="A11" s="4" t="n">
        <v>7</v>
      </c>
      <c r="B11" s="4" t="inlineStr">
        <is>
          <t>TC-UT_USG-001</t>
        </is>
      </c>
      <c r="C11" s="5" t="inlineStr">
        <is>
          <t>clipErrorDetail</t>
        </is>
      </c>
      <c r="D11" s="4" t="inlineStr">
        <is>
          <t>正常系</t>
        </is>
      </c>
      <c r="E11" s="4" t="inlineStr">
        <is>
          <t>境界値</t>
        </is>
      </c>
      <c r="F11" s="5" t="inlineStr">
        <is>
          <t>500 字以下ならそのまま、501 字なら 500 字に切る</t>
        </is>
      </c>
      <c r="G11" s="5" t="inlineStr">
        <is>
          <t>前提：なし
入力：499・500・501 字</t>
        </is>
      </c>
      <c r="H11" s="5" t="inlineStr">
        <is>
          <t>499・500・500 字</t>
        </is>
      </c>
      <c r="I11" s="5" t="inlineStr">
        <is>
          <t>B1-F, B2-T, B2-F</t>
        </is>
      </c>
      <c r="J11" s="5" t="inlineStr">
        <is>
          <t>なし</t>
        </is>
      </c>
      <c r="K11" s="5" t="inlineStr"/>
      <c r="L11" s="5" t="inlineStr"/>
      <c r="M11" s="5" t="inlineStr">
        <is>
          <t>TC-UT_USG-001 clipErrorDetail は 500 字以下ならそのまま、501 字なら 500 字に切る（$length 字）</t>
        </is>
      </c>
      <c r="N11" s="6" t="inlineStr">
        <is>
          <t>未実施</t>
        </is>
      </c>
      <c r="O11" s="6" t="inlineStr"/>
      <c r="P11" s="6" t="inlineStr"/>
      <c r="Q11" s="7" t="inlineStr">
        <is>
          <t>既存テスト：一部 TC-NOUS63_DEV-03（650 字だけ）</t>
        </is>
      </c>
    </row>
    <row r="12">
      <c r="A12" s="4" t="n">
        <v>8</v>
      </c>
      <c r="B12" s="4" t="inlineStr">
        <is>
          <t>TC-UT_USG-002</t>
        </is>
      </c>
      <c r="C12" s="5" t="inlineStr">
        <is>
          <t>clipErrorDetail</t>
        </is>
      </c>
      <c r="D12" s="4" t="inlineStr">
        <is>
          <t>正常系</t>
        </is>
      </c>
      <c r="E12" s="4" t="inlineStr">
        <is>
          <t>同値分割</t>
        </is>
      </c>
      <c r="F12" s="5" t="inlineStr">
        <is>
          <t>undefined なら null を返す</t>
        </is>
      </c>
      <c r="G12" s="5" t="inlineStr">
        <is>
          <t>前提：なし
入力：undefined</t>
        </is>
      </c>
      <c r="H12" s="5" t="inlineStr">
        <is>
          <t>null</t>
        </is>
      </c>
      <c r="I12" s="5" t="inlineStr">
        <is>
          <t>B1-T</t>
        </is>
      </c>
      <c r="J12" s="5" t="inlineStr">
        <is>
          <t>なし</t>
        </is>
      </c>
      <c r="K12" s="5" t="inlineStr"/>
      <c r="L12" s="5" t="inlineStr"/>
      <c r="M12" s="5" t="inlineStr">
        <is>
          <t>TC-UT_USG-002 clipErrorDetail は undefined なら null を返す</t>
        </is>
      </c>
      <c r="N12" s="6" t="inlineStr">
        <is>
          <t>未実施</t>
        </is>
      </c>
      <c r="O12" s="6" t="inlineStr"/>
      <c r="P12" s="6" t="inlineStr"/>
      <c r="Q12" s="7" t="inlineStr">
        <is>
          <t>既存テスト：一部 TC-NOUS63_DEV-03（null だけ）</t>
        </is>
      </c>
    </row>
    <row r="13">
      <c r="A13" s="4" t="n">
        <v>9</v>
      </c>
      <c r="B13" s="4" t="inlineStr">
        <is>
          <t>TC-UT_USG-003</t>
        </is>
      </c>
      <c r="C13" s="5" t="inlineStr">
        <is>
          <t>clipErrorDetail</t>
        </is>
      </c>
      <c r="D13" s="4" t="inlineStr">
        <is>
          <t>正常系</t>
        </is>
      </c>
      <c r="E13" s="4" t="inlineStr">
        <is>
          <t>同値分割</t>
        </is>
      </c>
      <c r="F13" s="5" t="inlineStr">
        <is>
          <t>サロゲートペアの字をコードポイントで数え、字の途中で切らない</t>
        </is>
      </c>
      <c r="G13" s="5" t="inlineStr">
        <is>
          <t>前提：なし
入力：絵文字 501 字</t>
        </is>
      </c>
      <c r="H13" s="5" t="inlineStr">
        <is>
          <t>絵文字 500 字</t>
        </is>
      </c>
      <c r="I13" s="5" t="inlineStr">
        <is>
          <t>B2-F</t>
        </is>
      </c>
      <c r="J13" s="5" t="inlineStr">
        <is>
          <t>なし</t>
        </is>
      </c>
      <c r="K13" s="5" t="inlineStr"/>
      <c r="L13" s="5" t="inlineStr"/>
      <c r="M13" s="5" t="inlineStr">
        <is>
          <t>TC-UT_USG-003 clipErrorDetail はサロゲートペアの字をコードポイントで数え、字の途中で切らない</t>
        </is>
      </c>
      <c r="N13" s="6" t="inlineStr">
        <is>
          <t>未実施</t>
        </is>
      </c>
      <c r="O13" s="6" t="inlineStr"/>
      <c r="P13" s="6" t="inlineStr"/>
      <c r="Q13" s="7" t="inlineStr">
        <is>
          <t>既存テスト：なし（DEV-03 は BMP の字だけ）</t>
        </is>
      </c>
    </row>
    <row r="14">
      <c r="A14" s="4" t="n">
        <v>10</v>
      </c>
      <c r="B14" s="4" t="inlineStr">
        <is>
          <t>TC-UT_USG-004</t>
        </is>
      </c>
      <c r="C14" s="5" t="inlineStr">
        <is>
          <t>addDailyMetrics</t>
        </is>
      </c>
      <c r="D14" s="4" t="inlineStr">
        <is>
          <t>正常系</t>
        </is>
      </c>
      <c r="E14" s="4" t="inlineStr">
        <is>
          <t>分岐網羅</t>
        </is>
      </c>
      <c r="F14" s="5" t="inlineStr">
        <is>
          <t>空の差分なら、行が無ければ 0 の行を作り、行があれば何も変えない</t>
        </is>
      </c>
      <c r="G14" s="5" t="inlineStr">
        <is>
          <t>前提：一時 DB（createTestDb）
入力：{} → {runs:2} → {}</t>
        </is>
      </c>
      <c r="H14" s="5" t="inlineStr">
        <is>
          <t>最初は 0 の行、最後は runs=2 のまま 1 行</t>
        </is>
      </c>
      <c r="I14" s="5" t="inlineStr">
        <is>
          <t>B5-F, B6-T</t>
        </is>
      </c>
      <c r="J14" s="5" t="inlineStr">
        <is>
          <t>なし</t>
        </is>
      </c>
      <c r="K14" s="5" t="inlineStr"/>
      <c r="L14" s="5" t="inlineStr"/>
      <c r="M14" s="5" t="inlineStr">
        <is>
          <t>TC-UT_USG-004 addDailyMetrics は空の差分なら、行が無いときは 0 の行を作り、行があるときは何も変えない</t>
        </is>
      </c>
      <c r="N14" s="6" t="inlineStr">
        <is>
          <t>未実施</t>
        </is>
      </c>
      <c r="O14" s="6" t="inlineStr"/>
      <c r="P14" s="6" t="inlineStr"/>
      <c r="Q14" s="7" t="inlineStr">
        <is>
          <t>既存テスト：なし</t>
        </is>
      </c>
    </row>
    <row r="15">
      <c r="A15" s="4" t="n">
        <v>11</v>
      </c>
      <c r="B15" s="4" t="inlineStr">
        <is>
          <t>TC-UT_USG-005</t>
        </is>
      </c>
      <c r="C15" s="5" t="inlineStr">
        <is>
          <t>recordAttempt</t>
        </is>
      </c>
      <c r="D15" s="4" t="inlineStr">
        <is>
          <t>正常系</t>
        </is>
      </c>
      <c r="E15" s="4" t="inlineStr">
        <is>
          <t>分岐網羅</t>
        </is>
      </c>
      <c r="F15" s="5" t="inlineStr">
        <is>
          <t>isFirstOfEvent を省略すると attemptNo が 1 のときだけ runs を加算する</t>
        </is>
      </c>
      <c r="G15" s="5" t="inlineStr">
        <is>
          <t>前提：一時 DB（createTestDb）
入力：attemptNo=1・2（isFirstOfEvent なし）</t>
        </is>
      </c>
      <c r="H15" s="5" t="inlineStr">
        <is>
          <t>runs=1・0</t>
        </is>
      </c>
      <c r="I15" s="5" t="inlineStr">
        <is>
          <t>B9-F</t>
        </is>
      </c>
      <c r="J15" s="5" t="inlineStr">
        <is>
          <t>なし</t>
        </is>
      </c>
      <c r="K15" s="5" t="inlineStr"/>
      <c r="L15" s="5" t="inlineStr"/>
      <c r="M15" s="5" t="inlineStr">
        <is>
          <t>TC-UT_USG-005 recordAttempt は isFirstOfEvent を省略すると attemptNo が 1 のときだけ runs を加算する（attemptNo=$attemptNo）</t>
        </is>
      </c>
      <c r="N15" s="6" t="inlineStr">
        <is>
          <t>未実施</t>
        </is>
      </c>
      <c r="O15" s="6" t="inlineStr"/>
      <c r="P15" s="6" t="inlineStr"/>
      <c r="Q15" s="7" t="inlineStr">
        <is>
          <t>既存テスト：一部 TC-NOUS63_DEV-02</t>
        </is>
      </c>
    </row>
    <row r="16">
      <c r="A16" s="4" t="n">
        <v>12</v>
      </c>
      <c r="B16" s="4" t="inlineStr">
        <is>
          <t>TC-UT_USG-006</t>
        </is>
      </c>
      <c r="C16" s="5" t="inlineStr">
        <is>
          <t>recordAttempt</t>
        </is>
      </c>
      <c r="D16" s="4" t="inlineStr">
        <is>
          <t>正常系</t>
        </is>
      </c>
      <c r="E16" s="4" t="inlineStr">
        <is>
          <t>分岐網羅</t>
        </is>
      </c>
      <c r="F16" s="5" t="inlineStr">
        <is>
          <t>isFirstOfEvent を明示すると attemptNo より優先する</t>
        </is>
      </c>
      <c r="G16" s="5" t="inlineStr">
        <is>
          <t>前提：一時 DB（createTestDb）
入力：attemptNo=1 で false、attemptNo=3 で true</t>
        </is>
      </c>
      <c r="H16" s="5" t="inlineStr">
        <is>
          <t>runs=0 → 1</t>
        </is>
      </c>
      <c r="I16" s="5" t="inlineStr">
        <is>
          <t>B9-T</t>
        </is>
      </c>
      <c r="J16" s="5" t="inlineStr">
        <is>
          <t>なし</t>
        </is>
      </c>
      <c r="K16" s="5" t="inlineStr"/>
      <c r="L16" s="5" t="inlineStr"/>
      <c r="M16" s="5" t="inlineStr">
        <is>
          <t>TC-UT_USG-006 recordAttempt は isFirstOfEvent を明示すると attemptNo より優先する（1 回目で false なら runs は 0、3 回目で true なら 1）</t>
        </is>
      </c>
      <c r="N16" s="6" t="inlineStr">
        <is>
          <t>未実施</t>
        </is>
      </c>
      <c r="O16" s="6" t="inlineStr"/>
      <c r="P16" s="6" t="inlineStr"/>
      <c r="Q16" s="7" t="inlineStr">
        <is>
          <t>既存テスト：なし
設計書 4章：再生成・再試行では false</t>
        </is>
      </c>
    </row>
    <row r="17">
      <c r="A17" s="4" t="n">
        <v>13</v>
      </c>
      <c r="B17" s="4" t="inlineStr">
        <is>
          <t>TC-UT_USG-007</t>
        </is>
      </c>
      <c r="C17" s="5" t="inlineStr">
        <is>
          <t>addDailyUsage</t>
        </is>
      </c>
      <c r="D17" s="4" t="inlineStr">
        <is>
          <t>正常系</t>
        </is>
      </c>
      <c r="E17" s="4" t="inlineStr">
        <is>
          <t>分岐網羅</t>
        </is>
      </c>
      <c r="F17" s="5" t="inlineStr">
        <is>
          <t>runs を直接渡すと isFirstOfEvent より優先する</t>
        </is>
      </c>
      <c r="G17" s="5" t="inlineStr">
        <is>
          <t>前提：一時 DB（createTestDb）
入力：isFirstOfEvent=true、runs=0</t>
        </is>
      </c>
      <c r="H17" s="5" t="inlineStr">
        <is>
          <t>calls=1・runs=0</t>
        </is>
      </c>
      <c r="I17" s="5" t="inlineStr">
        <is>
          <t>B3-T</t>
        </is>
      </c>
      <c r="J17" s="5" t="inlineStr">
        <is>
          <t>なし</t>
        </is>
      </c>
      <c r="K17" s="5" t="inlineStr"/>
      <c r="L17" s="5" t="inlineStr"/>
      <c r="M17" s="5" t="inlineStr">
        <is>
          <t>TC-UT_USG-007 addDailyUsage は runs を直接渡すと isFirstOfEvent より優先する</t>
        </is>
      </c>
      <c r="N17" s="6" t="inlineStr">
        <is>
          <t>未実施</t>
        </is>
      </c>
      <c r="O17" s="6" t="inlineStr"/>
      <c r="P17" s="6" t="inlineStr"/>
      <c r="Q17" s="7" t="inlineStr">
        <is>
          <t>既存テスト：なし
設計書に記載なし。実装の値</t>
        </is>
      </c>
    </row>
    <row r="18">
      <c r="A18" s="4" t="n">
        <v>14</v>
      </c>
      <c r="B18" s="4" t="inlineStr">
        <is>
          <t>TC-UT_USG-008</t>
        </is>
      </c>
      <c r="C18" s="5" t="inlineStr">
        <is>
          <t>addDailyUsage</t>
        </is>
      </c>
      <c r="D18" s="4" t="inlineStr">
        <is>
          <t>正常系</t>
        </is>
      </c>
      <c r="E18" s="4" t="inlineStr">
        <is>
          <t>分岐網羅</t>
        </is>
      </c>
      <c r="F18" s="5" t="inlineStr">
        <is>
          <t>入力を省略すると calls だけ 1 加算する</t>
        </is>
      </c>
      <c r="G18" s="5" t="inlineStr">
        <is>
          <t>前提：一時 DB（createTestDb）
入力：入力なし</t>
        </is>
      </c>
      <c r="H18" s="5" t="inlineStr">
        <is>
          <t>calls=1、runs・トークン・Neurons は 0</t>
        </is>
      </c>
      <c r="I18" s="5" t="inlineStr">
        <is>
          <t>B3-F, B4-F</t>
        </is>
      </c>
      <c r="J18" s="5" t="inlineStr">
        <is>
          <t>なし</t>
        </is>
      </c>
      <c r="K18" s="5" t="inlineStr"/>
      <c r="L18" s="5" t="inlineStr"/>
      <c r="M18" s="5" t="inlineStr">
        <is>
          <t>TC-UT_USG-008 addDailyUsage は入力を省略すると calls だけ 1 加算し、runs・トークン・Neurons は 0 にする</t>
        </is>
      </c>
      <c r="N18" s="6" t="inlineStr">
        <is>
          <t>未実施</t>
        </is>
      </c>
      <c r="O18" s="6" t="inlineStr"/>
      <c r="P18" s="6" t="inlineStr"/>
      <c r="Q18" s="7" t="inlineStr">
        <is>
          <t>既存テスト：なし</t>
        </is>
      </c>
    </row>
    <row r="19">
      <c r="A19" s="4" t="n">
        <v>15</v>
      </c>
      <c r="B19" s="4" t="inlineStr">
        <is>
          <t>TC-UT_USG-009</t>
        </is>
      </c>
      <c r="C19" s="5" t="inlineStr">
        <is>
          <t>recordAttempt</t>
        </is>
      </c>
      <c r="D19" s="4" t="inlineStr">
        <is>
          <t>異常系</t>
        </is>
      </c>
      <c r="E19" s="4" t="inlineStr">
        <is>
          <t>境界値</t>
        </is>
      </c>
      <c r="F19" s="5" t="inlineStr">
        <is>
          <t>所要時間が負なら 0、小数なら切り捨てて記録する</t>
        </is>
      </c>
      <c r="G19" s="5" t="inlineStr">
        <is>
          <t>前提：一時 DB（createTestDb）
入力：durationMs=-5・12.9</t>
        </is>
      </c>
      <c r="H19" s="5" t="inlineStr">
        <is>
          <t>duration_ms=0・12</t>
        </is>
      </c>
      <c r="I19" s="5" t="inlineStr">
        <is>
          <t>B10-T, B10-F</t>
        </is>
      </c>
      <c r="J19" s="5" t="inlineStr">
        <is>
          <t>なし</t>
        </is>
      </c>
      <c r="K19" s="5" t="inlineStr"/>
      <c r="L19" s="5" t="inlineStr"/>
      <c r="M19" s="5" t="inlineStr">
        <is>
          <t>TC-UT_USG-009 recordAttempt は所要時間が負なら 0、小数なら切り捨てて記録する</t>
        </is>
      </c>
      <c r="N19" s="6" t="inlineStr">
        <is>
          <t>未実施</t>
        </is>
      </c>
      <c r="O19" s="6" t="inlineStr"/>
      <c r="P19" s="6" t="inlineStr"/>
      <c r="Q19" s="7" t="inlineStr">
        <is>
          <t>既存テスト：なし
DB の CHECK（duration_ms &gt;= 0）を満たすため</t>
        </is>
      </c>
    </row>
    <row r="20">
      <c r="A20" s="4" t="n">
        <v>16</v>
      </c>
      <c r="B20" s="4" t="inlineStr">
        <is>
          <t>TC-UT_USG-010</t>
        </is>
      </c>
      <c r="C20" s="5" t="inlineStr">
        <is>
          <t>recordAttempt</t>
        </is>
      </c>
      <c r="D20" s="4" t="inlineStr">
        <is>
          <t>正常系</t>
        </is>
      </c>
      <c r="E20" s="4" t="inlineStr">
        <is>
          <t>同値分割</t>
        </is>
      </c>
      <c r="F20" s="5" t="inlineStr">
        <is>
          <t>usageDate が違えば daily_usage の別の行に加算する</t>
        </is>
      </c>
      <c r="G20" s="5" t="inlineStr">
        <is>
          <t>前提：一時 DB（createTestDb）
入力：2026-10-22 と 2026-10-23</t>
        </is>
      </c>
      <c r="H20" s="5" t="inlineStr">
        <is>
          <t>日ごとに 1 行ずつ</t>
        </is>
      </c>
      <c r="I20" s="5" t="inlineStr">
        <is>
          <t>B8-T</t>
        </is>
      </c>
      <c r="J20" s="5" t="inlineStr">
        <is>
          <t>なし</t>
        </is>
      </c>
      <c r="K20" s="5" t="inlineStr"/>
      <c r="L20" s="5" t="inlineStr"/>
      <c r="M20" s="5" t="inlineStr">
        <is>
          <t>TC-UT_USG-010 recordAttempt は usageDate が違えば daily_usage の別の行に加算する</t>
        </is>
      </c>
      <c r="N20" s="6" t="inlineStr">
        <is>
          <t>未実施</t>
        </is>
      </c>
      <c r="O20" s="6" t="inlineStr"/>
      <c r="P20" s="6" t="inlineStr"/>
      <c r="Q20" s="7" t="inlineStr">
        <is>
          <t>既存テスト：なし</t>
        </is>
      </c>
    </row>
    <row r="21">
      <c r="A21" s="4" t="n">
        <v>17</v>
      </c>
      <c r="B21" s="4" t="inlineStr">
        <is>
          <t>TC-UT_USG-011</t>
        </is>
      </c>
      <c r="C21" s="5" t="inlineStr">
        <is>
          <t>recordAttempt</t>
        </is>
      </c>
      <c r="D21" s="4" t="inlineStr">
        <is>
          <t>異常系</t>
        </is>
      </c>
      <c r="E21" s="4" t="inlineStr">
        <is>
          <t>エラー処理</t>
        </is>
      </c>
      <c r="F21" s="5" t="inlineStr">
        <is>
          <t>試行の INSERT が CHECK 違反（attempt_no=5）なら daily_usage と生成イベントの合計を変えない</t>
        </is>
      </c>
      <c r="G21" s="5" t="inlineStr">
        <is>
          <t>前提：一時 DB（createTestDb）
入力：attemptNo=5</t>
        </is>
      </c>
      <c r="H21" s="5" t="inlineStr">
        <is>
          <t>例外、試行 0 件、daily_usage 0 件、生成イベントの合計 0</t>
        </is>
      </c>
      <c r="I21" s="5" t="inlineStr">
        <is>
          <t>B8-T</t>
        </is>
      </c>
      <c r="J21" s="5" t="inlineStr">
        <is>
          <t>なし</t>
        </is>
      </c>
      <c r="K21" s="5" t="inlineStr"/>
      <c r="L21" s="5" t="inlineStr"/>
      <c r="M21" s="5" t="inlineStr">
        <is>
          <t>TC-UT_USG-011 recordAttempt は試行の INSERT が CHECK 違反（attempt_no=5）なら daily_usage と生成イベントの合計を変えない</t>
        </is>
      </c>
      <c r="N21" s="6" t="inlineStr">
        <is>
          <t>未実施</t>
        </is>
      </c>
      <c r="O21" s="6" t="inlineStr"/>
      <c r="P21" s="6" t="inlineStr"/>
      <c r="Q21" s="7" t="inlineStr">
        <is>
          <t>既存テスト：なし
設計書 6章：recordAttempt は 1 トランザクション</t>
        </is>
      </c>
    </row>
    <row r="22">
      <c r="A22" s="4" t="n">
        <v>18</v>
      </c>
      <c r="B22" s="4" t="inlineStr">
        <is>
          <t>TC-UT_USG-012</t>
        </is>
      </c>
      <c r="C22" s="5" t="inlineStr">
        <is>
          <t>recordAttempt</t>
        </is>
      </c>
      <c r="D22" s="4" t="inlineStr">
        <is>
          <t>正常系</t>
        </is>
      </c>
      <c r="E22" s="4" t="inlineStr">
        <is>
          <t>同値分割</t>
        </is>
      </c>
      <c r="F22" s="5" t="inlineStr">
        <is>
          <t>不正な形式の試行もトークンと Neurons を試行・daily_usage・生成イベントに加算する</t>
        </is>
      </c>
      <c r="G22" s="5" t="inlineStr">
        <is>
          <t>前提：一時 DB（createTestDb）
入力：result=invalid_format、トークン 600・40、Neurons 6.5</t>
        </is>
      </c>
      <c r="H22" s="5" t="inlineStr">
        <is>
          <t>試行・daily_usage・生成イベントにトークン 600・40、Neurons 6.5</t>
        </is>
      </c>
      <c r="I22" s="5" t="inlineStr">
        <is>
          <t>B8-F</t>
        </is>
      </c>
      <c r="J22" s="5" t="inlineStr">
        <is>
          <t>なし</t>
        </is>
      </c>
      <c r="K22" s="5" t="inlineStr"/>
      <c r="L22" s="5" t="inlineStr"/>
      <c r="M22" s="5" t="inlineStr">
        <is>
          <t>TC-UT_USG-012 不正な形式の試行（LLM は応答している）もトークンと Neurons を試行・daily_usage・生成イベントに加算する</t>
        </is>
      </c>
      <c r="N22" s="6" t="inlineStr">
        <is>
          <t>未実施</t>
        </is>
      </c>
      <c r="O22" s="6" t="inlineStr"/>
      <c r="P22" s="6" t="inlineStr"/>
      <c r="Q22" s="7" t="inlineStr">
        <is>
          <t>既存テスト：なし（DEV-02 は 0 を期待）
疑い：実装は ok 以外のトークン・Neurons を 0 にする（疑い 1）</t>
        </is>
      </c>
    </row>
    <row r="23">
      <c r="A23" s="4" t="n">
        <v>19</v>
      </c>
      <c r="B23" s="4" t="inlineStr">
        <is>
          <t>TC-UT_USG-013</t>
        </is>
      </c>
      <c r="C23" s="5" t="inlineStr">
        <is>
          <t>recordAttempt</t>
        </is>
      </c>
      <c r="D23" s="4" t="inlineStr">
        <is>
          <t>正常系</t>
        </is>
      </c>
      <c r="E23" s="4" t="inlineStr">
        <is>
          <t>同値分割</t>
        </is>
      </c>
      <c r="F23" s="5" t="inlineStr">
        <is>
          <t>同じ生成イベントの ok の試行が続けば、生成イベントのトークン・Neurons を積み上げる</t>
        </is>
      </c>
      <c r="G23" s="5" t="inlineStr">
        <is>
          <t>前提：一時 DB（createTestDb）
入力：ok を 2 回</t>
        </is>
      </c>
      <c r="H23" s="5" t="inlineStr">
        <is>
          <t>生成イベント 1000・50・10</t>
        </is>
      </c>
      <c r="I23" s="5" t="inlineStr">
        <is>
          <t>B8-T</t>
        </is>
      </c>
      <c r="J23" s="5" t="inlineStr">
        <is>
          <t>なし</t>
        </is>
      </c>
      <c r="K23" s="5" t="inlineStr"/>
      <c r="L23" s="5" t="inlineStr"/>
      <c r="M23" s="5" t="inlineStr">
        <is>
          <t>TC-UT_USG-013 recordAttempt は同じ生成イベントの ok の試行が続けば、生成イベントのトークン・Neurons を積み上げる</t>
        </is>
      </c>
      <c r="N23" s="6" t="inlineStr">
        <is>
          <t>未実施</t>
        </is>
      </c>
      <c r="O23" s="6" t="inlineStr"/>
      <c r="P23" s="6" t="inlineStr"/>
      <c r="Q23" s="7" t="inlineStr">
        <is>
          <t>既存テスト：なし</t>
        </is>
      </c>
    </row>
  </sheetData>
  <autoFilter ref="A4:Q23"/>
  <conditionalFormatting sqref="A5:Q73">
    <cfRule type="expression" priority="1" dxfId="0">
      <formula>$N5="NG"</formula>
    </cfRule>
    <cfRule type="expression" priority="2" dxfId="1">
      <formula>$N5="OK"</formula>
    </cfRule>
    <cfRule type="expression" priority="3" dxfId="2">
      <formula>$N5="保留"</formula>
    </cfRule>
  </conditionalFormatting>
  <dataValidations count="2">
    <dataValidation sqref="N5:N73" showDropDown="0" showInputMessage="0" showErrorMessage="0" allowBlank="1" type="list">
      <formula1>"未実施,OK,NG,保留,対象外"</formula1>
    </dataValidation>
    <dataValidation sqref="D5:D73" showDropDown="0" showInputMessage="0" showErrorMessage="0" allowBlank="1" type="list">
      <formula1>"正常系,異常系"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集計サマリ</t>
        </is>
      </c>
    </row>
    <row r="2">
      <c r="A2" s="2" t="inlineStr">
        <is>
          <t>観点表シートの内容から自動集計されます（手入力不要）。</t>
        </is>
      </c>
    </row>
    <row r="4">
      <c r="A4" s="8" t="inlineStr">
        <is>
          <t>ケース数</t>
        </is>
      </c>
      <c r="B4" s="9" t="n"/>
      <c r="C4" s="9" t="n"/>
    </row>
    <row r="5">
      <c r="A5" s="10" t="inlineStr">
        <is>
          <t>総ケース数</t>
        </is>
      </c>
      <c r="B5" s="10">
        <f>COUNTA(観点表!$B$5:$B$73)</f>
        <v/>
      </c>
    </row>
    <row r="6">
      <c r="A6" s="10" t="inlineStr">
        <is>
          <t>正常系</t>
        </is>
      </c>
      <c r="B6" s="10">
        <f>COUNTIF(観点表!$D$5:$D$73,"正常系")</f>
        <v/>
      </c>
    </row>
    <row r="7">
      <c r="A7" s="10" t="inlineStr">
        <is>
          <t>異常系</t>
        </is>
      </c>
      <c r="B7" s="10">
        <f>COUNTIF(観点表!$D$5:$D$73,"異常系")</f>
        <v/>
      </c>
    </row>
    <row r="9">
      <c r="A9" s="8" t="inlineStr">
        <is>
          <t>技法別</t>
        </is>
      </c>
      <c r="B9" s="9" t="n"/>
      <c r="C9" s="9" t="n"/>
    </row>
    <row r="10">
      <c r="A10" s="10" t="inlineStr">
        <is>
          <t>エラー処理</t>
        </is>
      </c>
      <c r="B10" s="10">
        <f>COUNTIF(観点表!$E$5:$E$73,"エラー処理")</f>
        <v/>
      </c>
    </row>
    <row r="11">
      <c r="A11" s="10" t="inlineStr">
        <is>
          <t>分岐網羅</t>
        </is>
      </c>
      <c r="B11" s="10">
        <f>COUNTIF(観点表!$E$5:$E$73,"分岐網羅")</f>
        <v/>
      </c>
    </row>
    <row r="12">
      <c r="A12" s="10" t="inlineStr">
        <is>
          <t>同値分割</t>
        </is>
      </c>
      <c r="B12" s="10">
        <f>COUNTIF(観点表!$E$5:$E$73,"同値分割")</f>
        <v/>
      </c>
    </row>
    <row r="13">
      <c r="A13" s="10" t="inlineStr">
        <is>
          <t>境界値</t>
        </is>
      </c>
      <c r="B13" s="10">
        <f>COUNTIF(観点表!$E$5:$E$73,"境界値")</f>
        <v/>
      </c>
    </row>
    <row r="14">
      <c r="A14" s="10" t="inlineStr">
        <is>
          <t>開発者テスト</t>
        </is>
      </c>
      <c r="B14" s="10">
        <f>COUNTIF(観点表!$E$5:$E$73,"開発者テスト")</f>
        <v/>
      </c>
    </row>
    <row r="16">
      <c r="A16" s="8" t="inlineStr">
        <is>
          <t>テストデータ</t>
        </is>
      </c>
      <c r="B16" s="9" t="n"/>
      <c r="C16" s="9" t="n"/>
    </row>
    <row r="17">
      <c r="A17" s="10" t="inlineStr">
        <is>
          <t>作成済み</t>
        </is>
      </c>
      <c r="B17" s="10">
        <f>COUNTIF(観点表!$K$5:$K$73,"?*")</f>
        <v/>
      </c>
    </row>
    <row r="18">
      <c r="A18" s="10" t="inlineStr">
        <is>
          <t>未作成</t>
        </is>
      </c>
      <c r="B18" s="10">
        <f>B5-B17</f>
        <v/>
      </c>
    </row>
    <row r="20">
      <c r="A20" s="8" t="inlineStr">
        <is>
          <t>実施状況</t>
        </is>
      </c>
      <c r="B20" s="9" t="n"/>
      <c r="C20" s="9" t="n"/>
    </row>
    <row r="21">
      <c r="A21" s="10" t="inlineStr">
        <is>
          <t>未実施</t>
        </is>
      </c>
      <c r="B21" s="10">
        <f>COUNTIF(観点表!$N$5:$N$73,"未実施")</f>
        <v/>
      </c>
    </row>
    <row r="22">
      <c r="A22" s="10" t="inlineStr">
        <is>
          <t>OK</t>
        </is>
      </c>
      <c r="B22" s="10">
        <f>COUNTIF(観点表!$N$5:$N$73,"OK")</f>
        <v/>
      </c>
    </row>
    <row r="23">
      <c r="A23" s="10" t="inlineStr">
        <is>
          <t>NG</t>
        </is>
      </c>
      <c r="B23" s="10">
        <f>COUNTIF(観点表!$N$5:$N$73,"NG")</f>
        <v/>
      </c>
    </row>
    <row r="24">
      <c r="A24" s="10" t="inlineStr">
        <is>
          <t>保留</t>
        </is>
      </c>
      <c r="B24" s="10">
        <f>COUNTIF(観点表!$N$5:$N$73,"保留")</f>
        <v/>
      </c>
    </row>
    <row r="25">
      <c r="A25" s="10" t="inlineStr">
        <is>
          <t>対象外</t>
        </is>
      </c>
      <c r="B25" s="10">
        <f>COUNTIF(観点表!$N$5:$N$73,"対象外")</f>
        <v/>
      </c>
    </row>
    <row r="26">
      <c r="A26" s="10" t="inlineStr">
        <is>
          <t>消化率（未実施以外 / 総数）</t>
        </is>
      </c>
      <c r="B26" s="11">
        <f>IF(B5=0,0,(B5-B21)/B5)</f>
        <v/>
      </c>
    </row>
    <row r="27">
      <c r="A27" s="10" t="inlineStr">
        <is>
          <t>合格率（OK / (総数-対象外)）</t>
        </is>
      </c>
      <c r="B27" s="11">
        <f>IF(B5-B25=0,0,B22/(B5-B25))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9" customWidth="1" min="3" max="3"/>
    <col width="22" customWidth="1" min="4" max="4"/>
    <col width="40" customWidth="1" min="5" max="5"/>
    <col width="30" customWidth="1" min="6" max="6"/>
  </cols>
  <sheetData>
    <row r="1">
      <c r="A1" s="1" t="inlineStr">
        <is>
          <t>テストデータ一覧</t>
        </is>
      </c>
    </row>
    <row r="2">
      <c r="A2" s="2" t="inlineStr">
        <is>
          <t>観点表の各ケースで使う具体値を項目単位に展開したもの（参照用。編集は観点表の「テストデータ（具体値）」列で行う）。</t>
        </is>
      </c>
    </row>
    <row r="4">
      <c r="A4" s="12" t="inlineStr">
        <is>
          <t>ID</t>
        </is>
      </c>
      <c r="B4" s="12" t="inlineStr">
        <is>
          <t>観点</t>
        </is>
      </c>
      <c r="C4" s="12" t="inlineStr">
        <is>
          <t>区分</t>
        </is>
      </c>
      <c r="D4" s="12" t="inlineStr">
        <is>
          <t>項目</t>
        </is>
      </c>
      <c r="E4" s="12" t="inlineStr">
        <is>
          <t>値</t>
        </is>
      </c>
      <c r="F4" s="12" t="inlineStr">
        <is>
          <t>データ参照</t>
        </is>
      </c>
    </row>
    <row r="5">
      <c r="A5" s="13" t="inlineStr">
        <is>
          <t>TC-NOUS63_DEV-01</t>
        </is>
      </c>
      <c r="B5" s="13" t="inlineStr">
        <is>
          <t>ok の 1 回目は試行・daily_usage・生成イベントを 1 トランザクションで更新する</t>
        </is>
      </c>
      <c r="C5" s="13" t="inlineStr">
        <is>
          <t>未作成</t>
        </is>
      </c>
      <c r="D5" s="13" t="inlineStr"/>
      <c r="E5" s="13" t="inlineStr"/>
      <c r="F5" s="13" t="inlineStr"/>
    </row>
    <row r="6">
      <c r="A6" s="13" t="inlineStr">
        <is>
          <t>TC-NOUS63_DEV-02</t>
        </is>
      </c>
      <c r="B6" s="13" t="inlineStr">
        <is>
          <t>失敗の試行はトークン・Neurons を 0、2 回目以降は runs を加算しない</t>
        </is>
      </c>
      <c r="C6" s="13" t="inlineStr">
        <is>
          <t>未作成</t>
        </is>
      </c>
      <c r="D6" s="13" t="inlineStr"/>
      <c r="E6" s="13" t="inlineStr"/>
      <c r="F6" s="13" t="inlineStr"/>
    </row>
    <row r="7">
      <c r="A7" s="13" t="inlineStr">
        <is>
          <t>TC-NOUS63_DEV-03</t>
        </is>
      </c>
      <c r="B7" s="13" t="inlineStr">
        <is>
          <t>error_detail を 500 コードポイントまでに切る</t>
        </is>
      </c>
      <c r="C7" s="13" t="inlineStr">
        <is>
          <t>未作成</t>
        </is>
      </c>
      <c r="D7" s="13" t="inlineStr"/>
      <c r="E7" s="13" t="inlineStr"/>
      <c r="F7" s="13" t="inlineStr"/>
    </row>
    <row r="8">
      <c r="A8" s="13" t="inlineStr">
        <is>
          <t>TC-NOUS63_DEV-04</t>
        </is>
      </c>
      <c r="B8" s="13" t="inlineStr">
        <is>
          <t>複数のイベントにわたり calls と runs を積み上げる</t>
        </is>
      </c>
      <c r="C8" s="13" t="inlineStr">
        <is>
          <t>未作成</t>
        </is>
      </c>
      <c r="D8" s="13" t="inlineStr"/>
      <c r="E8" s="13" t="inlineStr"/>
      <c r="F8" s="13" t="inlineStr"/>
    </row>
    <row r="9">
      <c r="A9" s="13" t="inlineStr">
        <is>
          <t>TC-NOUS63_DEV-05</t>
        </is>
      </c>
      <c r="B9" s="13" t="inlineStr">
        <is>
          <t>渡された列だけを加算し、他の列を保つ</t>
        </is>
      </c>
      <c r="C9" s="13" t="inlineStr">
        <is>
          <t>未作成</t>
        </is>
      </c>
      <c r="D9" s="13" t="inlineStr"/>
      <c r="E9" s="13" t="inlineStr"/>
      <c r="F9" s="13" t="inlineStr"/>
    </row>
    <row r="10">
      <c r="A10" s="13" t="inlineStr">
        <is>
          <t>TC-NOUS63_DEV-06</t>
        </is>
      </c>
      <c r="B10" s="13" t="inlineStr">
        <is>
          <t>行動ごとの daily_metrics の加算値</t>
        </is>
      </c>
      <c r="C10" s="13" t="inlineStr">
        <is>
          <t>未作成</t>
        </is>
      </c>
      <c r="D10" s="13" t="inlineStr"/>
      <c r="E10" s="13" t="inlineStr"/>
      <c r="F10" s="13" t="inlineStr"/>
    </row>
    <row r="11">
      <c r="A11" s="13" t="inlineStr">
        <is>
          <t>TC-UT_USG-001</t>
        </is>
      </c>
      <c r="B11" s="13" t="inlineStr">
        <is>
          <t>500 字以下ならそのまま、501 字なら 500 字に切る</t>
        </is>
      </c>
      <c r="C11" s="13" t="inlineStr">
        <is>
          <t>未作成</t>
        </is>
      </c>
      <c r="D11" s="13" t="inlineStr"/>
      <c r="E11" s="13" t="inlineStr"/>
      <c r="F11" s="13" t="inlineStr"/>
    </row>
    <row r="12">
      <c r="A12" s="13" t="inlineStr">
        <is>
          <t>TC-UT_USG-002</t>
        </is>
      </c>
      <c r="B12" s="13" t="inlineStr">
        <is>
          <t>undefined なら null を返す</t>
        </is>
      </c>
      <c r="C12" s="13" t="inlineStr">
        <is>
          <t>未作成</t>
        </is>
      </c>
      <c r="D12" s="13" t="inlineStr"/>
      <c r="E12" s="13" t="inlineStr"/>
      <c r="F12" s="13" t="inlineStr"/>
    </row>
    <row r="13">
      <c r="A13" s="13" t="inlineStr">
        <is>
          <t>TC-UT_USG-003</t>
        </is>
      </c>
      <c r="B13" s="13" t="inlineStr">
        <is>
          <t>サロゲートペアの字をコードポイントで数え、字の途中で切らない</t>
        </is>
      </c>
      <c r="C13" s="13" t="inlineStr">
        <is>
          <t>未作成</t>
        </is>
      </c>
      <c r="D13" s="13" t="inlineStr"/>
      <c r="E13" s="13" t="inlineStr"/>
      <c r="F13" s="13" t="inlineStr"/>
    </row>
    <row r="14">
      <c r="A14" s="13" t="inlineStr">
        <is>
          <t>TC-UT_USG-004</t>
        </is>
      </c>
      <c r="B14" s="13" t="inlineStr">
        <is>
          <t>空の差分なら、行が無ければ 0 の行を作り、行があれば何も変えない</t>
        </is>
      </c>
      <c r="C14" s="13" t="inlineStr">
        <is>
          <t>未作成</t>
        </is>
      </c>
      <c r="D14" s="13" t="inlineStr"/>
      <c r="E14" s="13" t="inlineStr"/>
      <c r="F14" s="13" t="inlineStr"/>
    </row>
    <row r="15">
      <c r="A15" s="13" t="inlineStr">
        <is>
          <t>TC-UT_USG-005</t>
        </is>
      </c>
      <c r="B15" s="13" t="inlineStr">
        <is>
          <t>isFirstOfEvent を省略すると attemptNo が 1 のときだけ runs を加算する</t>
        </is>
      </c>
      <c r="C15" s="13" t="inlineStr">
        <is>
          <t>未作成</t>
        </is>
      </c>
      <c r="D15" s="13" t="inlineStr"/>
      <c r="E15" s="13" t="inlineStr"/>
      <c r="F15" s="13" t="inlineStr"/>
    </row>
    <row r="16">
      <c r="A16" s="13" t="inlineStr">
        <is>
          <t>TC-UT_USG-006</t>
        </is>
      </c>
      <c r="B16" s="13" t="inlineStr">
        <is>
          <t>isFirstOfEvent を明示すると attemptNo より優先する</t>
        </is>
      </c>
      <c r="C16" s="13" t="inlineStr">
        <is>
          <t>未作成</t>
        </is>
      </c>
      <c r="D16" s="13" t="inlineStr"/>
      <c r="E16" s="13" t="inlineStr"/>
      <c r="F16" s="13" t="inlineStr"/>
    </row>
    <row r="17">
      <c r="A17" s="13" t="inlineStr">
        <is>
          <t>TC-UT_USG-007</t>
        </is>
      </c>
      <c r="B17" s="13" t="inlineStr">
        <is>
          <t>runs を直接渡すと isFirstOfEvent より優先する</t>
        </is>
      </c>
      <c r="C17" s="13" t="inlineStr">
        <is>
          <t>未作成</t>
        </is>
      </c>
      <c r="D17" s="13" t="inlineStr"/>
      <c r="E17" s="13" t="inlineStr"/>
      <c r="F17" s="13" t="inlineStr"/>
    </row>
    <row r="18">
      <c r="A18" s="13" t="inlineStr">
        <is>
          <t>TC-UT_USG-008</t>
        </is>
      </c>
      <c r="B18" s="13" t="inlineStr">
        <is>
          <t>入力を省略すると calls だけ 1 加算する</t>
        </is>
      </c>
      <c r="C18" s="13" t="inlineStr">
        <is>
          <t>未作成</t>
        </is>
      </c>
      <c r="D18" s="13" t="inlineStr"/>
      <c r="E18" s="13" t="inlineStr"/>
      <c r="F18" s="13" t="inlineStr"/>
    </row>
    <row r="19">
      <c r="A19" s="13" t="inlineStr">
        <is>
          <t>TC-UT_USG-009</t>
        </is>
      </c>
      <c r="B19" s="13" t="inlineStr">
        <is>
          <t>所要時間が負なら 0、小数なら切り捨てて記録する</t>
        </is>
      </c>
      <c r="C19" s="13" t="inlineStr">
        <is>
          <t>未作成</t>
        </is>
      </c>
      <c r="D19" s="13" t="inlineStr"/>
      <c r="E19" s="13" t="inlineStr"/>
      <c r="F19" s="13" t="inlineStr"/>
    </row>
    <row r="20">
      <c r="A20" s="13" t="inlineStr">
        <is>
          <t>TC-UT_USG-010</t>
        </is>
      </c>
      <c r="B20" s="13" t="inlineStr">
        <is>
          <t>usageDate が違えば daily_usage の別の行に加算する</t>
        </is>
      </c>
      <c r="C20" s="13" t="inlineStr">
        <is>
          <t>未作成</t>
        </is>
      </c>
      <c r="D20" s="13" t="inlineStr"/>
      <c r="E20" s="13" t="inlineStr"/>
      <c r="F20" s="13" t="inlineStr"/>
    </row>
    <row r="21">
      <c r="A21" s="13" t="inlineStr">
        <is>
          <t>TC-UT_USG-011</t>
        </is>
      </c>
      <c r="B21" s="13" t="inlineStr">
        <is>
          <t>試行の INSERT が CHECK 違反（attempt_no=5）なら daily_usage と生成イベントの合計を変えない</t>
        </is>
      </c>
      <c r="C21" s="13" t="inlineStr">
        <is>
          <t>未作成</t>
        </is>
      </c>
      <c r="D21" s="13" t="inlineStr"/>
      <c r="E21" s="13" t="inlineStr"/>
      <c r="F21" s="13" t="inlineStr"/>
    </row>
    <row r="22">
      <c r="A22" s="13" t="inlineStr">
        <is>
          <t>TC-UT_USG-012</t>
        </is>
      </c>
      <c r="B22" s="13" t="inlineStr">
        <is>
          <t>不正な形式の試行もトークンと Neurons を試行・daily_usage・生成イベントに加算する</t>
        </is>
      </c>
      <c r="C22" s="13" t="inlineStr">
        <is>
          <t>未作成</t>
        </is>
      </c>
      <c r="D22" s="13" t="inlineStr"/>
      <c r="E22" s="13" t="inlineStr"/>
      <c r="F22" s="13" t="inlineStr"/>
    </row>
    <row r="23">
      <c r="A23" s="13" t="inlineStr">
        <is>
          <t>TC-UT_USG-013</t>
        </is>
      </c>
      <c r="B23" s="13" t="inlineStr">
        <is>
          <t>同じ生成イベントの ok の試行が続けば、生成イベントのトークン・Neurons を積み上げる</t>
        </is>
      </c>
      <c r="C23" s="13" t="inlineStr">
        <is>
          <t>未作成</t>
        </is>
      </c>
      <c r="D23" s="13" t="inlineStr"/>
      <c r="E23" s="13" t="inlineStr"/>
      <c r="F23" s="13" t="inlineStr"/>
    </row>
  </sheetData>
  <autoFilter ref="A4:F2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30" customWidth="1" min="3" max="3"/>
  </cols>
  <sheetData>
    <row r="1">
      <c r="A1" s="1" t="inlineStr">
        <is>
          <t>対象概要</t>
        </is>
      </c>
    </row>
    <row r="3">
      <c r="A3" s="14" t="inlineStr">
        <is>
          <t>タイトル</t>
        </is>
      </c>
      <c r="B3" s="15" t="inlineStr">
        <is>
          <t>試行の記録と利用量の加算（generation/usageRecorder.ts）</t>
        </is>
      </c>
    </row>
    <row r="4">
      <c r="A4" s="14" t="inlineStr">
        <is>
          <t>対象ファイル</t>
        </is>
      </c>
      <c r="B4" s="15" t="inlineStr">
        <is>
          <t>apps/server/src/generation/usageRecorder.ts</t>
        </is>
      </c>
    </row>
    <row r="5">
      <c r="A5" s="14" t="inlineStr">
        <is>
          <t>言語 / フレームワーク</t>
        </is>
      </c>
      <c r="B5" s="15" t="inlineStr">
        <is>
          <t>TypeScript / Vitest 2.1.9（environment: node）</t>
        </is>
      </c>
    </row>
    <row r="6">
      <c r="A6" s="14" t="inlineStr">
        <is>
          <t>テストファイル</t>
        </is>
      </c>
      <c r="B6" s="15" t="inlineStr">
        <is>
          <t>apps/server/src/generation/usageRecorder.test.ts（実装時、NOUS-63）, apps/server/src/generation/usageRecorder.ut.test.ts（単体テストで追加）</t>
        </is>
      </c>
    </row>
    <row r="7">
      <c r="A7" s="14" t="inlineStr">
        <is>
          <t>外部依存</t>
        </is>
      </c>
      <c r="B7" s="15" t="inlineStr">
        <is>
          <t>DB（generation_attempts・daily_usage・daily_metrics・generation_events）, ULID（newUlid）</t>
        </is>
      </c>
    </row>
    <row r="8">
      <c r="A8" s="14" t="inlineStr">
        <is>
          <t>作成日</t>
        </is>
      </c>
      <c r="B8" s="15" t="inlineStr">
        <is>
          <t>2026-10-23</t>
        </is>
      </c>
    </row>
    <row r="10">
      <c r="A10" s="16" t="inlineStr">
        <is>
          <t>分岐ID</t>
        </is>
      </c>
      <c r="B10" s="16" t="inlineStr">
        <is>
          <t>条件</t>
        </is>
      </c>
      <c r="C10" s="16" t="inlineStr">
        <is>
          <t>場所</t>
        </is>
      </c>
    </row>
    <row r="11">
      <c r="A11" s="17" t="inlineStr">
        <is>
          <t>B1</t>
        </is>
      </c>
      <c r="B11" s="17" t="inlineStr">
        <is>
          <t>clipErrorDetail：detail == null</t>
        </is>
      </c>
      <c r="C11" s="17" t="inlineStr">
        <is>
          <t>usageRecorder.ts:57</t>
        </is>
      </c>
    </row>
    <row r="12">
      <c r="A12" s="17" t="inlineStr">
        <is>
          <t>B2</t>
        </is>
      </c>
      <c r="B12" s="17" t="inlineStr">
        <is>
          <t>clipErrorDetail：500 コードポイント以下</t>
        </is>
      </c>
      <c r="C12" s="17" t="inlineStr">
        <is>
          <t>usageRecorder.ts:59</t>
        </is>
      </c>
    </row>
    <row r="13">
      <c r="A13" s="17" t="inlineStr">
        <is>
          <t>B3</t>
        </is>
      </c>
      <c r="B13" s="17" t="inlineStr">
        <is>
          <t>addDailyUsage：input.runs が渡されている（偽なら isFirstOfEvent で 1 か 0）</t>
        </is>
      </c>
      <c r="C13" s="17" t="inlineStr">
        <is>
          <t>usageRecorder.ts:67</t>
        </is>
      </c>
    </row>
    <row r="14">
      <c r="A14" s="17" t="inlineStr">
        <is>
          <t>B4</t>
        </is>
      </c>
      <c r="B14" s="17" t="inlineStr">
        <is>
          <t>addDailyUsage：トークン・Neurons が渡されている（偽なら 0）</t>
        </is>
      </c>
      <c r="C14" s="17" t="inlineStr">
        <is>
          <t>usageRecorder.ts:68-70</t>
        </is>
      </c>
    </row>
    <row r="15">
      <c r="A15" s="17" t="inlineStr">
        <is>
          <t>B5</t>
        </is>
      </c>
      <c r="B15" s="17" t="inlineStr">
        <is>
          <t>addDailyMetrics：列の値が undefined でない</t>
        </is>
      </c>
      <c r="C15" s="17" t="inlineStr">
        <is>
          <t>usageRecorder.ts:106</t>
        </is>
      </c>
    </row>
    <row r="16">
      <c r="A16" s="17" t="inlineStr">
        <is>
          <t>B6</t>
        </is>
      </c>
      <c r="B16" s="17" t="inlineStr">
        <is>
          <t>addDailyMetrics：加算する列が 0 個</t>
        </is>
      </c>
      <c r="C16" s="17" t="inlineStr">
        <is>
          <t>usageRecorder.ts:112</t>
        </is>
      </c>
    </row>
    <row r="17">
      <c r="A17" s="17" t="inlineStr">
        <is>
          <t>B7</t>
        </is>
      </c>
      <c r="B17" s="17" t="inlineStr">
        <is>
          <t>metricsForSucceededAction：行動の種類（6 通り）</t>
        </is>
      </c>
      <c r="C17" s="17" t="inlineStr">
        <is>
          <t>usageRecorder.ts:131-142</t>
        </is>
      </c>
    </row>
    <row r="18">
      <c r="A18" s="17" t="inlineStr">
        <is>
          <t>B8</t>
        </is>
      </c>
      <c r="B18" s="17" t="inlineStr">
        <is>
          <t>recordAttempt：result が ok</t>
        </is>
      </c>
      <c r="C18" s="17" t="inlineStr">
        <is>
          <t>usageRecorder.ts:154</t>
        </is>
      </c>
    </row>
    <row r="19">
      <c r="A19" s="17" t="inlineStr">
        <is>
          <t>B9</t>
        </is>
      </c>
      <c r="B19" s="17" t="inlineStr">
        <is>
          <t>recordAttempt：isFirstOfEvent が渡されている（偽なら attemptNo === 1）</t>
        </is>
      </c>
      <c r="C19" s="17" t="inlineStr">
        <is>
          <t>usageRecorder.ts:158</t>
        </is>
      </c>
    </row>
    <row r="20">
      <c r="A20" s="17" t="inlineStr">
        <is>
          <t>B10</t>
        </is>
      </c>
      <c r="B20" s="17" t="inlineStr">
        <is>
          <t>recordAttempt：所要時間が負（0 にする）</t>
        </is>
      </c>
      <c r="C20" s="17" t="inlineStr">
        <is>
          <t>usageRecorder.ts:160</t>
        </is>
      </c>
    </row>
    <row r="22">
      <c r="A22" s="14" t="inlineStr">
        <is>
          <t>確認事項・潜在バグ</t>
        </is>
      </c>
    </row>
    <row r="23" ht="30" customHeight="1">
      <c r="A23" s="18" t="inlineStr">
        <is>
          <t>・疑い 1：不正な形式の試行は LLM が応答しており Neurons を消費しているが、トークン・Neurons を 0 で記録している。daily_usage.neurons が実際の消費より少なくなり、日次上限の判定が甘くなる。recordAttempt は result が ok 以外のときトークン・Neurons を 0 にする。不正な形式の試行のトークン・Neurons は加算するのが仕様（2026-10-26 Kouhei Tajima の決定）。TC-UT_USG-012 は仕様の期待結果で書いた（実施で NG の見込み）。TC-NOUS63_DEV-02 は 0 を期待しており、仕様と食い違う</t>
        </is>
      </c>
    </row>
    <row r="24" ht="30" customHeight="1">
      <c r="A24" s="18" t="inlineStr">
        <is>
          <t>・分岐 B7 の偽（6 通りのどれにも当たらない）は通せない。引数の型が ActionKind | 'none' の 6 値で、switch がすべてを返すため、型の上では到達しない（default が無いので、型を外した値なら undefined を返す）</t>
        </is>
      </c>
    </row>
  </sheetData>
  <mergeCells count="2">
    <mergeCell ref="A23:C23"/>
    <mergeCell ref="A24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2026-10-26T05:57:35Z</dcterms:created>
  <dcterms:modified xsi:type="dcterms:W3CDTF">2026-10-26T05:57:35Z</dcterms:modified>
</cp:coreProperties>
</file>