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'観点表'!$A$4:$Q$50</definedName>
    <definedName name="_xlnm.Print_Titles" localSheetId="0">'観点表'!$4:$4</definedName>
    <definedName name="_xlnm._FilterDatabase" localSheetId="2" hidden="1">'テストデータ'!$A$4:$F$50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参加の判定・候補の抽選・乱数（generation/gate.ts・candidates.ts・rng.ts）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TC-NOUS48_DEV-01</t>
        </is>
      </c>
      <c r="C5" s="5" t="inlineStr">
        <is>
          <t>createRng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同じ種と salt からは同じ乱数列が出る</t>
        </is>
      </c>
      <c r="G5" s="5" t="inlineStr">
        <is>
          <t>前提：なし
入力：同じ種・同じ salt で 2 つ作る</t>
        </is>
      </c>
      <c r="H5" s="5" t="inlineStr">
        <is>
          <t>列が等しい</t>
        </is>
      </c>
      <c r="I5" s="5" t="inlineStr">
        <is>
          <t>B13-T</t>
        </is>
      </c>
      <c r="J5" s="5" t="inlineStr">
        <is>
          <t>なし</t>
        </is>
      </c>
      <c r="K5" s="5" t="inlineStr"/>
      <c r="L5" s="5" t="inlineStr"/>
      <c r="M5" s="5" t="inlineStr">
        <is>
          <t>TC-NOUS48_DEV-01 同じ種と salt からは同じ乱数列が出る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既存テスト：実装時のテスト（NOUS-48）</t>
        </is>
      </c>
    </row>
    <row r="6">
      <c r="A6" s="4" t="n">
        <v>2</v>
      </c>
      <c r="B6" s="4" t="inlineStr">
        <is>
          <t>TC-NOUS48_DEV-02</t>
        </is>
      </c>
      <c r="C6" s="5" t="inlineStr">
        <is>
          <t>createRng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salt が違えば乱数列が変わる</t>
        </is>
      </c>
      <c r="G6" s="5" t="inlineStr">
        <is>
          <t>前提：なし
入力：同じ種・違う salt</t>
        </is>
      </c>
      <c r="H6" s="5" t="inlineStr">
        <is>
          <t>列が違う</t>
        </is>
      </c>
      <c r="I6" s="5" t="inlineStr">
        <is>
          <t>B13-T</t>
        </is>
      </c>
      <c r="J6" s="5" t="inlineStr">
        <is>
          <t>なし</t>
        </is>
      </c>
      <c r="K6" s="5" t="inlineStr"/>
      <c r="L6" s="5" t="inlineStr"/>
      <c r="M6" s="5" t="inlineStr">
        <is>
          <t>TC-NOUS48_DEV-02 salt が違えば乱数列が変わる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既存テスト：実装時のテスト（NOUS-48）</t>
        </is>
      </c>
    </row>
    <row r="7">
      <c r="A7" s="4" t="n">
        <v>3</v>
      </c>
      <c r="B7" s="4" t="inlineStr">
        <is>
          <t>TC-NOUS48_DEV-03</t>
        </is>
      </c>
      <c r="C7" s="5" t="inlineStr">
        <is>
          <t>createRng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種が違えば乱数列が変わる</t>
        </is>
      </c>
      <c r="G7" s="5" t="inlineStr">
        <is>
          <t>前提：なし
入力：違う種・同じ salt</t>
        </is>
      </c>
      <c r="H7" s="5" t="inlineStr">
        <is>
          <t>列が違う</t>
        </is>
      </c>
      <c r="I7" s="5" t="inlineStr">
        <is>
          <t>B13-T</t>
        </is>
      </c>
      <c r="J7" s="5" t="inlineStr">
        <is>
          <t>なし</t>
        </is>
      </c>
      <c r="K7" s="5" t="inlineStr"/>
      <c r="L7" s="5" t="inlineStr"/>
      <c r="M7" s="5" t="inlineStr">
        <is>
          <t>TC-NOUS48_DEV-03 種が違えば乱数列が変わる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既存テスト：実装時のテスト（NOUS-48）</t>
        </is>
      </c>
    </row>
    <row r="8">
      <c r="A8" s="4" t="n">
        <v>4</v>
      </c>
      <c r="B8" s="4" t="inlineStr">
        <is>
          <t>TC-NOUS48_DEV-04</t>
        </is>
      </c>
      <c r="C8" s="5" t="inlineStr">
        <is>
          <t>createRng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値はいつも 0 以上 1 未満</t>
        </is>
      </c>
      <c r="G8" s="5" t="inlineStr">
        <is>
          <t>前提：なし
入力：多数の値</t>
        </is>
      </c>
      <c r="H8" s="5" t="inlineStr">
        <is>
          <t>0 以上 1 未満</t>
        </is>
      </c>
      <c r="I8" s="5" t="inlineStr">
        <is>
          <t>B13-T</t>
        </is>
      </c>
      <c r="J8" s="5" t="inlineStr">
        <is>
          <t>なし</t>
        </is>
      </c>
      <c r="K8" s="5" t="inlineStr"/>
      <c r="L8" s="5" t="inlineStr"/>
      <c r="M8" s="5" t="inlineStr">
        <is>
          <t>TC-NOUS48_DEV-04 値はいつも 0 以上 1 未満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既存テスト：実装時のテスト（NOUS-48）</t>
        </is>
      </c>
    </row>
    <row r="9">
      <c r="A9" s="4" t="n">
        <v>5</v>
      </c>
      <c r="B9" s="4" t="inlineStr">
        <is>
          <t>TC-NOUS48_DEV-05</t>
        </is>
      </c>
      <c r="C9" s="5" t="inlineStr">
        <is>
          <t>mulberry32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mulberry32 は既知の値を返す（種 1）</t>
        </is>
      </c>
      <c r="G9" s="5" t="inlineStr">
        <is>
          <t>前提：なし
入力：mulberry32(1) の 3 つ</t>
        </is>
      </c>
      <c r="H9" s="5" t="inlineStr">
        <is>
          <t>既知の 3 つの値</t>
        </is>
      </c>
      <c r="I9" s="5" t="inlineStr"/>
      <c r="J9" s="5" t="inlineStr">
        <is>
          <t>なし</t>
        </is>
      </c>
      <c r="K9" s="5" t="inlineStr"/>
      <c r="L9" s="5" t="inlineStr"/>
      <c r="M9" s="5" t="inlineStr">
        <is>
          <t>TC-NOUS48_DEV-05 mulberry32 は既知の値を返す（種 1）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既存テスト：実装時のテスト（NOUS-48）</t>
        </is>
      </c>
    </row>
    <row r="10">
      <c r="A10" s="4" t="n">
        <v>6</v>
      </c>
      <c r="B10" s="4" t="inlineStr">
        <is>
          <t>TC-NOUS48_DEV-06</t>
        </is>
      </c>
      <c r="C10" s="5" t="inlineStr">
        <is>
          <t>fnv1a32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FNV-1a は既知の値を返す</t>
        </is>
      </c>
      <c r="G10" s="5" t="inlineStr">
        <is>
          <t>前提：なし
入力：""、"a"</t>
        </is>
      </c>
      <c r="H10" s="5" t="inlineStr">
        <is>
          <t>0x811c9dc5、0xe40c292c</t>
        </is>
      </c>
      <c r="I10" s="5" t="inlineStr">
        <is>
          <t>B13-T, B13-F</t>
        </is>
      </c>
      <c r="J10" s="5" t="inlineStr">
        <is>
          <t>なし</t>
        </is>
      </c>
      <c r="K10" s="5" t="inlineStr"/>
      <c r="L10" s="5" t="inlineStr"/>
      <c r="M10" s="5" t="inlineStr">
        <is>
          <t>TC-NOUS48_DEV-06 FNV-1a は既知の値を返す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既存テスト：実装時のテスト（NOUS-48）</t>
        </is>
      </c>
    </row>
    <row r="11">
      <c r="A11" s="4" t="n">
        <v>7</v>
      </c>
      <c r="B11" s="4" t="inlineStr">
        <is>
          <t>TC-NOUS48_DEV-07</t>
        </is>
      </c>
      <c r="C11" s="5" t="inlineStr">
        <is>
          <t>createRng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createRng は salt のハッシュと種の XOR を mulberry32 に渡す</t>
        </is>
      </c>
      <c r="G11" s="5" t="inlineStr">
        <is>
          <t>前提：なし
入力：種 12345、salt "01J0AGENT"</t>
        </is>
      </c>
      <c r="H11" s="5" t="inlineStr">
        <is>
          <t>mulberry32((12345 ^ fnv1a32(salt)) &gt;&gt;&gt; 0) と同じ列、既知の値</t>
        </is>
      </c>
      <c r="I11" s="5" t="inlineStr">
        <is>
          <t>B13-T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TC-NOUS48_DEV-07 createRng は salt のハッシュと種の XOR を mulberry32 に渡す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既存テスト：実装時のテスト（NOUS-48）</t>
        </is>
      </c>
    </row>
    <row r="12">
      <c r="A12" s="4" t="n">
        <v>8</v>
      </c>
      <c r="B12" s="4" t="inlineStr">
        <is>
          <t>TC-NOUS61_DEV-01</t>
        </is>
      </c>
      <c r="C12" s="5" t="inlineStr">
        <is>
          <t>participationProbability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活動頻度に対応する参加の確率を返す</t>
        </is>
      </c>
      <c r="G12" s="5" t="inlineStr">
        <is>
          <t>前提：なし
入力：活動頻度 1〜5</t>
        </is>
      </c>
      <c r="H12" s="5" t="inlineStr">
        <is>
          <t>0.3、0.45、0.6、0.75、0.9</t>
        </is>
      </c>
      <c r="I12" s="5" t="inlineStr">
        <is>
          <t>B1-F, B2-F</t>
        </is>
      </c>
      <c r="J12" s="5" t="inlineStr">
        <is>
          <t>なし</t>
        </is>
      </c>
      <c r="K12" s="5" t="inlineStr"/>
      <c r="L12" s="5" t="inlineStr"/>
      <c r="M12" s="5" t="inlineStr">
        <is>
          <t>TC-NOUS61_DEV-01 活動頻度に対応する参加の確率を返す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既存テスト：実装時のテスト（NOUS-61）</t>
        </is>
      </c>
    </row>
    <row r="13">
      <c r="A13" s="4" t="n">
        <v>9</v>
      </c>
      <c r="B13" s="4" t="inlineStr">
        <is>
          <t>TC-NOUS61_DEV-02</t>
        </is>
      </c>
      <c r="C13" s="5" t="inlineStr">
        <is>
          <t>participationProbability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活動頻度が 1〜5 の整数でなければ RangeError</t>
        </is>
      </c>
      <c r="G13" s="5" t="inlineStr">
        <is>
          <t>前提：なし
入力：0、6、2.5、NaN（it.each）</t>
        </is>
      </c>
      <c r="H13" s="5" t="inlineStr">
        <is>
          <t>RangeError</t>
        </is>
      </c>
      <c r="I13" s="5" t="inlineStr">
        <is>
          <t>B1-T, B2-T</t>
        </is>
      </c>
      <c r="J13" s="5" t="inlineStr">
        <is>
          <t>なし</t>
        </is>
      </c>
      <c r="K13" s="5" t="inlineStr"/>
      <c r="L13" s="5" t="inlineStr"/>
      <c r="M13" s="5" t="inlineStr">
        <is>
          <t>TC-NOUS61_DEV-02 活動頻度が 1〜5 の整数でなければ RangeError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既存テスト：実装時のテスト（NOUS-61）</t>
        </is>
      </c>
    </row>
    <row r="14">
      <c r="A14" s="4" t="n">
        <v>10</v>
      </c>
      <c r="B14" s="4" t="inlineStr">
        <is>
          <t>TC-NOUS61_DEV-03</t>
        </is>
      </c>
      <c r="C14" s="5" t="inlineStr">
        <is>
          <t>decideParticipation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同じ種とエージェントなら同じ判定になる</t>
        </is>
      </c>
      <c r="G14" s="5" t="inlineStr">
        <is>
          <t>前提：なし
入力：種 0〜49、同じエージェント</t>
        </is>
      </c>
      <c r="H14" s="5" t="inlineStr">
        <is>
          <t>2 回の判定が等しい</t>
        </is>
      </c>
      <c r="I14" s="5" t="inlineStr">
        <is>
          <t>B3-T, B3-F</t>
        </is>
      </c>
      <c r="J14" s="5" t="inlineStr">
        <is>
          <t>なし</t>
        </is>
      </c>
      <c r="K14" s="5" t="inlineStr"/>
      <c r="L14" s="5" t="inlineStr"/>
      <c r="M14" s="5" t="inlineStr">
        <is>
          <t>TC-NOUS61_DEV-03 同じ種とエージェントなら同じ判定になる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既存テスト：実装時のテスト（NOUS-61）</t>
        </is>
      </c>
    </row>
    <row r="15">
      <c r="A15" s="4" t="n">
        <v>11</v>
      </c>
      <c r="B15" s="4" t="inlineStr">
        <is>
          <t>TC-NOUS61_DEV-04</t>
        </is>
      </c>
      <c r="C15" s="5" t="inlineStr">
        <is>
          <t>decideParticipation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判定は createRng(seed, agent_id) の最初の値 &lt; 確率</t>
        </is>
      </c>
      <c r="G15" s="5" t="inlineStr">
        <is>
          <t>前提：なし
入力：種 0〜49、活動頻度 4</t>
        </is>
      </c>
      <c r="H15" s="5" t="inlineStr">
        <is>
          <t>createRng の最初の値 &lt; 0.75 と一致</t>
        </is>
      </c>
      <c r="I15" s="5" t="inlineStr">
        <is>
          <t>B3-T, B3-F</t>
        </is>
      </c>
      <c r="J15" s="5" t="inlineStr">
        <is>
          <t>なし</t>
        </is>
      </c>
      <c r="K15" s="5" t="inlineStr"/>
      <c r="L15" s="5" t="inlineStr"/>
      <c r="M15" s="5" t="inlineStr">
        <is>
          <t>TC-NOUS61_DEV-04 判定は createRng(seed, agent_id) の最初の値 &lt; 確率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既存テスト：実装時のテスト（NOUS-61）</t>
        </is>
      </c>
    </row>
    <row r="16">
      <c r="A16" s="4" t="n">
        <v>12</v>
      </c>
      <c r="B16" s="4" t="inlineStr">
        <is>
          <t>TC-NOUS61_DEV-05</t>
        </is>
      </c>
      <c r="C16" s="5" t="inlineStr">
        <is>
          <t>decideParticipation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確率 0 なら参加せず、確率 1 なら必ず参加する</t>
        </is>
      </c>
      <c r="G16" s="5" t="inlineStr">
        <is>
          <t>前提：なし
入力：確率 0 と 1 の設定、種 0〜99</t>
        </is>
      </c>
      <c r="H16" s="5" t="inlineStr">
        <is>
          <t>0 は常に false、1 は常に true</t>
        </is>
      </c>
      <c r="I16" s="5" t="inlineStr">
        <is>
          <t>B3-T, B3-F</t>
        </is>
      </c>
      <c r="J16" s="5" t="inlineStr">
        <is>
          <t>なし</t>
        </is>
      </c>
      <c r="K16" s="5" t="inlineStr"/>
      <c r="L16" s="5" t="inlineStr"/>
      <c r="M16" s="5" t="inlineStr">
        <is>
          <t>TC-NOUS61_DEV-05 確率 0 なら参加せず、確率 1 なら必ず参加する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既存テスト：実装時のテスト（NOUS-61）</t>
        </is>
      </c>
    </row>
    <row r="17">
      <c r="A17" s="4" t="n">
        <v>13</v>
      </c>
      <c r="B17" s="4" t="inlineStr">
        <is>
          <t>TC-NOUS61_DEV-06</t>
        </is>
      </c>
      <c r="C17" s="5" t="inlineStr">
        <is>
          <t>decideParticipation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多数の種で、参加の割合が確率に近い</t>
        </is>
      </c>
      <c r="G17" s="5" t="inlineStr">
        <is>
          <t>前提：なし
入力：種 0〜4999、活動頻度 3</t>
        </is>
      </c>
      <c r="H17" s="5" t="inlineStr">
        <is>
          <t>参加の割合が 0.55〜0.65</t>
        </is>
      </c>
      <c r="I17" s="5" t="inlineStr">
        <is>
          <t>B3-T, B3-F</t>
        </is>
      </c>
      <c r="J17" s="5" t="inlineStr">
        <is>
          <t>なし</t>
        </is>
      </c>
      <c r="K17" s="5" t="inlineStr"/>
      <c r="L17" s="5" t="inlineStr"/>
      <c r="M17" s="5" t="inlineStr">
        <is>
          <t>TC-NOUS61_DEV-06 多数の種で、参加の割合が確率に近い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既存テスト：実装時のテスト（NOUS-61）</t>
        </is>
      </c>
    </row>
    <row r="18">
      <c r="A18" s="4" t="n">
        <v>14</v>
      </c>
      <c r="B18" s="4" t="inlineStr">
        <is>
          <t>TC-NOUS61_DEV-11</t>
        </is>
      </c>
      <c r="C18" s="5" t="inlineStr">
        <is>
          <t>availableActions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何もなければ post だけ</t>
        </is>
      </c>
      <c r="G18" s="5" t="inlineStr">
        <is>
          <t>前提：なし
入力：すべて空</t>
        </is>
      </c>
      <c r="H18" s="5" t="inlineStr">
        <is>
          <t>['post']</t>
        </is>
      </c>
      <c r="I18" s="5" t="inlineStr">
        <is>
          <t>B4-F, B5-F, B6-F, B7-F</t>
        </is>
      </c>
      <c r="J18" s="5" t="inlineStr">
        <is>
          <t>なし</t>
        </is>
      </c>
      <c r="K18" s="5" t="inlineStr"/>
      <c r="L18" s="5" t="inlineStr"/>
      <c r="M18" s="5" t="inlineStr">
        <is>
          <t>TC-NOUS61_DEV-11 何もなければ post だけ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既存テスト：実装時のテスト（NOUS-61）</t>
        </is>
      </c>
    </row>
    <row r="19">
      <c r="A19" s="4" t="n">
        <v>15</v>
      </c>
      <c r="B19" s="4" t="inlineStr">
        <is>
          <t>TC-NOUS61_DEV-12</t>
        </is>
      </c>
      <c r="C19" s="5" t="inlineStr">
        <is>
          <t>availableActions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条件ごとに reply・like・follow・unfollow が加わる</t>
        </is>
      </c>
      <c r="G19" s="5" t="inlineStr">
        <is>
          <t>前提：なし
入力：それぞれの条件を満たす値</t>
        </is>
      </c>
      <c r="H19" s="5" t="inlineStr">
        <is>
          <t>条件に応じた種類が加わる</t>
        </is>
      </c>
      <c r="I19" s="5" t="inlineStr">
        <is>
          <t>B4-T, B5-T, B6-T, B7-T</t>
        </is>
      </c>
      <c r="J19" s="5" t="inlineStr">
        <is>
          <t>なし</t>
        </is>
      </c>
      <c r="K19" s="5" t="inlineStr"/>
      <c r="L19" s="5" t="inlineStr"/>
      <c r="M19" s="5" t="inlineStr">
        <is>
          <t>TC-NOUS61_DEV-12 条件ごとに reply・like・follow・unfollow が加わる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既存テスト：実装時のテスト（NOUS-61）</t>
        </is>
      </c>
    </row>
    <row r="20">
      <c r="A20" s="4" t="n">
        <v>16</v>
      </c>
      <c r="B20" s="4" t="inlineStr">
        <is>
          <t>TC-NOUS61_DEV-13</t>
        </is>
      </c>
      <c r="C20" s="5" t="inlineStr">
        <is>
          <t>drawCandidates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既定では候補を 2 つ、重複なしに選ぶ</t>
        </is>
      </c>
      <c r="G20" s="5" t="inlineStr">
        <is>
          <t>前提：なし
入力：種 0〜199、5 種類</t>
        </is>
      </c>
      <c r="H20" s="5" t="inlineStr">
        <is>
          <t>2 つ、重複なし</t>
        </is>
      </c>
      <c r="I20" s="5" t="inlineStr">
        <is>
          <t>B9-T, B10-T, B10-F, B11-T, B12-T</t>
        </is>
      </c>
      <c r="J20" s="5" t="inlineStr">
        <is>
          <t>なし</t>
        </is>
      </c>
      <c r="K20" s="5" t="inlineStr"/>
      <c r="L20" s="5" t="inlineStr"/>
      <c r="M20" s="5" t="inlineStr">
        <is>
          <t>TC-NOUS61_DEV-13 既定では候補を 2 つ、重複なしに選ぶ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既存テスト：実装時のテスト（NOUS-61）</t>
        </is>
      </c>
    </row>
    <row r="21">
      <c r="A21" s="4" t="n">
        <v>17</v>
      </c>
      <c r="B21" s="4" t="inlineStr">
        <is>
          <t>TC-NOUS61_DEV-14</t>
        </is>
      </c>
      <c r="C21" s="5" t="inlineStr">
        <is>
          <t>drawCandidates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候補の数は config.candidateCount に従う（2〜4）</t>
        </is>
      </c>
      <c r="G21" s="5" t="inlineStr">
        <is>
          <t>前提：なし
入力：candidateCount 2・3・4</t>
        </is>
      </c>
      <c r="H21" s="5" t="inlineStr">
        <is>
          <t>その数だけ返す</t>
        </is>
      </c>
      <c r="I21" s="5" t="inlineStr">
        <is>
          <t>B10-T, B10-F</t>
        </is>
      </c>
      <c r="J21" s="5" t="inlineStr">
        <is>
          <t>なし</t>
        </is>
      </c>
      <c r="K21" s="5" t="inlineStr"/>
      <c r="L21" s="5" t="inlineStr"/>
      <c r="M21" s="5" t="inlineStr">
        <is>
          <t>TC-NOUS61_DEV-14 候補の数は config.candidateCount に従う（2〜4）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既存テスト：実装時のテスト（NOUS-61）</t>
        </is>
      </c>
    </row>
    <row r="22">
      <c r="A22" s="4" t="n">
        <v>18</v>
      </c>
      <c r="B22" s="4" t="inlineStr">
        <is>
          <t>TC-NOUS61_DEV-15</t>
        </is>
      </c>
      <c r="C22" s="5" t="inlineStr">
        <is>
          <t>drawCandidates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選べる種類が候補の数より少なければ、その数だけ返す</t>
        </is>
      </c>
      <c r="G22" s="5" t="inlineStr">
        <is>
          <t>前提：なし
入力：['post']、['post','like'] で候補 4</t>
        </is>
      </c>
      <c r="H22" s="5" t="inlineStr">
        <is>
          <t>['post']、{post, like}</t>
        </is>
      </c>
      <c r="I22" s="5" t="inlineStr">
        <is>
          <t>B10-F</t>
        </is>
      </c>
      <c r="J22" s="5" t="inlineStr">
        <is>
          <t>なし</t>
        </is>
      </c>
      <c r="K22" s="5" t="inlineStr"/>
      <c r="L22" s="5" t="inlineStr"/>
      <c r="M22" s="5" t="inlineStr">
        <is>
          <t>TC-NOUS61_DEV-15 選べる種類が候補の数より少なければ、その数だけ返す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既存テスト：実装時のテスト（NOUS-61）</t>
        </is>
      </c>
    </row>
    <row r="23">
      <c r="A23" s="4" t="n">
        <v>19</v>
      </c>
      <c r="B23" s="4" t="inlineStr">
        <is>
          <t>TC-NOUS61_DEV-16</t>
        </is>
      </c>
      <c r="C23" s="5" t="inlineStr">
        <is>
          <t>drawCandidates</t>
        </is>
      </c>
      <c r="D23" s="4" t="inlineStr">
        <is>
          <t>異常系</t>
        </is>
      </c>
      <c r="E23" s="4" t="inlineStr">
        <is>
          <t>開発者テスト</t>
        </is>
      </c>
      <c r="F23" s="5" t="inlineStr">
        <is>
          <t>選べる種類が無ければ ['post']</t>
        </is>
      </c>
      <c r="G23" s="5" t="inlineStr">
        <is>
          <t>前提：なし
入力：available=[]</t>
        </is>
      </c>
      <c r="H23" s="5" t="inlineStr">
        <is>
          <t>['post']</t>
        </is>
      </c>
      <c r="I23" s="5" t="inlineStr">
        <is>
          <t>B10-F, B12-F</t>
        </is>
      </c>
      <c r="J23" s="5" t="inlineStr">
        <is>
          <t>なし</t>
        </is>
      </c>
      <c r="K23" s="5" t="inlineStr"/>
      <c r="L23" s="5" t="inlineStr"/>
      <c r="M23" s="5" t="inlineStr">
        <is>
          <t>TC-NOUS61_DEV-16 選べる種類が無ければ ['post']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既存テスト：実装時のテスト（NOUS-61）</t>
        </is>
      </c>
    </row>
    <row r="24">
      <c r="A24" s="4" t="n">
        <v>20</v>
      </c>
      <c r="B24" s="4" t="inlineStr">
        <is>
          <t>TC-NOUS61_DEV-17</t>
        </is>
      </c>
      <c r="C24" s="5" t="inlineStr">
        <is>
          <t>drawCandidates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選べない種類は候補に入らない</t>
        </is>
      </c>
      <c r="G24" s="5" t="inlineStr">
        <is>
          <t>前提：なし
入力：['post','reply','like']</t>
        </is>
      </c>
      <c r="H24" s="5" t="inlineStr">
        <is>
          <t>その 3 種類のどれか</t>
        </is>
      </c>
      <c r="I24" s="5" t="inlineStr">
        <is>
          <t>B8-T, B8-F</t>
        </is>
      </c>
      <c r="J24" s="5" t="inlineStr">
        <is>
          <t>なし</t>
        </is>
      </c>
      <c r="K24" s="5" t="inlineStr"/>
      <c r="L24" s="5" t="inlineStr"/>
      <c r="M24" s="5" t="inlineStr">
        <is>
          <t>TC-NOUS61_DEV-17 選べない種類は候補に入らない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既存テスト：実装時のテスト（NOUS-61）</t>
        </is>
      </c>
    </row>
    <row r="25">
      <c r="A25" s="4" t="n">
        <v>21</v>
      </c>
      <c r="B25" s="4" t="inlineStr">
        <is>
          <t>TC-NOUS61_DEV-18</t>
        </is>
      </c>
      <c r="C25" s="5" t="inlineStr">
        <is>
          <t>candidateWeights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直近の行動に含まれるたびに重みを recentPenalty 倍にする</t>
        </is>
      </c>
      <c r="G25" s="5" t="inlineStr">
        <is>
          <t>前提：なし
入力：recent=['post','post']、['like','reply']</t>
        </is>
      </c>
      <c r="H25" s="5" t="inlineStr">
        <is>
          <t>post 3×0.4×0.4、like 2.5×0.4、reply 3</t>
        </is>
      </c>
      <c r="I25" s="5" t="inlineStr">
        <is>
          <t>B8-F</t>
        </is>
      </c>
      <c r="J25" s="5" t="inlineStr">
        <is>
          <t>なし</t>
        </is>
      </c>
      <c r="K25" s="5" t="inlineStr"/>
      <c r="L25" s="5" t="inlineStr"/>
      <c r="M25" s="5" t="inlineStr">
        <is>
          <t>TC-NOUS61_DEV-18 直近の行動に含まれるたびに重みを recentPenalty 倍にする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既存テスト：実装時のテスト（NOUS-61）</t>
        </is>
      </c>
    </row>
    <row r="26">
      <c r="A26" s="4" t="n">
        <v>22</v>
      </c>
      <c r="B26" s="4" t="inlineStr">
        <is>
          <t>TC-NOUS61_DEV-19</t>
        </is>
      </c>
      <c r="C26" s="5" t="inlineStr">
        <is>
          <t>drawCandidates</t>
        </is>
      </c>
      <c r="D26" s="4" t="inlineStr">
        <is>
          <t>正常系</t>
        </is>
      </c>
      <c r="E26" s="4" t="inlineStr">
        <is>
          <t>開発者テスト</t>
        </is>
      </c>
      <c r="F26" s="5" t="inlineStr">
        <is>
          <t>重みに比例して選ぶ（累積の区間で決まる）</t>
        </is>
      </c>
      <c r="G26" s="5" t="inlineStr">
        <is>
          <t>前提：なし
入力：固定の乱数 0、0.99、0.29</t>
        </is>
      </c>
      <c r="H26" s="5" t="inlineStr">
        <is>
          <t>post、unfollow、reply</t>
        </is>
      </c>
      <c r="I26" s="5" t="inlineStr">
        <is>
          <t>B11-T, B11-F</t>
        </is>
      </c>
      <c r="J26" s="5" t="inlineStr">
        <is>
          <t>なし</t>
        </is>
      </c>
      <c r="K26" s="5" t="inlineStr"/>
      <c r="L26" s="5" t="inlineStr"/>
      <c r="M26" s="5" t="inlineStr">
        <is>
          <t>TC-NOUS61_DEV-19 重みに比例して選ぶ（累積の区間で決まる）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既存テスト：実装時のテスト（NOUS-61）</t>
        </is>
      </c>
    </row>
    <row r="27">
      <c r="A27" s="4" t="n">
        <v>23</v>
      </c>
      <c r="B27" s="4" t="inlineStr">
        <is>
          <t>TC-NOUS61_DEV-20</t>
        </is>
      </c>
      <c r="C27" s="5" t="inlineStr">
        <is>
          <t>drawCandidates</t>
        </is>
      </c>
      <c r="D27" s="4" t="inlineStr">
        <is>
          <t>正常系</t>
        </is>
      </c>
      <c r="E27" s="4" t="inlineStr">
        <is>
          <t>開発者テスト</t>
        </is>
      </c>
      <c r="F27" s="5" t="inlineStr">
        <is>
          <t>重み 0 の種類は選ばない</t>
        </is>
      </c>
      <c r="G27" s="5" t="inlineStr">
        <is>
          <t>前提：なし
入力：follow・unfollow の重み 0、候補 4</t>
        </is>
      </c>
      <c r="H27" s="5" t="inlineStr">
        <is>
          <t>follow・unfollow を含まない</t>
        </is>
      </c>
      <c r="I27" s="5" t="inlineStr">
        <is>
          <t>B9-T, B9-F</t>
        </is>
      </c>
      <c r="J27" s="5" t="inlineStr">
        <is>
          <t>なし</t>
        </is>
      </c>
      <c r="K27" s="5" t="inlineStr"/>
      <c r="L27" s="5" t="inlineStr"/>
      <c r="M27" s="5" t="inlineStr">
        <is>
          <t>TC-NOUS61_DEV-20 重み 0 の種類は選ばない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既存テスト：実装時のテスト（NOUS-61）</t>
        </is>
      </c>
    </row>
    <row r="28">
      <c r="A28" s="4" t="n">
        <v>24</v>
      </c>
      <c r="B28" s="4" t="inlineStr">
        <is>
          <t>TC-NOUS61_DEV-21</t>
        </is>
      </c>
      <c r="C28" s="5" t="inlineStr">
        <is>
          <t>drawCandidates</t>
        </is>
      </c>
      <c r="D28" s="4" t="inlineStr">
        <is>
          <t>正常系</t>
        </is>
      </c>
      <c r="E28" s="4" t="inlineStr">
        <is>
          <t>開発者テスト</t>
        </is>
      </c>
      <c r="F28" s="5" t="inlineStr">
        <is>
          <t>減点された種類は選ばれにくくなる</t>
        </is>
      </c>
      <c r="G28" s="5" t="inlineStr">
        <is>
          <t>前提：なし
入力：種 0〜2999、recent=['post','post'] と []</t>
        </is>
      </c>
      <c r="H28" s="5" t="inlineStr">
        <is>
          <t>post が選ばれる回数が減る</t>
        </is>
      </c>
      <c r="I28" s="5" t="inlineStr">
        <is>
          <t>B11-T, B11-F</t>
        </is>
      </c>
      <c r="J28" s="5" t="inlineStr">
        <is>
          <t>なし</t>
        </is>
      </c>
      <c r="K28" s="5" t="inlineStr"/>
      <c r="L28" s="5" t="inlineStr"/>
      <c r="M28" s="5" t="inlineStr">
        <is>
          <t>TC-NOUS61_DEV-21 減点された種類は選ばれにくくなる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既存テスト：実装時のテスト（NOUS-61）</t>
        </is>
      </c>
    </row>
    <row r="29">
      <c r="A29" s="4" t="n">
        <v>25</v>
      </c>
      <c r="B29" s="4" t="inlineStr">
        <is>
          <t>TC-NOUS61_DEV-22</t>
        </is>
      </c>
      <c r="C29" s="5" t="inlineStr">
        <is>
          <t>createCandidateRng</t>
        </is>
      </c>
      <c r="D29" s="4" t="inlineStr">
        <is>
          <t>正常系</t>
        </is>
      </c>
      <c r="E29" s="4" t="inlineStr">
        <is>
          <t>開発者テスト</t>
        </is>
      </c>
      <c r="F29" s="5" t="inlineStr">
        <is>
          <t>同じ種なら同じ候補になり、判定の乱数とは別の列を使う</t>
        </is>
      </c>
      <c r="G29" s="5" t="inlineStr">
        <is>
          <t>前提：なし
入力：種 42、agent</t>
        </is>
      </c>
      <c r="H29" s="5" t="inlineStr">
        <is>
          <t>同じ候補。最初の値が createRng(42, agent) と違う</t>
        </is>
      </c>
      <c r="I29" s="5" t="inlineStr">
        <is>
          <t>B13-T</t>
        </is>
      </c>
      <c r="J29" s="5" t="inlineStr">
        <is>
          <t>なし</t>
        </is>
      </c>
      <c r="K29" s="5" t="inlineStr"/>
      <c r="L29" s="5" t="inlineStr"/>
      <c r="M29" s="5" t="inlineStr">
        <is>
          <t>TC-NOUS61_DEV-22 同じ種なら同じ候補になり、判定の乱数とは別の列を使う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既存テスト：実装時のテスト（NOUS-61）</t>
        </is>
      </c>
    </row>
    <row r="30">
      <c r="A30" s="4" t="n">
        <v>26</v>
      </c>
      <c r="B30" s="4" t="inlineStr">
        <is>
          <t>TC-UT_CAND-001</t>
        </is>
      </c>
      <c r="C30" s="5" t="inlineStr">
        <is>
          <t>createRng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salt が空の文字列なら、種とオフセット基底の XOR を mulberry32 に渡す</t>
        </is>
      </c>
      <c r="G30" s="5" t="inlineStr">
        <is>
          <t>前提：なし
入力：種 12345、salt ""</t>
        </is>
      </c>
      <c r="H30" s="5" t="inlineStr">
        <is>
          <t>mulberry32((12345 ^ 0x811c9dc5) &gt;&gt;&gt; 0) と同じ列</t>
        </is>
      </c>
      <c r="I30" s="5" t="inlineStr">
        <is>
          <t>B13-F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TC-UT_CAND-001 salt が空の文字列なら、種とオフセット基底（0x811c9dc5）の XOR を mulberry32 に渡す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TC-NOUS48_DEV-06（fnv1a32 の値だけ）</t>
        </is>
      </c>
    </row>
    <row r="31">
      <c r="A31" s="4" t="n">
        <v>27</v>
      </c>
      <c r="B31" s="4" t="inlineStr">
        <is>
          <t>TC-UT_CAND-002</t>
        </is>
      </c>
      <c r="C31" s="5" t="inlineStr">
        <is>
          <t>fnv1a32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FNV-1a は UTF-16 ではなく UTF-8 のバイト列にかける（多バイトの字）</t>
        </is>
      </c>
      <c r="G31" s="5" t="inlineStr">
        <is>
          <t>前提：なし
入力："あ"（E3 81 82）</t>
        </is>
      </c>
      <c r="H31" s="5" t="inlineStr">
        <is>
          <t>バイト列に手でかけた値と等しい</t>
        </is>
      </c>
      <c r="I31" s="5" t="inlineStr">
        <is>
          <t>B13-T</t>
        </is>
      </c>
      <c r="J31" s="5" t="inlineStr">
        <is>
          <t>なし</t>
        </is>
      </c>
      <c r="K31" s="5" t="inlineStr"/>
      <c r="L31" s="5" t="inlineStr"/>
      <c r="M31" s="5" t="inlineStr">
        <is>
          <t>TC-UT_CAND-002 FNV-1a は UTF-8 のバイト列にかける（「あ」は E3 81 82 の 3 バイト）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既存テスト：なし（DEV-06 は ASCII だけ）
エージェント ID は ULID（ASCII）だが、salt に日本語が入っても同じ値になることを確かめる</t>
        </is>
      </c>
    </row>
    <row r="32">
      <c r="A32" s="4" t="n">
        <v>28</v>
      </c>
      <c r="B32" s="4" t="inlineStr">
        <is>
          <t>TC-UT_CAND-003</t>
        </is>
      </c>
      <c r="C32" s="5" t="inlineStr">
        <is>
          <t>createRng</t>
        </is>
      </c>
      <c r="D32" s="4" t="inlineStr">
        <is>
          <t>正常系</t>
        </is>
      </c>
      <c r="E32" s="4" t="inlineStr">
        <is>
          <t>境界値</t>
        </is>
      </c>
      <c r="F32" s="5" t="inlineStr">
        <is>
          <t>種の境界（0、0xFFFFFFFF、-1）でも 0 以上 1 未満の値を返す</t>
        </is>
      </c>
      <c r="G32" s="5" t="inlineStr">
        <is>
          <t>前提：なし
入力：種 0、0xFFFFFFFF、-1（it.each）、各 100 個</t>
        </is>
      </c>
      <c r="H32" s="5" t="inlineStr">
        <is>
          <t>すべて 0 以上 1 未満</t>
        </is>
      </c>
      <c r="I32" s="5" t="inlineStr">
        <is>
          <t>B13-T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TC-UT_CAND-003 種の境界でも 0 以上 1 未満の値を返す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TC-NOUS48_DEV-04（種の境界は見ていない）
cycle_seed は 32 ビットの整数（world.md）</t>
        </is>
      </c>
    </row>
    <row r="33">
      <c r="A33" s="4" t="n">
        <v>29</v>
      </c>
      <c r="B33" s="4" t="inlineStr">
        <is>
          <t>TC-UT_CAND-004</t>
        </is>
      </c>
      <c r="C33" s="5" t="inlineStr">
        <is>
          <t>createRng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種 -1 は 0xFFFFFFFF と同じ乱数列になる（32 ビットに丸める）</t>
        </is>
      </c>
      <c r="G33" s="5" t="inlineStr">
        <is>
          <t>前提：なし
入力：種 -1 と 0xFFFFFFFF</t>
        </is>
      </c>
      <c r="H33" s="5" t="inlineStr">
        <is>
          <t>最初の 3 つが等しい</t>
        </is>
      </c>
      <c r="I33" s="5" t="inlineStr">
        <is>
          <t>B13-T</t>
        </is>
      </c>
      <c r="J33" s="5" t="inlineStr">
        <is>
          <t>なし</t>
        </is>
      </c>
      <c r="K33" s="5" t="inlineStr"/>
      <c r="L33" s="5" t="inlineStr"/>
      <c r="M33" s="5" t="inlineStr">
        <is>
          <t>TC-UT_CAND-004 種 -1 は 0xFFFFFFFF と同じ乱数列になる（32 ビットに丸める）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
設計書に記載なし。実装の値（XOR で 32 ビットに丸める）</t>
        </is>
      </c>
    </row>
    <row r="34">
      <c r="A34" s="4" t="n">
        <v>30</v>
      </c>
      <c r="B34" s="4" t="inlineStr">
        <is>
          <t>TC-UT_CAND-005</t>
        </is>
      </c>
      <c r="C34" s="5" t="inlineStr">
        <is>
          <t>createRng</t>
        </is>
      </c>
      <c r="D34" s="4" t="inlineStr">
        <is>
          <t>正常系</t>
        </is>
      </c>
      <c r="E34" s="4" t="inlineStr">
        <is>
          <t>状態遷移</t>
        </is>
      </c>
      <c r="F34" s="5" t="inlineStr">
        <is>
          <t>乱数の関数ごとに状態を持ち、別に作った関数の列に影響しない</t>
        </is>
      </c>
      <c r="G34" s="5" t="inlineStr">
        <is>
          <t>前提：なし
入力：同じ種・salt で a・b を作り、a を 3 回呼ぶ</t>
        </is>
      </c>
      <c r="H34" s="5" t="inlineStr">
        <is>
          <t>b の最初の値は a の最初の値と等しい</t>
        </is>
      </c>
      <c r="I34" s="5" t="inlineStr">
        <is>
          <t>B13-T</t>
        </is>
      </c>
      <c r="J34" s="5" t="inlineStr">
        <is>
          <t>なし</t>
        </is>
      </c>
      <c r="K34" s="5" t="inlineStr"/>
      <c r="L34" s="5" t="inlineStr"/>
      <c r="M34" s="5" t="inlineStr">
        <is>
          <t>TC-UT_CAND-005 乱数の関数ごとに状態を持ち、別に作った関数の列に影響しない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TC-UT_GATE-001</t>
        </is>
      </c>
      <c r="C35" s="5" t="inlineStr">
        <is>
          <t>decideParticipation</t>
        </is>
      </c>
      <c r="D35" s="4" t="inlineStr">
        <is>
          <t>正常系</t>
        </is>
      </c>
      <c r="E35" s="4" t="inlineStr">
        <is>
          <t>境界値</t>
        </is>
      </c>
      <c r="F35" s="5" t="inlineStr">
        <is>
          <t>最初の乱数の値と確率が等しければ参加せず（&lt; の境界）、わずかに上回れば参加する</t>
        </is>
      </c>
      <c r="G35" s="5" t="inlineStr">
        <is>
          <t>前提：なし
入力：種 12345、活動頻度 3、確率 = 最初の値 v と v + 1e-9</t>
        </is>
      </c>
      <c r="H35" s="5" t="inlineStr">
        <is>
          <t>v のとき false、v + 1e-9 のとき true</t>
        </is>
      </c>
      <c r="I35" s="5" t="inlineStr">
        <is>
          <t>B1-F, B2-F, B3-T, B3-F</t>
        </is>
      </c>
      <c r="J35" s="5" t="inlineStr">
        <is>
          <t>なし</t>
        </is>
      </c>
      <c r="K35" s="5" t="inlineStr"/>
      <c r="L35" s="5" t="inlineStr"/>
      <c r="M35" s="5" t="inlineStr">
        <is>
          <t>TC-UT_GATE-001 最初の乱数の値と確率が等しければ参加せず、わずかに上回れば参加する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TC-NOUS61_DEV-04（等しいときを見ていない）</t>
        </is>
      </c>
    </row>
    <row r="36">
      <c r="A36" s="4" t="n">
        <v>32</v>
      </c>
      <c r="B36" s="4" t="inlineStr">
        <is>
          <t>TC-UT_GATE-002</t>
        </is>
      </c>
      <c r="C36" s="5" t="inlineStr">
        <is>
          <t>decideParticipation</t>
        </is>
      </c>
      <c r="D36" s="4" t="inlineStr">
        <is>
          <t>正常系</t>
        </is>
      </c>
      <c r="E36" s="4" t="inlineStr">
        <is>
          <t>同値分割</t>
        </is>
      </c>
      <c r="F36" s="5" t="inlineStr">
        <is>
          <t>確率は config の値を使い、設定を変えれば判定が変わる（NFR-O-005）</t>
        </is>
      </c>
      <c r="G36" s="5" t="inlineStr">
        <is>
          <t>前提：なし
入力：活動頻度 2 の確率を v/2 と (v+1)/2 にした設定</t>
        </is>
      </c>
      <c r="H36" s="5" t="inlineStr">
        <is>
          <t>v/2 は false、(v+1)/2 は true。participationProbability は設定の値</t>
        </is>
      </c>
      <c r="I36" s="5" t="inlineStr">
        <is>
          <t>B3-T, B3-F</t>
        </is>
      </c>
      <c r="J36" s="5" t="inlineStr">
        <is>
          <t>なし</t>
        </is>
      </c>
      <c r="K36" s="5" t="inlineStr"/>
      <c r="L36" s="5" t="inlineStr"/>
      <c r="M36" s="5" t="inlineStr">
        <is>
          <t>TC-UT_GATE-002 確率は config の値を使い、設定を変えれば判定が変わる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TC-NOUS61_DEV-05（0 と 1 だけ）</t>
        </is>
      </c>
    </row>
    <row r="37">
      <c r="A37" s="4" t="n">
        <v>33</v>
      </c>
      <c r="B37" s="4" t="inlineStr">
        <is>
          <t>TC-UT_GATE-003</t>
        </is>
      </c>
      <c r="C37" s="5" t="inlineStr">
        <is>
          <t>decideParticipation</t>
        </is>
      </c>
      <c r="D37" s="4" t="inlineStr">
        <is>
          <t>異常系</t>
        </is>
      </c>
      <c r="E37" s="4" t="inlineStr">
        <is>
          <t>同値分割</t>
        </is>
      </c>
      <c r="F37" s="5" t="inlineStr">
        <is>
          <t>活動頻度が範囲の外なら、decideParticipation も RangeError（乱数より先に止まる）</t>
        </is>
      </c>
      <c r="G37" s="5" t="inlineStr">
        <is>
          <t>前提：なし
入力：Infinity、-1、1.0000001（it.each）</t>
        </is>
      </c>
      <c r="H37" s="5" t="inlineStr">
        <is>
          <t>RangeError</t>
        </is>
      </c>
      <c r="I37" s="5" t="inlineStr">
        <is>
          <t>B1-T, B2-T</t>
        </is>
      </c>
      <c r="J37" s="5" t="inlineStr">
        <is>
          <t>なし</t>
        </is>
      </c>
      <c r="K37" s="5" t="inlineStr"/>
      <c r="L37" s="5" t="inlineStr"/>
      <c r="M37" s="5" t="inlineStr">
        <is>
          <t>TC-UT_GATE-003 活動頻度が 1〜5 の整数でなければ decideParticipation も RangeError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TC-NOUS61_DEV-02（participationProbability だけ）</t>
        </is>
      </c>
    </row>
    <row r="38">
      <c r="A38" s="4" t="n">
        <v>34</v>
      </c>
      <c r="B38" s="4" t="inlineStr">
        <is>
          <t>TC-UT_GATE-004</t>
        </is>
      </c>
      <c r="C38" s="5" t="inlineStr">
        <is>
          <t>decideParticipation</t>
        </is>
      </c>
      <c r="D38" s="4" t="inlineStr">
        <is>
          <t>正常系</t>
        </is>
      </c>
      <c r="E38" s="4" t="inlineStr">
        <is>
          <t>同値分割</t>
        </is>
      </c>
      <c r="F38" s="5" t="inlineStr">
        <is>
          <t>エージェントが違えば、同じ種でも別の乱数で判定する（全員が同じ判定にならない）</t>
        </is>
      </c>
      <c r="G38" s="5" t="inlineStr">
        <is>
          <t>前提：なし
入力：種 2026、50 体、活動頻度 3</t>
        </is>
      </c>
      <c r="H38" s="5" t="inlineStr">
        <is>
          <t>参加と不参加の両方が出る</t>
        </is>
      </c>
      <c r="I38" s="5" t="inlineStr">
        <is>
          <t>B3-T, B3-F</t>
        </is>
      </c>
      <c r="J38" s="5" t="inlineStr">
        <is>
          <t>なし</t>
        </is>
      </c>
      <c r="K38" s="5" t="inlineStr"/>
      <c r="L38" s="5" t="inlineStr"/>
      <c r="M38" s="5" t="inlineStr">
        <is>
          <t>TC-UT_GATE-004 エージェントが違えば、同じ種でも別の乱数で判定する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既存テスト：なし（DEV-03 は同じエージェントだけ）</t>
        </is>
      </c>
    </row>
    <row r="39">
      <c r="A39" s="4" t="n">
        <v>35</v>
      </c>
      <c r="B39" s="4" t="inlineStr">
        <is>
          <t>TC-UT_CAND-006</t>
        </is>
      </c>
      <c r="C39" s="5" t="inlineStr">
        <is>
          <t>availableActions</t>
        </is>
      </c>
      <c r="D39" s="4" t="inlineStr">
        <is>
          <t>正常系</t>
        </is>
      </c>
      <c r="E39" s="4" t="inlineStr">
        <is>
          <t>境界値</t>
        </is>
      </c>
      <c r="F39" s="5" t="inlineStr">
        <is>
          <t>条件がちょうど 1 件のとき、その種類だけが post に加わる</t>
        </is>
      </c>
      <c r="G39" s="5" t="inlineStr">
        <is>
          <t>前提：なし
入力：参照する投稿 1 件、いいねできる投稿 1 件、フォローできる住人 1 体、フォロー中 1 体（it.each）</t>
        </is>
      </c>
      <c r="H39" s="5" t="inlineStr">
        <is>
          <t>['post', その種類]</t>
        </is>
      </c>
      <c r="I39" s="5" t="inlineStr">
        <is>
          <t>B4-T, B4-F, B5-T, B5-F, B6-T, B6-F, B7-T, B7-F</t>
        </is>
      </c>
      <c r="J39" s="5" t="inlineStr">
        <is>
          <t>なし</t>
        </is>
      </c>
      <c r="K39" s="5" t="inlineStr"/>
      <c r="L39" s="5" t="inlineStr"/>
      <c r="M39" s="5" t="inlineStr">
        <is>
          <t>TC-UT_CAND-006 条件がちょうど 1 件で、その種類だけが加わる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既存テスト：一部 TC-NOUS61_DEV-12（4 条件を同時に満たす値だけ）</t>
        </is>
      </c>
    </row>
    <row r="40">
      <c r="A40" s="4" t="n">
        <v>36</v>
      </c>
      <c r="B40" s="4" t="inlineStr">
        <is>
          <t>TC-UT_CAND-007</t>
        </is>
      </c>
      <c r="C40" s="5" t="inlineStr">
        <is>
          <t>drawCandidates</t>
        </is>
      </c>
      <c r="D40" s="4" t="inlineStr">
        <is>
          <t>正常系</t>
        </is>
      </c>
      <c r="E40" s="4" t="inlineStr">
        <is>
          <t>境界値</t>
        </is>
      </c>
      <c r="F40" s="5" t="inlineStr">
        <is>
          <t>減点 0 なら直近の行動の種類は重み 0 になり、候補に入らない</t>
        </is>
      </c>
      <c r="G40" s="5" t="inlineStr">
        <is>
          <t>前提：なし
入力：recentPenalty=0、recent=['post']、種 0〜49</t>
        </is>
      </c>
      <c r="H40" s="5" t="inlineStr">
        <is>
          <t>post の重み 0、どの候補にも post が無い</t>
        </is>
      </c>
      <c r="I40" s="5" t="inlineStr">
        <is>
          <t>B8-F, B9-F, B9-T</t>
        </is>
      </c>
      <c r="J40" s="5" t="inlineStr">
        <is>
          <t>なし</t>
        </is>
      </c>
      <c r="K40" s="5" t="inlineStr"/>
      <c r="L40" s="5" t="inlineStr"/>
      <c r="M40" s="5" t="inlineStr">
        <is>
          <t>TC-UT_CAND-007 減点 0 なら直近の行動の種類は重み 0 になり、候補に入らない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TC-UT_CAND-008</t>
        </is>
      </c>
      <c r="C41" s="5" t="inlineStr">
        <is>
          <t>candidateWeights</t>
        </is>
      </c>
      <c r="D41" s="4" t="inlineStr">
        <is>
          <t>正常系</t>
        </is>
      </c>
      <c r="E41" s="4" t="inlineStr">
        <is>
          <t>境界値</t>
        </is>
      </c>
      <c r="F41" s="5" t="inlineStr">
        <is>
          <t>減点 1 なら直近の行動があっても重みは変わらない</t>
        </is>
      </c>
      <c r="G41" s="5" t="inlineStr">
        <is>
          <t>前提：なし
入力：recentPenalty=1、recent=['post','post']</t>
        </is>
      </c>
      <c r="H41" s="5" t="inlineStr">
        <is>
          <t>post の重み 3</t>
        </is>
      </c>
      <c r="I41" s="5" t="inlineStr">
        <is>
          <t>B8-F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TC-UT_CAND-008 減点 1 なら直近の行動があっても重みは変わらない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TC-UT_CAND-009</t>
        </is>
      </c>
      <c r="C42" s="5" t="inlineStr">
        <is>
          <t>candidateWeights</t>
        </is>
      </c>
      <c r="D42" s="4" t="inlineStr">
        <is>
          <t>正常系</t>
        </is>
      </c>
      <c r="E42" s="4" t="inlineStr">
        <is>
          <t>同値分割</t>
        </is>
      </c>
      <c r="F42" s="5" t="inlineStr">
        <is>
          <t>直近の行動に選べない種類があっても、ほかの重みに影響しない</t>
        </is>
      </c>
      <c r="G42" s="5" t="inlineStr">
        <is>
          <t>前提：なし
入力：available=['post']、recent=['follow','follow']</t>
        </is>
      </c>
      <c r="H42" s="5" t="inlineStr">
        <is>
          <t>[['post', 3]] だけ</t>
        </is>
      </c>
      <c r="I42" s="5" t="inlineStr">
        <is>
          <t>B8-T, B8-F</t>
        </is>
      </c>
      <c r="J42" s="5" t="inlineStr">
        <is>
          <t>なし</t>
        </is>
      </c>
      <c r="K42" s="5" t="inlineStr"/>
      <c r="L42" s="5" t="inlineStr"/>
      <c r="M42" s="5" t="inlineStr">
        <is>
          <t>TC-UT_CAND-009 直近の行動に選べない種類があっても、ほかの重みに影響しない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</t>
        </is>
      </c>
    </row>
    <row r="43">
      <c r="A43" s="4" t="n">
        <v>39</v>
      </c>
      <c r="B43" s="4" t="inlineStr">
        <is>
          <t>TC-UT_CAND-010</t>
        </is>
      </c>
      <c r="C43" s="5" t="inlineStr">
        <is>
          <t>drawCandidates</t>
        </is>
      </c>
      <c r="D43" s="4" t="inlineStr">
        <is>
          <t>異常系</t>
        </is>
      </c>
      <c r="E43" s="4" t="inlineStr">
        <is>
          <t>同値分割</t>
        </is>
      </c>
      <c r="F43" s="5" t="inlineStr">
        <is>
          <t>選べる種類に重複があっても、候補は重複しない</t>
        </is>
      </c>
      <c r="G43" s="5" t="inlineStr">
        <is>
          <t>前提：なし
入力：available=['post','post','reply']、乱数 0</t>
        </is>
      </c>
      <c r="H43" s="5" t="inlineStr">
        <is>
          <t>['post','reply']</t>
        </is>
      </c>
      <c r="I43" s="5" t="inlineStr">
        <is>
          <t>B8-F, B10-T, B11-T</t>
        </is>
      </c>
      <c r="J43" s="5" t="inlineStr">
        <is>
          <t>なし</t>
        </is>
      </c>
      <c r="K43" s="5" t="inlineStr"/>
      <c r="L43" s="5" t="inlineStr"/>
      <c r="M43" s="5" t="inlineStr">
        <is>
          <t>TC-UT_CAND-010 選べる種類に重複があっても、候補は重複しない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
設計書に記載なし。重みを ACTION_KINDS の順に数えるので重複は 1 つになる（実装の値）</t>
        </is>
      </c>
    </row>
    <row r="44">
      <c r="A44" s="4" t="n">
        <v>40</v>
      </c>
      <c r="B44" s="4" t="inlineStr">
        <is>
          <t>TC-UT_CAND-011</t>
        </is>
      </c>
      <c r="C44" s="5" t="inlineStr">
        <is>
          <t>drawCandidates</t>
        </is>
      </c>
      <c r="D44" s="4" t="inlineStr">
        <is>
          <t>正常系</t>
        </is>
      </c>
      <c r="E44" s="4" t="inlineStr">
        <is>
          <t>境界値</t>
        </is>
      </c>
      <c r="F44" s="5" t="inlineStr">
        <is>
          <t>乱数が 0 なら区間の先頭の種類を選ぶ</t>
        </is>
      </c>
      <c r="G44" s="5" t="inlineStr">
        <is>
          <t>前提：なし
入力：乱数 0 を返し続ける</t>
        </is>
      </c>
      <c r="H44" s="5" t="inlineStr">
        <is>
          <t>['post','reply']</t>
        </is>
      </c>
      <c r="I44" s="5" t="inlineStr">
        <is>
          <t>B10-T, B11-T</t>
        </is>
      </c>
      <c r="J44" s="5" t="inlineStr">
        <is>
          <t>乱数を固定の値を返す関数に差し替え</t>
        </is>
      </c>
      <c r="K44" s="5" t="inlineStr"/>
      <c r="L44" s="5" t="inlineStr"/>
      <c r="M44" s="5" t="inlineStr">
        <is>
          <t>TC-UT_CAND-011 乱数が 0 なら区間の先頭の種類を選ぶ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TC-NOUS61_DEV-19（1 つ目だけ）</t>
        </is>
      </c>
    </row>
    <row r="45">
      <c r="A45" s="4" t="n">
        <v>41</v>
      </c>
      <c r="B45" s="4" t="inlineStr">
        <is>
          <t>TC-UT_CAND-012</t>
        </is>
      </c>
      <c r="C45" s="5" t="inlineStr">
        <is>
          <t>drawCandidates</t>
        </is>
      </c>
      <c r="D45" s="4" t="inlineStr">
        <is>
          <t>正常系</t>
        </is>
      </c>
      <c r="E45" s="4" t="inlineStr">
        <is>
          <t>境界値</t>
        </is>
      </c>
      <c r="F45" s="5" t="inlineStr">
        <is>
          <t>乱数が 1 に近ければ区間の末尾の種類を選ぶ（2 つ目は残りの末尾）</t>
        </is>
      </c>
      <c r="G45" s="5" t="inlineStr">
        <is>
          <t>前提：なし
入力：乱数 0.9999999999 を返し続ける</t>
        </is>
      </c>
      <c r="H45" s="5" t="inlineStr">
        <is>
          <t>['unfollow','follow']</t>
        </is>
      </c>
      <c r="I45" s="5" t="inlineStr">
        <is>
          <t>B10-T, B11-T, B11-F</t>
        </is>
      </c>
      <c r="J45" s="5" t="inlineStr">
        <is>
          <t>乱数を固定の値を返す関数に差し替え</t>
        </is>
      </c>
      <c r="K45" s="5" t="inlineStr"/>
      <c r="L45" s="5" t="inlineStr"/>
      <c r="M45" s="5" t="inlineStr">
        <is>
          <t>TC-UT_CAND-012 乱数が 1 に近ければ区間の末尾の種類を選ぶ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TC-NOUS61_DEV-19（1 つ目だけ）</t>
        </is>
      </c>
    </row>
    <row r="46">
      <c r="A46" s="4" t="n">
        <v>42</v>
      </c>
      <c r="B46" s="4" t="inlineStr">
        <is>
          <t>TC-UT_CAND-013</t>
        </is>
      </c>
      <c r="C46" s="5" t="inlineStr">
        <is>
          <t>drawCandidates</t>
        </is>
      </c>
      <c r="D46" s="4" t="inlineStr">
        <is>
          <t>正常系</t>
        </is>
      </c>
      <c r="E46" s="4" t="inlineStr">
        <is>
          <t>境界値</t>
        </is>
      </c>
      <c r="F46" s="5" t="inlineStr">
        <is>
          <t>候補の数 4 で 5 種類が選べるとき、4 つを重複なしに選ぶ</t>
        </is>
      </c>
      <c r="G46" s="5" t="inlineStr">
        <is>
          <t>前提：なし
入力：candidateCount=4、種 0〜29</t>
        </is>
      </c>
      <c r="H46" s="5" t="inlineStr">
        <is>
          <t>どれも 4 つで重複なし</t>
        </is>
      </c>
      <c r="I46" s="5" t="inlineStr">
        <is>
          <t>B10-T, B10-F</t>
        </is>
      </c>
      <c r="J46" s="5" t="inlineStr">
        <is>
          <t>なし</t>
        </is>
      </c>
      <c r="K46" s="5" t="inlineStr"/>
      <c r="L46" s="5" t="inlineStr"/>
      <c r="M46" s="5" t="inlineStr">
        <is>
          <t>TC-UT_CAND-013 候補の数 4 で 5 種類が選べるとき、4 つを重複なしに選ぶ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既存テスト：一部 TC-NOUS61_DEV-14（件数だけ、種 1 だけ）</t>
        </is>
      </c>
    </row>
    <row r="47">
      <c r="A47" s="4" t="n">
        <v>43</v>
      </c>
      <c r="B47" s="4" t="inlineStr">
        <is>
          <t>TC-UT_CAND-014</t>
        </is>
      </c>
      <c r="C47" s="5" t="inlineStr">
        <is>
          <t>drawCandidates</t>
        </is>
      </c>
      <c r="D47" s="4" t="inlineStr">
        <is>
          <t>異常系</t>
        </is>
      </c>
      <c r="E47" s="4" t="inlineStr">
        <is>
          <t>分岐網羅</t>
        </is>
      </c>
      <c r="F47" s="5" t="inlineStr">
        <is>
          <t>すべての重みが 0 なら ['post'] を返す</t>
        </is>
      </c>
      <c r="G47" s="5" t="inlineStr">
        <is>
          <t>前提：なし
入力：weights すべて 0</t>
        </is>
      </c>
      <c r="H47" s="5" t="inlineStr">
        <is>
          <t>['post']</t>
        </is>
      </c>
      <c r="I47" s="5" t="inlineStr">
        <is>
          <t>B9-F, B10-F, B12-F</t>
        </is>
      </c>
      <c r="J47" s="5" t="inlineStr">
        <is>
          <t>なし</t>
        </is>
      </c>
      <c r="K47" s="5" t="inlineStr"/>
      <c r="L47" s="5" t="inlineStr"/>
      <c r="M47" s="5" t="inlineStr">
        <is>
          <t>TC-UT_CAND-014 すべての重みが 0 なら ['post'] を返す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TC-NOUS61_DEV-16（available が空のときだけ）
設計書は available が空のときだけ ['post'] と書く。重みがすべて 0 のときは記載なし（実装の値）。issues の確認事項 1</t>
        </is>
      </c>
    </row>
    <row r="48">
      <c r="A48" s="4" t="n">
        <v>44</v>
      </c>
      <c r="B48" s="4" t="inlineStr">
        <is>
          <t>TC-UT_CAND-015</t>
        </is>
      </c>
      <c r="C48" s="5" t="inlineStr">
        <is>
          <t>createCandidateRng</t>
        </is>
      </c>
      <c r="D48" s="4" t="inlineStr">
        <is>
          <t>正常系</t>
        </is>
      </c>
      <c r="E48" s="4" t="inlineStr">
        <is>
          <t>同値分割</t>
        </is>
      </c>
      <c r="F48" s="5" t="inlineStr">
        <is>
          <t>createCandidateRng は salt「agent_id:candidates」の createRng と同じ列になる</t>
        </is>
      </c>
      <c r="G48" s="5" t="inlineStr">
        <is>
          <t>前提：なし
入力：種 42、agent-x</t>
        </is>
      </c>
      <c r="H48" s="5" t="inlineStr">
        <is>
          <t>createRng(42, 'agent-x:candidates') と同じ列</t>
        </is>
      </c>
      <c r="I48" s="5" t="inlineStr">
        <is>
          <t>B13-T</t>
        </is>
      </c>
      <c r="J48" s="5" t="inlineStr">
        <is>
          <t>なし</t>
        </is>
      </c>
      <c r="K48" s="5" t="inlineStr"/>
      <c r="L48" s="5" t="inlineStr"/>
      <c r="M48" s="5" t="inlineStr">
        <is>
          <t>TC-UT_CAND-015 createCandidateRng は salt「agent_id:candidates」の createRng と同じ列になる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TC-NOUS61_DEV-22（判定の列と違うことだけ）</t>
        </is>
      </c>
    </row>
    <row r="49">
      <c r="A49" s="4" t="n">
        <v>45</v>
      </c>
      <c r="B49" s="4" t="inlineStr">
        <is>
          <t>TC-UT_CAND-016</t>
        </is>
      </c>
      <c r="C49" s="5" t="inlineStr">
        <is>
          <t>drawCandidates</t>
        </is>
      </c>
      <c r="D49" s="4" t="inlineStr">
        <is>
          <t>正常系</t>
        </is>
      </c>
      <c r="E49" s="4" t="inlineStr">
        <is>
          <t>依存</t>
        </is>
      </c>
      <c r="F49" s="5" t="inlineStr">
        <is>
          <t>乱数は選んだ候補の数だけ使う（候補の抽選で余計に消費しない）</t>
        </is>
      </c>
      <c r="G49" s="5" t="inlineStr">
        <is>
          <t>前提：なし
入力：candidateCount=3、乱数 0.5</t>
        </is>
      </c>
      <c r="H49" s="5" t="inlineStr">
        <is>
          <t>乱数の呼び出しは 3 回</t>
        </is>
      </c>
      <c r="I49" s="5" t="inlineStr">
        <is>
          <t>B10-T, B10-F</t>
        </is>
      </c>
      <c r="J49" s="5" t="inlineStr">
        <is>
          <t>呼ばれた回数を数える乱数に差し替え</t>
        </is>
      </c>
      <c r="K49" s="5" t="inlineStr"/>
      <c r="L49" s="5" t="inlineStr"/>
      <c r="M49" s="5" t="inlineStr">
        <is>
          <t>TC-UT_CAND-016 乱数は選んだ候補の数だけ使う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</t>
        </is>
      </c>
    </row>
    <row r="50">
      <c r="A50" s="4" t="n">
        <v>46</v>
      </c>
      <c r="B50" s="4" t="inlineStr">
        <is>
          <t>TC-UT_CAND-017</t>
        </is>
      </c>
      <c r="C50" s="5" t="inlineStr">
        <is>
          <t>drawCandidates</t>
        </is>
      </c>
      <c r="D50" s="4" t="inlineStr">
        <is>
          <t>異常系</t>
        </is>
      </c>
      <c r="E50" s="4" t="inlineStr">
        <is>
          <t>分岐網羅</t>
        </is>
      </c>
      <c r="F50" s="5" t="inlineStr">
        <is>
          <t>乱数が 1 を返しても（範囲の外）、区間の末尾の種類を選ぶ（どの区間にも入らないときの既定）</t>
        </is>
      </c>
      <c r="G50" s="5" t="inlineStr">
        <is>
          <t>前提：なし
入力：乱数 1 を返し続ける</t>
        </is>
      </c>
      <c r="H50" s="5" t="inlineStr">
        <is>
          <t>['unfollow','follow']</t>
        </is>
      </c>
      <c r="I50" s="5" t="inlineStr">
        <is>
          <t>B11-F</t>
        </is>
      </c>
      <c r="J50" s="5" t="inlineStr">
        <is>
          <t>乱数を固定の値を返す関数に差し替え</t>
        </is>
      </c>
      <c r="K50" s="5" t="inlineStr"/>
      <c r="L50" s="5" t="inlineStr"/>
      <c r="M50" s="5" t="inlineStr">
        <is>
          <t>TC-UT_CAND-017 乱数が 1 を返しても（範囲の外）、区間の末尾の種類を選ぶ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
mulberry32 は 1 を返さないので、B11 が偽のまま終わる経路は乱数を差し替えて通す</t>
        </is>
      </c>
    </row>
  </sheetData>
  <autoFilter ref="A4:Q50"/>
  <conditionalFormatting sqref="A5:Q100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0" showDropDown="0" showInputMessage="0" showErrorMessage="0" allowBlank="1" type="list">
      <formula1>"未実施,OK,NG,保留,対象外"</formula1>
    </dataValidation>
    <dataValidation sqref="D5:D100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COUNTA(観点表!$B$5:$B$100)</f>
        <v/>
      </c>
    </row>
    <row r="6">
      <c r="A6" s="10" t="inlineStr">
        <is>
          <t>正常系</t>
        </is>
      </c>
      <c r="B6" s="10">
        <f>COUNTIF(観点表!$D$5:$D$100,"正常系")</f>
        <v/>
      </c>
    </row>
    <row r="7">
      <c r="A7" s="10" t="inlineStr">
        <is>
          <t>異常系</t>
        </is>
      </c>
      <c r="B7" s="10">
        <f>COUNTIF(観点表!$D$5:$D$100,"異常系")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依存</t>
        </is>
      </c>
      <c r="B10" s="10">
        <f>COUNTIF(観点表!$E$5:$E$100,"依存")</f>
        <v/>
      </c>
    </row>
    <row r="11">
      <c r="A11" s="10" t="inlineStr">
        <is>
          <t>分岐網羅</t>
        </is>
      </c>
      <c r="B11" s="10">
        <f>COUNTIF(観点表!$E$5:$E$100,"分岐網羅")</f>
        <v/>
      </c>
    </row>
    <row r="12">
      <c r="A12" s="10" t="inlineStr">
        <is>
          <t>同値分割</t>
        </is>
      </c>
      <c r="B12" s="10">
        <f>COUNTIF(観点表!$E$5:$E$100,"同値分割")</f>
        <v/>
      </c>
    </row>
    <row r="13">
      <c r="A13" s="10" t="inlineStr">
        <is>
          <t>境界値</t>
        </is>
      </c>
      <c r="B13" s="10">
        <f>COUNTIF(観点表!$E$5:$E$100,"境界値")</f>
        <v/>
      </c>
    </row>
    <row r="14">
      <c r="A14" s="10" t="inlineStr">
        <is>
          <t>状態遷移</t>
        </is>
      </c>
      <c r="B14" s="10">
        <f>COUNTIF(観点表!$E$5:$E$100,"状態遷移")</f>
        <v/>
      </c>
    </row>
    <row r="15">
      <c r="A15" s="10" t="inlineStr">
        <is>
          <t>開発者テスト</t>
        </is>
      </c>
      <c r="B15" s="10">
        <f>COUNTIF(観点表!$E$5:$E$100,"開発者テスト")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COUNTIF(観点表!$K$5:$K$100,"?*")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COUNTIF(観点表!$N$5:$N$100,"未実施")</f>
        <v/>
      </c>
    </row>
    <row r="23">
      <c r="A23" s="10" t="inlineStr">
        <is>
          <t>OK</t>
        </is>
      </c>
      <c r="B23" s="10">
        <f>COUNTIF(観点表!$N$5:$N$100,"OK")</f>
        <v/>
      </c>
    </row>
    <row r="24">
      <c r="A24" s="10" t="inlineStr">
        <is>
          <t>NG</t>
        </is>
      </c>
      <c r="B24" s="10">
        <f>COUNTIF(観点表!$N$5:$N$100,"NG")</f>
        <v/>
      </c>
    </row>
    <row r="25">
      <c r="A25" s="10" t="inlineStr">
        <is>
          <t>保留</t>
        </is>
      </c>
      <c r="B25" s="10">
        <f>COUNTIF(観点表!$N$5:$N$100,"保留")</f>
        <v/>
      </c>
    </row>
    <row r="26">
      <c r="A26" s="10" t="inlineStr">
        <is>
          <t>対象外</t>
        </is>
      </c>
      <c r="B26" s="10">
        <f>COUNTIF(観点表!$N$5:$N$100,"対象外")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TC-NOUS48_DEV-01</t>
        </is>
      </c>
      <c r="B5" s="13" t="inlineStr">
        <is>
          <t>同じ種と salt からは同じ乱数列が出る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TC-NOUS48_DEV-02</t>
        </is>
      </c>
      <c r="B6" s="13" t="inlineStr">
        <is>
          <t>salt が違えば乱数列が変わる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TC-NOUS48_DEV-03</t>
        </is>
      </c>
      <c r="B7" s="13" t="inlineStr">
        <is>
          <t>種が違えば乱数列が変わる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TC-NOUS48_DEV-04</t>
        </is>
      </c>
      <c r="B8" s="13" t="inlineStr">
        <is>
          <t>値はいつも 0 以上 1 未満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TC-NOUS48_DEV-05</t>
        </is>
      </c>
      <c r="B9" s="13" t="inlineStr">
        <is>
          <t>mulberry32 は既知の値を返す（種 1）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TC-NOUS48_DEV-06</t>
        </is>
      </c>
      <c r="B10" s="13" t="inlineStr">
        <is>
          <t>FNV-1a は既知の値を返す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TC-NOUS48_DEV-07</t>
        </is>
      </c>
      <c r="B11" s="13" t="inlineStr">
        <is>
          <t>createRng は salt のハッシュと種の XOR を mulberry32 に渡す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TC-NOUS61_DEV-01</t>
        </is>
      </c>
      <c r="B12" s="13" t="inlineStr">
        <is>
          <t>活動頻度に対応する参加の確率を返す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TC-NOUS61_DEV-02</t>
        </is>
      </c>
      <c r="B13" s="13" t="inlineStr">
        <is>
          <t>活動頻度が 1〜5 の整数でなければ RangeError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TC-NOUS61_DEV-03</t>
        </is>
      </c>
      <c r="B14" s="13" t="inlineStr">
        <is>
          <t>同じ種とエージェントなら同じ判定になる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TC-NOUS61_DEV-04</t>
        </is>
      </c>
      <c r="B15" s="13" t="inlineStr">
        <is>
          <t>判定は createRng(seed, agent_id) の最初の値 &lt; 確率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TC-NOUS61_DEV-05</t>
        </is>
      </c>
      <c r="B16" s="13" t="inlineStr">
        <is>
          <t>確率 0 なら参加せず、確率 1 なら必ず参加する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TC-NOUS61_DEV-06</t>
        </is>
      </c>
      <c r="B17" s="13" t="inlineStr">
        <is>
          <t>多数の種で、参加の割合が確率に近い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TC-NOUS61_DEV-11</t>
        </is>
      </c>
      <c r="B18" s="13" t="inlineStr">
        <is>
          <t>何もなければ post だけ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TC-NOUS61_DEV-12</t>
        </is>
      </c>
      <c r="B19" s="13" t="inlineStr">
        <is>
          <t>条件ごとに reply・like・follow・unfollow が加わる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TC-NOUS61_DEV-13</t>
        </is>
      </c>
      <c r="B20" s="13" t="inlineStr">
        <is>
          <t>既定では候補を 2 つ、重複なしに選ぶ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TC-NOUS61_DEV-14</t>
        </is>
      </c>
      <c r="B21" s="13" t="inlineStr">
        <is>
          <t>候補の数は config.candidateCount に従う（2〜4）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TC-NOUS61_DEV-15</t>
        </is>
      </c>
      <c r="B22" s="13" t="inlineStr">
        <is>
          <t>選べる種類が候補の数より少なければ、その数だけ返す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TC-NOUS61_DEV-16</t>
        </is>
      </c>
      <c r="B23" s="13" t="inlineStr">
        <is>
          <t>選べる種類が無ければ ['post']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TC-NOUS61_DEV-17</t>
        </is>
      </c>
      <c r="B24" s="13" t="inlineStr">
        <is>
          <t>選べない種類は候補に入らない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TC-NOUS61_DEV-18</t>
        </is>
      </c>
      <c r="B25" s="13" t="inlineStr">
        <is>
          <t>直近の行動に含まれるたびに重みを recentPenalty 倍にする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TC-NOUS61_DEV-19</t>
        </is>
      </c>
      <c r="B26" s="13" t="inlineStr">
        <is>
          <t>重みに比例して選ぶ（累積の区間で決まる）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TC-NOUS61_DEV-20</t>
        </is>
      </c>
      <c r="B27" s="13" t="inlineStr">
        <is>
          <t>重み 0 の種類は選ばない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TC-NOUS61_DEV-21</t>
        </is>
      </c>
      <c r="B28" s="13" t="inlineStr">
        <is>
          <t>減点された種類は選ばれにくくなる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TC-NOUS61_DEV-22</t>
        </is>
      </c>
      <c r="B29" s="13" t="inlineStr">
        <is>
          <t>同じ種なら同じ候補になり、判定の乱数とは別の列を使う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TC-UT_CAND-001</t>
        </is>
      </c>
      <c r="B30" s="13" t="inlineStr">
        <is>
          <t>salt が空の文字列なら、種とオフセット基底の XOR を mulberry32 に渡す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TC-UT_CAND-002</t>
        </is>
      </c>
      <c r="B31" s="13" t="inlineStr">
        <is>
          <t>FNV-1a は UTF-16 ではなく UTF-8 のバイト列にかける（多バイトの字）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TC-UT_CAND-003</t>
        </is>
      </c>
      <c r="B32" s="13" t="inlineStr">
        <is>
          <t>種の境界（0、0xFFFFFFFF、-1）でも 0 以上 1 未満の値を返す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TC-UT_CAND-004</t>
        </is>
      </c>
      <c r="B33" s="13" t="inlineStr">
        <is>
          <t>種 -1 は 0xFFFFFFFF と同じ乱数列になる（32 ビットに丸める）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TC-UT_CAND-005</t>
        </is>
      </c>
      <c r="B34" s="13" t="inlineStr">
        <is>
          <t>乱数の関数ごとに状態を持ち、別に作った関数の列に影響しない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TC-UT_GATE-001</t>
        </is>
      </c>
      <c r="B35" s="13" t="inlineStr">
        <is>
          <t>最初の乱数の値と確率が等しければ参加せず（&lt; の境界）、わずかに上回れば参加する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TC-UT_GATE-002</t>
        </is>
      </c>
      <c r="B36" s="13" t="inlineStr">
        <is>
          <t>確率は config の値を使い、設定を変えれば判定が変わる（NFR-O-005）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TC-UT_GATE-003</t>
        </is>
      </c>
      <c r="B37" s="13" t="inlineStr">
        <is>
          <t>活動頻度が範囲の外なら、decideParticipation も RangeError（乱数より先に止まる）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TC-UT_GATE-004</t>
        </is>
      </c>
      <c r="B38" s="13" t="inlineStr">
        <is>
          <t>エージェントが違えば、同じ種でも別の乱数で判定する（全員が同じ判定にならない）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TC-UT_CAND-006</t>
        </is>
      </c>
      <c r="B39" s="13" t="inlineStr">
        <is>
          <t>条件がちょうど 1 件のとき、その種類だけが post に加わる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TC-UT_CAND-007</t>
        </is>
      </c>
      <c r="B40" s="13" t="inlineStr">
        <is>
          <t>減点 0 なら直近の行動の種類は重み 0 になり、候補に入らない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TC-UT_CAND-008</t>
        </is>
      </c>
      <c r="B41" s="13" t="inlineStr">
        <is>
          <t>減点 1 なら直近の行動があっても重みは変わらない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TC-UT_CAND-009</t>
        </is>
      </c>
      <c r="B42" s="13" t="inlineStr">
        <is>
          <t>直近の行動に選べない種類があっても、ほかの重みに影響しない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TC-UT_CAND-010</t>
        </is>
      </c>
      <c r="B43" s="13" t="inlineStr">
        <is>
          <t>選べる種類に重複があっても、候補は重複しない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TC-UT_CAND-011</t>
        </is>
      </c>
      <c r="B44" s="13" t="inlineStr">
        <is>
          <t>乱数が 0 なら区間の先頭の種類を選ぶ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TC-UT_CAND-012</t>
        </is>
      </c>
      <c r="B45" s="13" t="inlineStr">
        <is>
          <t>乱数が 1 に近ければ区間の末尾の種類を選ぶ（2 つ目は残りの末尾）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TC-UT_CAND-013</t>
        </is>
      </c>
      <c r="B46" s="13" t="inlineStr">
        <is>
          <t>候補の数 4 で 5 種類が選べるとき、4 つを重複なしに選ぶ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TC-UT_CAND-014</t>
        </is>
      </c>
      <c r="B47" s="13" t="inlineStr">
        <is>
          <t>すべての重みが 0 なら ['post'] を返す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TC-UT_CAND-015</t>
        </is>
      </c>
      <c r="B48" s="13" t="inlineStr">
        <is>
          <t>createCandidateRng は salt「agent_id:candidates」の createRng と同じ列になる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TC-UT_CAND-016</t>
        </is>
      </c>
      <c r="B49" s="13" t="inlineStr">
        <is>
          <t>乱数は選んだ候補の数だけ使う（候補の抽選で余計に消費しない）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TC-UT_CAND-017</t>
        </is>
      </c>
      <c r="B50" s="13" t="inlineStr">
        <is>
          <t>乱数が 1 を返しても（範囲の外）、区間の末尾の種類を選ぶ（どの区間にも入らないときの既定）</t>
        </is>
      </c>
      <c r="C50" s="13" t="inlineStr">
        <is>
          <t>未作成</t>
        </is>
      </c>
      <c r="D50" s="13" t="inlineStr"/>
      <c r="E50" s="13" t="inlineStr"/>
      <c r="F50" s="13" t="inlineStr"/>
    </row>
  </sheetData>
  <autoFilter ref="A4:F5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参加の判定・候補の抽選・乱数（generation/gate.ts・candidates.ts・rng.ts）</t>
        </is>
      </c>
    </row>
    <row r="4">
      <c r="A4" s="14" t="inlineStr">
        <is>
          <t>対象ファイル</t>
        </is>
      </c>
      <c r="B4" s="15" t="inlineStr">
        <is>
          <t>apps/server/src/generation/gate.ts, apps/server/src/generation/candidates.ts, apps/server/src/generation/rng.ts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apps/server/src/generation/gate.test.ts・candidates.test.ts（実装時、NOUS-61）, apps/server/src/generation/rng.test.ts（実装時、NOUS-48）, apps/server/src/generation/gate.ut.test.ts・candidates.ut.test.ts・rng.ut.test.ts（単体テストで追加）</t>
        </is>
      </c>
    </row>
    <row r="7">
      <c r="A7" s="14" t="inlineStr">
        <is>
          <t>外部依存</t>
        </is>
      </c>
      <c r="B7" s="15" t="inlineStr">
        <is>
          <t>乱数（createRng。種を固定する。drawCandidates は乱数の関数を引数で受けるので、固定の値を返す関数に差し替える）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!Number.isInteger(activityLevel)</t>
        </is>
      </c>
      <c r="C11" s="17" t="inlineStr">
        <is>
          <t>gate.ts:15</t>
        </is>
      </c>
    </row>
    <row r="12">
      <c r="A12" s="17" t="inlineStr">
        <is>
          <t>B2</t>
        </is>
      </c>
      <c r="B12" s="17" t="inlineStr">
        <is>
          <t>!(String(activityLevel) in config.participation)</t>
        </is>
      </c>
      <c r="C12" s="17" t="inlineStr">
        <is>
          <t>gate.ts:15</t>
        </is>
      </c>
    </row>
    <row r="13">
      <c r="A13" s="17" t="inlineStr">
        <is>
          <t>B3</t>
        </is>
      </c>
      <c r="B13" s="17" t="inlineStr">
        <is>
          <t>rng() &lt; p（参加する）</t>
        </is>
      </c>
      <c r="C13" s="17" t="inlineStr">
        <is>
          <t>gate.ts:27</t>
        </is>
      </c>
    </row>
    <row r="14">
      <c r="A14" s="17" t="inlineStr">
        <is>
          <t>B4</t>
        </is>
      </c>
      <c r="B14" s="17" t="inlineStr">
        <is>
          <t>refs.length &gt; 0（reply を加える）</t>
        </is>
      </c>
      <c r="C14" s="17" t="inlineStr">
        <is>
          <t>candidates.ts:27</t>
        </is>
      </c>
    </row>
    <row r="15">
      <c r="A15" s="17" t="inlineStr">
        <is>
          <t>B5</t>
        </is>
      </c>
      <c r="B15" s="17" t="inlineStr">
        <is>
          <t>likeable.length &gt; 0（like を加える）</t>
        </is>
      </c>
      <c r="C15" s="17" t="inlineStr">
        <is>
          <t>candidates.ts:28</t>
        </is>
      </c>
    </row>
    <row r="16">
      <c r="A16" s="17" t="inlineStr">
        <is>
          <t>B6</t>
        </is>
      </c>
      <c r="B16" s="17" t="inlineStr">
        <is>
          <t>followTargets.length &gt; 0（follow を加える）</t>
        </is>
      </c>
      <c r="C16" s="17" t="inlineStr">
        <is>
          <t>candidates.ts:29</t>
        </is>
      </c>
    </row>
    <row r="17">
      <c r="A17" s="17" t="inlineStr">
        <is>
          <t>B7</t>
        </is>
      </c>
      <c r="B17" s="17" t="inlineStr">
        <is>
          <t>followees.length &gt; 0（unfollow を加える）</t>
        </is>
      </c>
      <c r="C17" s="17" t="inlineStr">
        <is>
          <t>candidates.ts:30</t>
        </is>
      </c>
    </row>
    <row r="18">
      <c r="A18" s="17" t="inlineStr">
        <is>
          <t>B8</t>
        </is>
      </c>
      <c r="B18" s="17" t="inlineStr">
        <is>
          <t>!available.includes(kind)（選べない種類を飛ばす）</t>
        </is>
      </c>
      <c r="C18" s="17" t="inlineStr">
        <is>
          <t>candidates.ts:42</t>
        </is>
      </c>
    </row>
    <row r="19">
      <c r="A19" s="17" t="inlineStr">
        <is>
          <t>B9</t>
        </is>
      </c>
      <c r="B19" s="17" t="inlineStr">
        <is>
          <t>w &gt; 0（重み 0 の種類を抽選から除く）</t>
        </is>
      </c>
      <c r="C19" s="17" t="inlineStr">
        <is>
          <t>candidates.ts:59</t>
        </is>
      </c>
    </row>
    <row r="20">
      <c r="A20" s="17" t="inlineStr">
        <is>
          <t>B10</t>
        </is>
      </c>
      <c r="B20" s="17" t="inlineStr">
        <is>
          <t>picked.length &lt; candidateCount &amp;&amp; pool.length &gt; 0（抽選を続ける）</t>
        </is>
      </c>
      <c r="C20" s="17" t="inlineStr">
        <is>
          <t>candidates.ts:61</t>
        </is>
      </c>
    </row>
    <row r="21">
      <c r="A21" s="17" t="inlineStr">
        <is>
          <t>B11</t>
        </is>
      </c>
      <c r="B21" s="17" t="inlineStr">
        <is>
          <t>r &lt; cumulative（区間に入った。偽のまま終われば末尾の種類）</t>
        </is>
      </c>
      <c r="C21" s="17" t="inlineStr">
        <is>
          <t>candidates.ts:68</t>
        </is>
      </c>
    </row>
    <row r="22">
      <c r="A22" s="17" t="inlineStr">
        <is>
          <t>B12</t>
        </is>
      </c>
      <c r="B22" s="17" t="inlineStr">
        <is>
          <t>picked.length &gt; 0（偽なら ['post']）</t>
        </is>
      </c>
      <c r="C22" s="17" t="inlineStr">
        <is>
          <t>candidates.ts:76</t>
        </is>
      </c>
    </row>
    <row r="23">
      <c r="A23" s="17" t="inlineStr">
        <is>
          <t>B13</t>
        </is>
      </c>
      <c r="B23" s="17" t="inlineStr">
        <is>
          <t>for (const byte of …)（UTF-8 のバイトが 1 つ以上ある）</t>
        </is>
      </c>
      <c r="C23" s="17" t="inlineStr">
        <is>
          <t>rng.ts:10</t>
        </is>
      </c>
    </row>
    <row r="25">
      <c r="A25" s="14" t="inlineStr">
        <is>
          <t>確認事項・潜在バグ</t>
        </is>
      </c>
    </row>
    <row r="26" ht="30" customHeight="1">
      <c r="A26" s="18" t="inlineStr">
        <is>
          <t>・確認事項 1：重みがすべて 0（または選べる種類の重みがすべて 0）のとき、drawCandidates は post の重みが 0 でも ['post'] を返す（TC-UT_CAND-014）。設計書は「available が空なら ['post']」だけを定めている。設定の検証で弾くか、この動きでよいかを確認したい。</t>
        </is>
      </c>
    </row>
    <row r="27" ht="30" customHeight="1">
      <c r="A27" s="18" t="inlineStr">
        <is>
          <t>・確認事項 2：候補の抽選の乱数は salt を「agent_id:candidates」に分けている（NOUS-61 で Kouhei Tajima が了承）。設計書 4章の「3章と同じ種から作る」は満たしているが、salt の決まりは設計書に書かれていないので、改訂のときに追記するとよい。</t>
        </is>
      </c>
    </row>
  </sheetData>
  <mergeCells count="2">
    <mergeCell ref="A27:C27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2026-10-23T07:14:27Z</dcterms:created>
  <dcterms:modified xsi:type="dcterms:W3CDTF">2026-10-23T07:14:27Z</dcterms:modified>
</cp:coreProperties>
</file>