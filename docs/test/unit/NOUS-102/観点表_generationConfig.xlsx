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'観点表'!$A$4:$Q$20</definedName>
    <definedName name="_xlnm.Print_Titles" localSheetId="0">'観点表'!$4:$4</definedName>
    <definedName name="_xlnm._FilterDatabase" localSheetId="2" hidden="1">'テストデータ'!$A$4:$F$20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行動生成の設定の読み込み（config/generationConfig.ts）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TC-NOUS48_DEV-11</t>
        </is>
      </c>
      <c r="C5" s="5" t="inlineStr">
        <is>
          <t>loadGenerationConfig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リポジトリの config/generation.json を読める</t>
        </is>
      </c>
      <c r="G5" s="5" t="inlineStr">
        <is>
          <t>前提：リポジトリの config/generation.json
入力：config/generation.json のパス</t>
        </is>
      </c>
      <c r="H5" s="5" t="inlineStr">
        <is>
          <t>participation[3]=0.6、candidateCount=2、weights.follow=1.5、recentPenalty=0.4、firstPersonRules 3 件</t>
        </is>
      </c>
      <c r="I5" s="5" t="inlineStr">
        <is>
          <t>B1-F, B3-F, B4-F</t>
        </is>
      </c>
      <c r="J5" s="5" t="inlineStr">
        <is>
          <t>なし</t>
        </is>
      </c>
      <c r="K5" s="5" t="inlineStr"/>
      <c r="L5" s="5" t="inlineStr"/>
      <c r="M5" s="5" t="inlineStr">
        <is>
          <t>TC-NOUS48_DEV-11 リポジトリの config/generation.json を読める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既存テスト：実装時のテスト（NOUS-48）</t>
        </is>
      </c>
    </row>
    <row r="6">
      <c r="A6" s="4" t="n">
        <v>2</v>
      </c>
      <c r="B6" s="4" t="inlineStr">
        <is>
          <t>TC-NOUS48_DEV-12</t>
        </is>
      </c>
      <c r="C6" s="5" t="inlineStr">
        <is>
          <t>parseGenerationConfig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正しい値はそのまま返す</t>
        </is>
      </c>
      <c r="G6" s="5" t="inlineStr">
        <is>
          <t>前提：なし
入力：設計書 3・4・9章の既定値</t>
        </is>
      </c>
      <c r="H6" s="5" t="inlineStr">
        <is>
          <t>入力と等しいオブジェクト</t>
        </is>
      </c>
      <c r="I6" s="5" t="inlineStr">
        <is>
          <t>B1-F</t>
        </is>
      </c>
      <c r="J6" s="5" t="inlineStr">
        <is>
          <t>なし</t>
        </is>
      </c>
      <c r="K6" s="5" t="inlineStr"/>
      <c r="L6" s="5" t="inlineStr"/>
      <c r="M6" s="5" t="inlineStr">
        <is>
          <t>TC-NOUS48_DEV-12 正しい値はそのまま返す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既存テスト：実装時のテスト（NOUS-48）</t>
        </is>
      </c>
    </row>
    <row r="7">
      <c r="A7" s="4" t="n">
        <v>3</v>
      </c>
      <c r="B7" s="4" t="inlineStr">
        <is>
          <t>TC-NOUS48_DEV-13</t>
        </is>
      </c>
      <c r="C7" s="5" t="inlineStr">
        <is>
          <t>parseGenerationConfig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境界値（確率 0 と 1、重み 0、候補の数 2 と 4）は通る</t>
        </is>
      </c>
      <c r="G7" s="5" t="inlineStr">
        <is>
          <t>前提：なし
入力：participation[1]=0・[5]=1、weights.unfollow=0、candidateCount=2・4</t>
        </is>
      </c>
      <c r="H7" s="5" t="inlineStr">
        <is>
          <t>例外にならない</t>
        </is>
      </c>
      <c r="I7" s="5" t="inlineStr">
        <is>
          <t>B1-F</t>
        </is>
      </c>
      <c r="J7" s="5" t="inlineStr">
        <is>
          <t>なし</t>
        </is>
      </c>
      <c r="K7" s="5" t="inlineStr"/>
      <c r="L7" s="5" t="inlineStr"/>
      <c r="M7" s="5" t="inlineStr">
        <is>
          <t>TC-NOUS48_DEV-13 境界値（確率 0 と 1、重み 0、候補の数 2 と 4）は通る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既存テスト：実装時のテスト（NOUS-48）</t>
        </is>
      </c>
    </row>
    <row r="8">
      <c r="A8" s="4" t="n">
        <v>4</v>
      </c>
      <c r="B8" s="4" t="inlineStr">
        <is>
          <t>TC-NOUS48_DEV-14</t>
        </is>
      </c>
      <c r="C8" s="5" t="inlineStr">
        <is>
          <t>parseGenerationConfig</t>
        </is>
      </c>
      <c r="D8" s="4" t="inlineStr">
        <is>
          <t>異常系</t>
        </is>
      </c>
      <c r="E8" s="4" t="inlineStr">
        <is>
          <t>開発者テスト</t>
        </is>
      </c>
      <c r="F8" s="5" t="inlineStr">
        <is>
          <t>不正な値（確率の範囲外・欠け、重みが負・欠け、候補の数 1・5・2.5、減点 1.5、キーワードが空、知らない項目、項目の欠け）は ConfigError</t>
        </is>
      </c>
      <c r="G8" s="5" t="inlineStr">
        <is>
          <t>前提：なし
入力：12 種類の不正な値（it.each）</t>
        </is>
      </c>
      <c r="H8" s="5" t="inlineStr">
        <is>
          <t>ConfigError</t>
        </is>
      </c>
      <c r="I8" s="5" t="inlineStr">
        <is>
          <t>B1-T, B2-F</t>
        </is>
      </c>
      <c r="J8" s="5" t="inlineStr">
        <is>
          <t>なし</t>
        </is>
      </c>
      <c r="K8" s="5" t="inlineStr"/>
      <c r="L8" s="5" t="inlineStr"/>
      <c r="M8" s="5" t="inlineStr">
        <is>
          <t>TC-NOUS48_DEV-14 不正な値は ConfigError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既存テスト：実装時のテスト（NOUS-48）</t>
        </is>
      </c>
    </row>
    <row r="9">
      <c r="A9" s="4" t="n">
        <v>5</v>
      </c>
      <c r="B9" s="4" t="inlineStr">
        <is>
          <t>TC-NOUS48_DEV-15</t>
        </is>
      </c>
      <c r="C9" s="5" t="inlineStr">
        <is>
          <t>loadGenerationConfig</t>
        </is>
      </c>
      <c r="D9" s="4" t="inlineStr">
        <is>
          <t>異常系</t>
        </is>
      </c>
      <c r="E9" s="4" t="inlineStr">
        <is>
          <t>開発者テスト</t>
        </is>
      </c>
      <c r="F9" s="5" t="inlineStr">
        <is>
          <t>ファイルが無ければ ConfigError</t>
        </is>
      </c>
      <c r="G9" s="5" t="inlineStr">
        <is>
          <t>前提：なし
入力：存在しないパス</t>
        </is>
      </c>
      <c r="H9" s="5" t="inlineStr">
        <is>
          <t>ConfigError</t>
        </is>
      </c>
      <c r="I9" s="5" t="inlineStr">
        <is>
          <t>B3-T</t>
        </is>
      </c>
      <c r="J9" s="5" t="inlineStr">
        <is>
          <t>なし</t>
        </is>
      </c>
      <c r="K9" s="5" t="inlineStr"/>
      <c r="L9" s="5" t="inlineStr"/>
      <c r="M9" s="5" t="inlineStr">
        <is>
          <t>TC-NOUS48_DEV-15 ファイルが無ければ ConfigError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既存テスト：実装時のテスト（NOUS-48）</t>
        </is>
      </c>
    </row>
    <row r="10">
      <c r="A10" s="4" t="n">
        <v>6</v>
      </c>
      <c r="B10" s="4" t="inlineStr">
        <is>
          <t>TC-NOUS48_DEV-16</t>
        </is>
      </c>
      <c r="C10" s="5" t="inlineStr">
        <is>
          <t>loadGenerationConfig</t>
        </is>
      </c>
      <c r="D10" s="4" t="inlineStr">
        <is>
          <t>異常系</t>
        </is>
      </c>
      <c r="E10" s="4" t="inlineStr">
        <is>
          <t>開発者テスト</t>
        </is>
      </c>
      <c r="F10" s="5" t="inlineStr">
        <is>
          <t>JSON として読めなければ ConfigError</t>
        </is>
      </c>
      <c r="G10" s="5" t="inlineStr">
        <is>
          <t>前提：一時ファイルに "{ not json"
入力：そのパス</t>
        </is>
      </c>
      <c r="H10" s="5" t="inlineStr">
        <is>
          <t>ConfigError</t>
        </is>
      </c>
      <c r="I10" s="5" t="inlineStr">
        <is>
          <t>B3-F, B4-T</t>
        </is>
      </c>
      <c r="J10" s="5" t="inlineStr">
        <is>
          <t>なし</t>
        </is>
      </c>
      <c r="K10" s="5" t="inlineStr"/>
      <c r="L10" s="5" t="inlineStr"/>
      <c r="M10" s="5" t="inlineStr">
        <is>
          <t>TC-NOUS48_DEV-16 JSON として読めなければ ConfigError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既存テスト：実装時のテスト（NOUS-48）</t>
        </is>
      </c>
    </row>
    <row r="11">
      <c r="A11" s="4" t="n">
        <v>7</v>
      </c>
      <c r="B11" s="4" t="inlineStr">
        <is>
          <t>TC-NOUS48_DEV-17</t>
        </is>
      </c>
      <c r="C11" s="5" t="inlineStr">
        <is>
          <t>loadGenerationConfig</t>
        </is>
      </c>
      <c r="D11" s="4" t="inlineStr">
        <is>
          <t>異常系</t>
        </is>
      </c>
      <c r="E11" s="4" t="inlineStr">
        <is>
          <t>開発者テスト</t>
        </is>
      </c>
      <c r="F11" s="5" t="inlineStr">
        <is>
          <t>エラーの文言に不正な項目の場所が入る</t>
        </is>
      </c>
      <c r="G11" s="5" t="inlineStr">
        <is>
          <t>前提：一時ファイルに candidateCount=9 の JSON
入力：そのパス</t>
        </is>
      </c>
      <c r="H11" s="5" t="inlineStr">
        <is>
          <t>文言に candidateCount を含む</t>
        </is>
      </c>
      <c r="I11" s="5" t="inlineStr">
        <is>
          <t>B3-F, B4-F, B1-T, B2-F</t>
        </is>
      </c>
      <c r="J11" s="5" t="inlineStr">
        <is>
          <t>なし</t>
        </is>
      </c>
      <c r="K11" s="5" t="inlineStr"/>
      <c r="L11" s="5" t="inlineStr"/>
      <c r="M11" s="5" t="inlineStr">
        <is>
          <t>TC-NOUS48_DEV-17 エラーの文言に不正な項目の場所が入る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既存テスト：実装時のテスト（NOUS-48）</t>
        </is>
      </c>
    </row>
    <row r="12">
      <c r="A12" s="4" t="n">
        <v>8</v>
      </c>
      <c r="B12" s="4" t="inlineStr">
        <is>
          <t>TC-UT_CFG-001</t>
        </is>
      </c>
      <c r="C12" s="5" t="inlineStr">
        <is>
          <t>parseGenerationConfig</t>
        </is>
      </c>
      <c r="D12" s="4" t="inlineStr">
        <is>
          <t>正常系</t>
        </is>
      </c>
      <c r="E12" s="4" t="inlineStr">
        <is>
          <t>境界値</t>
        </is>
      </c>
      <c r="F12" s="5" t="inlineStr">
        <is>
          <t>減点（recentPenalty）の下限 0 と上限 1 は通る</t>
        </is>
      </c>
      <c r="G12" s="5" t="inlineStr">
        <is>
          <t>前提：なし
入力：recentPenalty=0、recentPenalty=1</t>
        </is>
      </c>
      <c r="H12" s="5" t="inlineStr">
        <is>
          <t>どちらも例外にならず、値がそのまま返る</t>
        </is>
      </c>
      <c r="I12" s="5" t="inlineStr">
        <is>
          <t>B1-F</t>
        </is>
      </c>
      <c r="J12" s="5" t="inlineStr">
        <is>
          <t>なし</t>
        </is>
      </c>
      <c r="K12" s="5" t="inlineStr"/>
      <c r="L12" s="5" t="inlineStr"/>
      <c r="M12" s="5" t="inlineStr">
        <is>
          <t>TC-UT_CFG-001 減点の境界値（0 と 1）は通る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既存テスト：なし（DEV-13 は減点の境界を見ていない）</t>
        </is>
      </c>
    </row>
    <row r="13">
      <c r="A13" s="4" t="n">
        <v>9</v>
      </c>
      <c r="B13" s="4" t="inlineStr">
        <is>
          <t>TC-UT_CFG-002</t>
        </is>
      </c>
      <c r="C13" s="5" t="inlineStr">
        <is>
          <t>parseGenerationConfig</t>
        </is>
      </c>
      <c r="D13" s="4" t="inlineStr">
        <is>
          <t>正常系</t>
        </is>
      </c>
      <c r="E13" s="4" t="inlineStr">
        <is>
          <t>境界値</t>
        </is>
      </c>
      <c r="F13" s="5" t="inlineStr">
        <is>
          <t>一人称の表（firstPersonRules）は 0 件でも通る（C03 を使わない設定）</t>
        </is>
      </c>
      <c r="G13" s="5" t="inlineStr">
        <is>
          <t>前提：なし
入力：firstPersonRules=[]</t>
        </is>
      </c>
      <c r="H13" s="5" t="inlineStr">
        <is>
          <t>例外にならず、firstPersonRules は []</t>
        </is>
      </c>
      <c r="I13" s="5" t="inlineStr">
        <is>
          <t>B1-F</t>
        </is>
      </c>
      <c r="J13" s="5" t="inlineStr">
        <is>
          <t>なし</t>
        </is>
      </c>
      <c r="K13" s="5" t="inlineStr"/>
      <c r="L13" s="5" t="inlineStr"/>
      <c r="M13" s="5" t="inlineStr">
        <is>
          <t>TC-UT_CFG-002 一人称の表は空の配列でも通る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既存テスト：なし
設計書 9章は件数を決めていない。スキーマに min が無いので通るのが実装の値</t>
        </is>
      </c>
    </row>
    <row r="14">
      <c r="A14" s="4" t="n">
        <v>10</v>
      </c>
      <c r="B14" s="4" t="inlineStr">
        <is>
          <t>TC-UT_CFG-003</t>
        </is>
      </c>
      <c r="C14" s="5" t="inlineStr">
        <is>
          <t>parseGenerationConfig</t>
        </is>
      </c>
      <c r="D14" s="4" t="inlineStr">
        <is>
          <t>異常系</t>
        </is>
      </c>
      <c r="E14" s="4" t="inlineStr">
        <is>
          <t>同値分割</t>
        </is>
      </c>
      <c r="F14" s="5" t="inlineStr">
        <is>
          <t>DEV-14 に無い無効クラス（減点が負、重みに知らない種類、活動頻度 6、確率・候補の数が文字列、合わない一人称が空、空の文字列、表に知らない項目）は ConfigError</t>
        </is>
      </c>
      <c r="G14" s="5" t="inlineStr">
        <is>
          <t>前提：なし
入力：1 行に無効な値 1 種類ずつ、8 種類（it.each）</t>
        </is>
      </c>
      <c r="H14" s="5" t="inlineStr">
        <is>
          <t>ConfigError</t>
        </is>
      </c>
      <c r="I14" s="5" t="inlineStr">
        <is>
          <t>B1-T, B2-F</t>
        </is>
      </c>
      <c r="J14" s="5" t="inlineStr">
        <is>
          <t>なし</t>
        </is>
      </c>
      <c r="K14" s="5" t="inlineStr"/>
      <c r="L14" s="5" t="inlineStr"/>
      <c r="M14" s="5" t="inlineStr">
        <is>
          <t>TC-UT_CFG-003 不正な値は ConfigError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既存テスト：一部 TC-NOUS48_DEV-14（減点は上限側、知らない項目は全体だけ）</t>
        </is>
      </c>
    </row>
    <row r="15">
      <c r="A15" s="4" t="n">
        <v>11</v>
      </c>
      <c r="B15" s="4" t="inlineStr">
        <is>
          <t>TC-UT_CFG-004</t>
        </is>
      </c>
      <c r="C15" s="5" t="inlineStr">
        <is>
          <t>parseGenerationConfig</t>
        </is>
      </c>
      <c r="D15" s="4" t="inlineStr">
        <is>
          <t>異常系</t>
        </is>
      </c>
      <c r="E15" s="4" t="inlineStr">
        <is>
          <t>分岐網羅</t>
        </is>
      </c>
      <c r="F15" s="5" t="inlineStr">
        <is>
          <t>全体がオブジェクトでないとき、文言の場所が (root) になる</t>
        </is>
      </c>
      <c r="G15" s="5" t="inlineStr">
        <is>
          <t>前提：なし
入力：null、[]、"config"（it.each）</t>
        </is>
      </c>
      <c r="H15" s="5" t="inlineStr">
        <is>
          <t>ConfigError、文言に (root) を含む</t>
        </is>
      </c>
      <c r="I15" s="5" t="inlineStr">
        <is>
          <t>B1-T, B2-T</t>
        </is>
      </c>
      <c r="J15" s="5" t="inlineStr">
        <is>
          <t>なし</t>
        </is>
      </c>
      <c r="K15" s="5" t="inlineStr"/>
      <c r="L15" s="5" t="inlineStr"/>
      <c r="M15" s="5" t="inlineStr">
        <is>
          <t>TC-UT_CFG-004 全体がオブジェクトでなければ ConfigError で、場所は (root)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既存テスト：なし（DEV は項目の場所があるものだけ）</t>
        </is>
      </c>
    </row>
    <row r="16">
      <c r="A16" s="4" t="n">
        <v>12</v>
      </c>
      <c r="B16" s="4" t="inlineStr">
        <is>
          <t>TC-UT_CFG-005</t>
        </is>
      </c>
      <c r="C16" s="5" t="inlineStr">
        <is>
          <t>parseGenerationConfig</t>
        </is>
      </c>
      <c r="D16" s="4" t="inlineStr">
        <is>
          <t>異常系</t>
        </is>
      </c>
      <c r="E16" s="4" t="inlineStr">
        <is>
          <t>エラー処理</t>
        </is>
      </c>
      <c r="F16" s="5" t="inlineStr">
        <is>
          <t>出どころを省くと文言に config/generation.json が入り、原因（ZodError）を cause に残す</t>
        </is>
      </c>
      <c r="G16" s="5" t="inlineStr">
        <is>
          <t>前提：なし
入力：candidateCount=9、source を省く</t>
        </is>
      </c>
      <c r="H16" s="5" t="inlineStr">
        <is>
          <t>ConfigError、文言に config/generation.json、cause あり</t>
        </is>
      </c>
      <c r="I16" s="5" t="inlineStr">
        <is>
          <t>B1-T, B2-F</t>
        </is>
      </c>
      <c r="J16" s="5" t="inlineStr">
        <is>
          <t>なし</t>
        </is>
      </c>
      <c r="K16" s="5" t="inlineStr"/>
      <c r="L16" s="5" t="inlineStr"/>
      <c r="M16" s="5" t="inlineStr">
        <is>
          <t>TC-UT_CFG-005 出どころを省くと文言に config/generation.json が入り、原因の ZodError を cause に残す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既存テスト：なし</t>
        </is>
      </c>
    </row>
    <row r="17">
      <c r="A17" s="4" t="n">
        <v>13</v>
      </c>
      <c r="B17" s="4" t="inlineStr">
        <is>
          <t>TC-UT_CFG-006</t>
        </is>
      </c>
      <c r="C17" s="5" t="inlineStr">
        <is>
          <t>loadGenerationConfig</t>
        </is>
      </c>
      <c r="D17" s="4" t="inlineStr">
        <is>
          <t>異常系</t>
        </is>
      </c>
      <c r="E17" s="4" t="inlineStr">
        <is>
          <t>エラー処理</t>
        </is>
      </c>
      <c r="F17" s="5" t="inlineStr">
        <is>
          <t>ファイルが無いとき、文言にパスが入り、元の例外を cause に残す</t>
        </is>
      </c>
      <c r="G17" s="5" t="inlineStr">
        <is>
          <t>前提：なし
入力：存在しないパス</t>
        </is>
      </c>
      <c r="H17" s="5" t="inlineStr">
        <is>
          <t>ConfigError、文言にパス、cause あり</t>
        </is>
      </c>
      <c r="I17" s="5" t="inlineStr">
        <is>
          <t>B3-T</t>
        </is>
      </c>
      <c r="J17" s="5" t="inlineStr">
        <is>
          <t>なし</t>
        </is>
      </c>
      <c r="K17" s="5" t="inlineStr"/>
      <c r="L17" s="5" t="inlineStr"/>
      <c r="M17" s="5" t="inlineStr">
        <is>
          <t>TC-UT_CFG-006 ファイルが無いときは、パスを文言に入れ、元の例外を cause に残す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既存テスト：一部 TC-NOUS48_DEV-15（型だけを見ている）</t>
        </is>
      </c>
    </row>
    <row r="18">
      <c r="A18" s="4" t="n">
        <v>14</v>
      </c>
      <c r="B18" s="4" t="inlineStr">
        <is>
          <t>TC-UT_CFG-007</t>
        </is>
      </c>
      <c r="C18" s="5" t="inlineStr">
        <is>
          <t>loadGenerationConfig</t>
        </is>
      </c>
      <c r="D18" s="4" t="inlineStr">
        <is>
          <t>異常系</t>
        </is>
      </c>
      <c r="E18" s="4" t="inlineStr">
        <is>
          <t>エラー処理</t>
        </is>
      </c>
      <c r="F18" s="5" t="inlineStr">
        <is>
          <t>JSON として読めないとき、文言にパスが入り、SyntaxError を cause に残す</t>
        </is>
      </c>
      <c r="G18" s="5" t="inlineStr">
        <is>
          <t>前提：一時ファイルに "{ not json"
入力：そのパス</t>
        </is>
      </c>
      <c r="H18" s="5" t="inlineStr">
        <is>
          <t>ConfigError、文言にパス、cause は SyntaxError</t>
        </is>
      </c>
      <c r="I18" s="5" t="inlineStr">
        <is>
          <t>B3-F, B4-T</t>
        </is>
      </c>
      <c r="J18" s="5" t="inlineStr">
        <is>
          <t>なし</t>
        </is>
      </c>
      <c r="K18" s="5" t="inlineStr"/>
      <c r="L18" s="5" t="inlineStr"/>
      <c r="M18" s="5" t="inlineStr">
        <is>
          <t>TC-UT_CFG-007 JSON として読めないときは、パスを文言に入れ、SyntaxError を cause に残す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既存テスト：一部 TC-NOUS48_DEV-16（型だけを見ている）</t>
        </is>
      </c>
    </row>
    <row r="19">
      <c r="A19" s="4" t="n">
        <v>15</v>
      </c>
      <c r="B19" s="4" t="inlineStr">
        <is>
          <t>TC-UT_CFG-008</t>
        </is>
      </c>
      <c r="C19" s="5" t="inlineStr">
        <is>
          <t>loadGenerationConfig</t>
        </is>
      </c>
      <c r="D19" s="4" t="inlineStr">
        <is>
          <t>異常系</t>
        </is>
      </c>
      <c r="E19" s="4" t="inlineStr">
        <is>
          <t>境界値</t>
        </is>
      </c>
      <c r="F19" s="5" t="inlineStr">
        <is>
          <t>空のファイル（0 バイト）は JSON として読めず ConfigError</t>
        </is>
      </c>
      <c r="G19" s="5" t="inlineStr">
        <is>
          <t>前提：一時ファイルに空の文字列
入力：そのパス</t>
        </is>
      </c>
      <c r="H19" s="5" t="inlineStr">
        <is>
          <t>ConfigError</t>
        </is>
      </c>
      <c r="I19" s="5" t="inlineStr">
        <is>
          <t>B3-F, B4-T</t>
        </is>
      </c>
      <c r="J19" s="5" t="inlineStr">
        <is>
          <t>なし</t>
        </is>
      </c>
      <c r="K19" s="5" t="inlineStr"/>
      <c r="L19" s="5" t="inlineStr"/>
      <c r="M19" s="5" t="inlineStr">
        <is>
          <t>TC-UT_CFG-008 空のファイルは JSON として読めず ConfigError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既存テスト：なし</t>
        </is>
      </c>
    </row>
    <row r="20">
      <c r="A20" s="4" t="n">
        <v>16</v>
      </c>
      <c r="B20" s="4" t="inlineStr">
        <is>
          <t>TC-UT_CFG-009</t>
        </is>
      </c>
      <c r="C20" s="5" t="inlineStr">
        <is>
          <t>loadGenerationConfig</t>
        </is>
      </c>
      <c r="D20" s="4" t="inlineStr">
        <is>
          <t>異常系</t>
        </is>
      </c>
      <c r="E20" s="4" t="inlineStr">
        <is>
          <t>エラー処理</t>
        </is>
      </c>
      <c r="F20" s="5" t="inlineStr">
        <is>
          <t>ファイルの値が不正なとき、文言の出どころがファイルのパスになる</t>
        </is>
      </c>
      <c r="G20" s="5" t="inlineStr">
        <is>
          <t>前提：一時ファイルに recentPenalty=2 の JSON
入力：そのパス</t>
        </is>
      </c>
      <c r="H20" s="5" t="inlineStr">
        <is>
          <t>ConfigError、文言にパスと recentPenalty を含む</t>
        </is>
      </c>
      <c r="I20" s="5" t="inlineStr">
        <is>
          <t>B3-F, B4-F, B1-T, B2-F</t>
        </is>
      </c>
      <c r="J20" s="5" t="inlineStr">
        <is>
          <t>なし</t>
        </is>
      </c>
      <c r="K20" s="5" t="inlineStr"/>
      <c r="L20" s="5" t="inlineStr"/>
      <c r="M20" s="5" t="inlineStr">
        <is>
          <t>TC-UT_CFG-009 ファイルの値が不正なときは、文言の出どころがファイルのパスになる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既存テスト：一部 TC-NOUS48_DEV-17（項目の場所だけを見ている）</t>
        </is>
      </c>
    </row>
  </sheetData>
  <autoFilter ref="A4:Q20"/>
  <conditionalFormatting sqref="A5:Q70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70" showDropDown="0" showInputMessage="0" showErrorMessage="0" allowBlank="1" type="list">
      <formula1>"未実施,OK,NG,保留,対象外"</formula1>
    </dataValidation>
    <dataValidation sqref="D5:D70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COUNTA(観点表!$B$5:$B$70)</f>
        <v/>
      </c>
    </row>
    <row r="6">
      <c r="A6" s="10" t="inlineStr">
        <is>
          <t>正常系</t>
        </is>
      </c>
      <c r="B6" s="10">
        <f>COUNTIF(観点表!$D$5:$D$70,"正常系")</f>
        <v/>
      </c>
    </row>
    <row r="7">
      <c r="A7" s="10" t="inlineStr">
        <is>
          <t>異常系</t>
        </is>
      </c>
      <c r="B7" s="10">
        <f>COUNTIF(観点表!$D$5:$D$70,"異常系")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COUNTIF(観点表!$E$5:$E$70,"エラー処理")</f>
        <v/>
      </c>
    </row>
    <row r="11">
      <c r="A11" s="10" t="inlineStr">
        <is>
          <t>分岐網羅</t>
        </is>
      </c>
      <c r="B11" s="10">
        <f>COUNTIF(観点表!$E$5:$E$70,"分岐網羅")</f>
        <v/>
      </c>
    </row>
    <row r="12">
      <c r="A12" s="10" t="inlineStr">
        <is>
          <t>同値分割</t>
        </is>
      </c>
      <c r="B12" s="10">
        <f>COUNTIF(観点表!$E$5:$E$70,"同値分割")</f>
        <v/>
      </c>
    </row>
    <row r="13">
      <c r="A13" s="10" t="inlineStr">
        <is>
          <t>境界値</t>
        </is>
      </c>
      <c r="B13" s="10">
        <f>COUNTIF(観点表!$E$5:$E$70,"境界値")</f>
        <v/>
      </c>
    </row>
    <row r="14">
      <c r="A14" s="10" t="inlineStr">
        <is>
          <t>開発者テスト</t>
        </is>
      </c>
      <c r="B14" s="10">
        <f>COUNTIF(観点表!$E$5:$E$70,"開発者テスト")</f>
        <v/>
      </c>
    </row>
    <row r="16">
      <c r="A16" s="8" t="inlineStr">
        <is>
          <t>テストデータ</t>
        </is>
      </c>
      <c r="B16" s="9" t="n"/>
      <c r="C16" s="9" t="n"/>
    </row>
    <row r="17">
      <c r="A17" s="10" t="inlineStr">
        <is>
          <t>作成済み</t>
        </is>
      </c>
      <c r="B17" s="10">
        <f>COUNTIF(観点表!$K$5:$K$70,"?*")</f>
        <v/>
      </c>
    </row>
    <row r="18">
      <c r="A18" s="10" t="inlineStr">
        <is>
          <t>未作成</t>
        </is>
      </c>
      <c r="B18" s="10">
        <f>B5-B17</f>
        <v/>
      </c>
    </row>
    <row r="20">
      <c r="A20" s="8" t="inlineStr">
        <is>
          <t>実施状況</t>
        </is>
      </c>
      <c r="B20" s="9" t="n"/>
      <c r="C20" s="9" t="n"/>
    </row>
    <row r="21">
      <c r="A21" s="10" t="inlineStr">
        <is>
          <t>未実施</t>
        </is>
      </c>
      <c r="B21" s="10">
        <f>COUNTIF(観点表!$N$5:$N$70,"未実施")</f>
        <v/>
      </c>
    </row>
    <row r="22">
      <c r="A22" s="10" t="inlineStr">
        <is>
          <t>OK</t>
        </is>
      </c>
      <c r="B22" s="10">
        <f>COUNTIF(観点表!$N$5:$N$70,"OK")</f>
        <v/>
      </c>
    </row>
    <row r="23">
      <c r="A23" s="10" t="inlineStr">
        <is>
          <t>NG</t>
        </is>
      </c>
      <c r="B23" s="10">
        <f>COUNTIF(観点表!$N$5:$N$70,"NG")</f>
        <v/>
      </c>
    </row>
    <row r="24">
      <c r="A24" s="10" t="inlineStr">
        <is>
          <t>保留</t>
        </is>
      </c>
      <c r="B24" s="10">
        <f>COUNTIF(観点表!$N$5:$N$70,"保留")</f>
        <v/>
      </c>
    </row>
    <row r="25">
      <c r="A25" s="10" t="inlineStr">
        <is>
          <t>対象外</t>
        </is>
      </c>
      <c r="B25" s="10">
        <f>COUNTIF(観点表!$N$5:$N$70,"対象外")</f>
        <v/>
      </c>
    </row>
    <row r="26">
      <c r="A26" s="10" t="inlineStr">
        <is>
          <t>消化率（未実施以外 / 総数）</t>
        </is>
      </c>
      <c r="B26" s="11">
        <f>IF(B5=0,0,(B5-B21)/B5)</f>
        <v/>
      </c>
    </row>
    <row r="27">
      <c r="A27" s="10" t="inlineStr">
        <is>
          <t>合格率（OK / (総数-対象外)）</t>
        </is>
      </c>
      <c r="B27" s="11">
        <f>IF(B5-B25=0,0,B22/(B5-B25))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TC-NOUS48_DEV-11</t>
        </is>
      </c>
      <c r="B5" s="13" t="inlineStr">
        <is>
          <t>リポジトリの config/generation.json を読める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TC-NOUS48_DEV-12</t>
        </is>
      </c>
      <c r="B6" s="13" t="inlineStr">
        <is>
          <t>正しい値はそのまま返す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TC-NOUS48_DEV-13</t>
        </is>
      </c>
      <c r="B7" s="13" t="inlineStr">
        <is>
          <t>境界値（確率 0 と 1、重み 0、候補の数 2 と 4）は通る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TC-NOUS48_DEV-14</t>
        </is>
      </c>
      <c r="B8" s="13" t="inlineStr">
        <is>
          <t>不正な値（確率の範囲外・欠け、重みが負・欠け、候補の数 1・5・2.5、減点 1.5、キーワードが空、知らない項目、項目の欠け）は ConfigError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TC-NOUS48_DEV-15</t>
        </is>
      </c>
      <c r="B9" s="13" t="inlineStr">
        <is>
          <t>ファイルが無ければ ConfigError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TC-NOUS48_DEV-16</t>
        </is>
      </c>
      <c r="B10" s="13" t="inlineStr">
        <is>
          <t>JSON として読めなければ ConfigError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TC-NOUS48_DEV-17</t>
        </is>
      </c>
      <c r="B11" s="13" t="inlineStr">
        <is>
          <t>エラーの文言に不正な項目の場所が入る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TC-UT_CFG-001</t>
        </is>
      </c>
      <c r="B12" s="13" t="inlineStr">
        <is>
          <t>減点（recentPenalty）の下限 0 と上限 1 は通る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TC-UT_CFG-002</t>
        </is>
      </c>
      <c r="B13" s="13" t="inlineStr">
        <is>
          <t>一人称の表（firstPersonRules）は 0 件でも通る（C03 を使わない設定）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TC-UT_CFG-003</t>
        </is>
      </c>
      <c r="B14" s="13" t="inlineStr">
        <is>
          <t>DEV-14 に無い無効クラス（減点が負、重みに知らない種類、活動頻度 6、確率・候補の数が文字列、合わない一人称が空、空の文字列、表に知らない項目）は ConfigError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TC-UT_CFG-004</t>
        </is>
      </c>
      <c r="B15" s="13" t="inlineStr">
        <is>
          <t>全体がオブジェクトでないとき、文言の場所が (root) になる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TC-UT_CFG-005</t>
        </is>
      </c>
      <c r="B16" s="13" t="inlineStr">
        <is>
          <t>出どころを省くと文言に config/generation.json が入り、原因（ZodError）を cause に残す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TC-UT_CFG-006</t>
        </is>
      </c>
      <c r="B17" s="13" t="inlineStr">
        <is>
          <t>ファイルが無いとき、文言にパスが入り、元の例外を cause に残す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TC-UT_CFG-007</t>
        </is>
      </c>
      <c r="B18" s="13" t="inlineStr">
        <is>
          <t>JSON として読めないとき、文言にパスが入り、SyntaxError を cause に残す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TC-UT_CFG-008</t>
        </is>
      </c>
      <c r="B19" s="13" t="inlineStr">
        <is>
          <t>空のファイル（0 バイト）は JSON として読めず ConfigError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TC-UT_CFG-009</t>
        </is>
      </c>
      <c r="B20" s="13" t="inlineStr">
        <is>
          <t>ファイルの値が不正なとき、文言の出どころがファイルのパスになる</t>
        </is>
      </c>
      <c r="C20" s="13" t="inlineStr">
        <is>
          <t>未作成</t>
        </is>
      </c>
      <c r="D20" s="13" t="inlineStr"/>
      <c r="E20" s="13" t="inlineStr"/>
      <c r="F20" s="13" t="inlineStr"/>
    </row>
  </sheetData>
  <autoFilter ref="A4:F20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行動生成の設定の読み込み（config/generationConfig.ts）</t>
        </is>
      </c>
    </row>
    <row r="4">
      <c r="A4" s="14" t="inlineStr">
        <is>
          <t>対象ファイル</t>
        </is>
      </c>
      <c r="B4" s="15" t="inlineStr">
        <is>
          <t>apps/server/src/config/generationConfig.ts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apps/server/src/config/generationConfig.test.ts（実装時、NOUS-48）, apps/server/src/config/generationConfig.ut.test.ts（単体テストで追加）</t>
        </is>
      </c>
    </row>
    <row r="7">
      <c r="A7" s="14" t="inlineStr">
        <is>
          <t>外部依存</t>
        </is>
      </c>
      <c r="B7" s="15" t="inlineStr">
        <is>
          <t>ファイルの読み込み（node:fs の readFileSync。テストは一時ディレクトリのファイルを使う）, Zod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!result.success（Zod の検証に通らない）</t>
        </is>
      </c>
      <c r="C11" s="17" t="inlineStr">
        <is>
          <t>generationConfig.ts:37</t>
        </is>
      </c>
    </row>
    <row r="12">
      <c r="A12" s="17" t="inlineStr">
        <is>
          <t>B2</t>
        </is>
      </c>
      <c r="B12" s="17" t="inlineStr">
        <is>
          <t>issue.path.join(".") || "(root)"（項目の場所が空＝全体の誤り）</t>
        </is>
      </c>
      <c r="C12" s="17" t="inlineStr">
        <is>
          <t>generationConfig.ts:38</t>
        </is>
      </c>
    </row>
    <row r="13">
      <c r="A13" s="17" t="inlineStr">
        <is>
          <t>B3</t>
        </is>
      </c>
      <c r="B13" s="17" t="inlineStr">
        <is>
          <t>readFileSync が例外（ファイルが無い・読めない）</t>
        </is>
      </c>
      <c r="C13" s="17" t="inlineStr">
        <is>
          <t>generationConfig.ts:47-51</t>
        </is>
      </c>
    </row>
    <row r="14">
      <c r="A14" s="17" t="inlineStr">
        <is>
          <t>B4</t>
        </is>
      </c>
      <c r="B14" s="17" t="inlineStr">
        <is>
          <t>JSON.parse が例外（JSON として読めない）</t>
        </is>
      </c>
      <c r="C14" s="17" t="inlineStr">
        <is>
          <t>generationConfig.ts:53-57</t>
        </is>
      </c>
    </row>
    <row r="16">
      <c r="A16" s="14" t="inlineStr">
        <is>
          <t>確認事項・潜在バグ</t>
        </is>
      </c>
    </row>
    <row r="17" ht="30" customHeight="1">
      <c r="A17" s="18" t="inlineStr">
        <is>
          <t>・確認事項 1：設計書は一人称の表（firstPersonRules）の件数を決めていない。0 件の設定は通る（TC-UT_CFG-002）。C03 を止めたいときの設定として使ってよいかを確認したい。</t>
        </is>
      </c>
    </row>
    <row r="18" ht="30" customHeight="1">
      <c r="A18" s="18" t="inlineStr">
        <is>
          <t>・確認事項 2（決定済み）：weights がすべて 0 の設定も検証を通る。このとき候補の抽選は ['post'] を返す（観点表_gate_candidates_rng の TC-UT_CAND-014）。設定ファイルは開発側が書くため起動時に弾かず、この動きを仕様とする（2026-10-23 NOUS-102 で Kouhei Tajima が決定）。</t>
        </is>
      </c>
    </row>
  </sheetData>
  <mergeCells count="2">
    <mergeCell ref="A17:C17"/>
    <mergeCell ref="A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2026-10-23T07:27:25Z</dcterms:created>
  <dcterms:modified xsi:type="dcterms:W3CDTF">2026-10-23T07:27:25Z</dcterms:modified>
</cp:coreProperties>
</file>