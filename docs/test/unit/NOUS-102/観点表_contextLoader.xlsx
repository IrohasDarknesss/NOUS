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'観点表'!$A$4:$Q$23</definedName>
    <definedName name="_xlnm.Print_Titles" localSheetId="0">'観点表'!$4:$4</definedName>
    <definedName name="_xlnm._FilterDatabase" localSheetId="2" hidden="1">'テストデータ'!$A$4:$F$23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入力に使う文脈の読み込み（generation/contextLoader.ts）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TC-NOUS61_DEV-41</t>
        </is>
      </c>
      <c r="C5" s="5" t="inlineStr">
        <is>
          <t>loadContext</t>
        </is>
      </c>
      <c r="D5" s="4" t="inlineStr">
        <is>
          <t>異常系</t>
        </is>
      </c>
      <c r="E5" s="4" t="inlineStr">
        <is>
          <t>開発者テスト</t>
        </is>
      </c>
      <c r="F5" s="5" t="inlineStr">
        <is>
          <t>稼働中でないエージェントは AgentNotActiveError</t>
        </is>
      </c>
      <c r="G5" s="5" t="inlineStr">
        <is>
          <t>前提：停止中のエージェント
入力：停止中のエージェント ID、存在しない ID</t>
        </is>
      </c>
      <c r="H5" s="5" t="inlineStr">
        <is>
          <t>AgentNotActiveError</t>
        </is>
      </c>
      <c r="I5" s="5" t="inlineStr">
        <is>
          <t>B1-T</t>
        </is>
      </c>
      <c r="J5" s="5" t="inlineStr">
        <is>
          <t>一時 DB（createTestDb）</t>
        </is>
      </c>
      <c r="K5" s="5" t="inlineStr"/>
      <c r="L5" s="5" t="inlineStr"/>
      <c r="M5" s="5" t="inlineStr">
        <is>
          <t>TC-NOUS61_DEV-41 稼働中でないエージェントは AgentNotActiveError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既存テスト：実装時のテスト（NOUS-61）</t>
        </is>
      </c>
    </row>
    <row r="6">
      <c r="A6" s="4" t="n">
        <v>2</v>
      </c>
      <c r="B6" s="4" t="inlineStr">
        <is>
          <t>TC-NOUS61_DEV-42</t>
        </is>
      </c>
      <c r="C6" s="5" t="inlineStr">
        <is>
          <t>loadContext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記憶を固定の順に並べ、空のものは除く</t>
        </is>
      </c>
      <c r="G6" s="5" t="inlineStr">
        <is>
          <t>前提：記憶 3 件（会話・関心・空白だけの関係）
入力：自分の ID</t>
        </is>
      </c>
      <c r="H6" s="5" t="inlineStr">
        <is>
          <t>interest_profile → conversation_summary の 2 件</t>
        </is>
      </c>
      <c r="I6" s="5" t="inlineStr">
        <is>
          <t>B1-F, B2-T, B2-F</t>
        </is>
      </c>
      <c r="J6" s="5" t="inlineStr">
        <is>
          <t>一時 DB（createTestDb）</t>
        </is>
      </c>
      <c r="K6" s="5" t="inlineStr"/>
      <c r="L6" s="5" t="inlineStr"/>
      <c r="M6" s="5" t="inlineStr">
        <is>
          <t>TC-NOUS61_DEV-42 記憶を固定の順に並べ、空のものは除く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既存テスト：実装時のテスト（NOUS-61）</t>
        </is>
      </c>
    </row>
    <row r="7">
      <c r="A7" s="4" t="n">
        <v>3</v>
      </c>
      <c r="B7" s="4" t="inlineStr">
        <is>
          <t>TC-NOUS61_DEV-43</t>
        </is>
      </c>
      <c r="C7" s="5" t="inlineStr">
        <is>
          <t>loadContext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直近 2 回の成功した行動を新しい順に読み、none と失敗は除く</t>
        </is>
      </c>
      <c r="G7" s="5" t="inlineStr">
        <is>
          <t>前提：post・like・失敗した follow・none・reply の生成イベント
入力：自分の ID</t>
        </is>
      </c>
      <c r="H7" s="5" t="inlineStr">
        <is>
          <t>['reply','like']</t>
        </is>
      </c>
      <c r="I7" s="5" t="inlineStr">
        <is>
          <t>B3-T</t>
        </is>
      </c>
      <c r="J7" s="5" t="inlineStr">
        <is>
          <t>一時 DB（createTestDb）</t>
        </is>
      </c>
      <c r="K7" s="5" t="inlineStr"/>
      <c r="L7" s="5" t="inlineStr"/>
      <c r="M7" s="5" t="inlineStr">
        <is>
          <t>TC-NOUS61_DEV-43 直近 2 回の成功した行動を新しい順に読み、none と失敗は除く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既存テスト：実装時のテスト（NOUS-61）</t>
        </is>
      </c>
    </row>
    <row r="8">
      <c r="A8" s="4" t="n">
        <v>4</v>
      </c>
      <c r="B8" s="4" t="inlineStr">
        <is>
          <t>TC-NOUS61_DEV-44</t>
        </is>
      </c>
      <c r="C8" s="5" t="inlineStr">
        <is>
          <t>loadContext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参照する投稿は自分の投稿・非表示・別の世界を含まず、古い順に P1 から番号を付ける</t>
        </is>
      </c>
      <c r="G8" s="5" t="inlineStr">
        <is>
          <t>前提：自分の投稿、他人の公開 2 件・非表示 1 件、別の世界の投稿
入力：自分の ID、max 12</t>
        </is>
      </c>
      <c r="H8" s="5" t="inlineStr">
        <is>
          <t>P1・P2 が他人の公開の 2 件（古い順）</t>
        </is>
      </c>
      <c r="I8" s="5" t="inlineStr">
        <is>
          <t>B4-F, B5-F, B5-T, B6-T, B7-T, B8-T, B9-T, B10-F, B11-T</t>
        </is>
      </c>
      <c r="J8" s="5" t="inlineStr">
        <is>
          <t>一時 DB（createTestDb）</t>
        </is>
      </c>
      <c r="K8" s="5" t="inlineStr"/>
      <c r="L8" s="5" t="inlineStr"/>
      <c r="M8" s="5" t="inlineStr">
        <is>
          <t>TC-NOUS61_DEV-44 参照する投稿は自分の投稿・非表示・別の世界を含まず、古い順に P1 から番号を付ける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既存テスト：実装時のテスト（NOUS-61）</t>
        </is>
      </c>
    </row>
    <row r="9">
      <c r="A9" s="4" t="n">
        <v>5</v>
      </c>
      <c r="B9" s="4" t="inlineStr">
        <is>
          <t>TC-NOUS61_DEV-45</t>
        </is>
      </c>
      <c r="C9" s="5" t="inlineStr">
        <is>
          <t>selectRefPosts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自分への未返信の返信（3）→ フォロー中の投稿（5）→ 新しい投稿（残り）の優先で選ぶ</t>
        </is>
      </c>
      <c r="G9" s="5" t="inlineStr">
        <is>
          <t>前提：自分への返信 4 件と返信済み 1 件、フォロー中の投稿 6 件、新しい投稿 3 件
入力：max 10</t>
        </is>
      </c>
      <c r="H9" s="5" t="inlineStr">
        <is>
          <t>返信の新しい 3 件、フォロー中の新しい 5 件、新しい投稿の新しい 2 件。古い順・P1 から</t>
        </is>
      </c>
      <c r="I9" s="5" t="inlineStr">
        <is>
          <t>B4-T, B5-T, B6-T, B7-T, B8-T, B9-T</t>
        </is>
      </c>
      <c r="J9" s="5" t="inlineStr">
        <is>
          <t>一時 DB（createTestDb）</t>
        </is>
      </c>
      <c r="K9" s="5" t="inlineStr"/>
      <c r="L9" s="5" t="inlineStr"/>
      <c r="M9" s="5" t="inlineStr">
        <is>
          <t>TC-NOUS61_DEV-45 自分への未返信の返信（3）→ フォロー中の投稿（5）→ 新しい投稿（残り）の優先で選ぶ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既存テスト：実装時のテスト（NOUS-61）</t>
        </is>
      </c>
    </row>
    <row r="10">
      <c r="A10" s="4" t="n">
        <v>6</v>
      </c>
      <c r="B10" s="4" t="inlineStr">
        <is>
          <t>TC-NOUS61_DEV-46</t>
        </is>
      </c>
      <c r="C10" s="5" t="inlineStr">
        <is>
          <t>selectRefPosts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max_ref_posts を超えて選ばず、重複もしない</t>
        </is>
      </c>
      <c r="G10" s="5" t="inlineStr">
        <is>
          <t>前提：自分への返信 1 件（フォロー中の住人から）、フォロー中の投稿 2 件
入力：max 2、max 12</t>
        </is>
      </c>
      <c r="H10" s="5" t="inlineStr">
        <is>
          <t>2 件で重複なし、max 12 なら 3 件</t>
        </is>
      </c>
      <c r="I10" s="5" t="inlineStr">
        <is>
          <t>B7-T, B8-F</t>
        </is>
      </c>
      <c r="J10" s="5" t="inlineStr">
        <is>
          <t>一時 DB（createTestDb）</t>
        </is>
      </c>
      <c r="K10" s="5" t="inlineStr"/>
      <c r="L10" s="5" t="inlineStr"/>
      <c r="M10" s="5" t="inlineStr">
        <is>
          <t>TC-NOUS61_DEV-46 max_ref_posts を超えて選ばず、重複もしない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既存テスト：実装時のテスト（NOUS-61）</t>
        </is>
      </c>
    </row>
    <row r="11">
      <c r="A11" s="4" t="n">
        <v>7</v>
      </c>
      <c r="B11" s="4" t="inlineStr">
        <is>
          <t>TC-NOUS61_DEV-47</t>
        </is>
      </c>
      <c r="C11" s="5" t="inlineStr">
        <is>
          <t>loadContext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いいねできる投稿は、参照する投稿のうちまだいいねしていないもの</t>
        </is>
      </c>
      <c r="G11" s="5" t="inlineStr">
        <is>
          <t>前提：他人の投稿 2 件、うち 1 件にいいね済み
入力：自分の ID</t>
        </is>
      </c>
      <c r="H11" s="5" t="inlineStr">
        <is>
          <t>いいねしていない 1 件だけ</t>
        </is>
      </c>
      <c r="I11" s="5" t="inlineStr">
        <is>
          <t>B10-F, B11-T, B11-F</t>
        </is>
      </c>
      <c r="J11" s="5" t="inlineStr">
        <is>
          <t>一時 DB（createTestDb）</t>
        </is>
      </c>
      <c r="K11" s="5" t="inlineStr"/>
      <c r="L11" s="5" t="inlineStr"/>
      <c r="M11" s="5" t="inlineStr">
        <is>
          <t>TC-NOUS61_DEV-47 いいねできる投稿は、参照する投稿のうちまだいいねしていないもの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既存テスト：実装時のテスト（NOUS-61）</t>
        </is>
      </c>
    </row>
    <row r="12">
      <c r="A12" s="4" t="n">
        <v>8</v>
      </c>
      <c r="B12" s="4" t="inlineStr">
        <is>
          <t>TC-NOUS61_DEV-48</t>
        </is>
      </c>
      <c r="C12" s="5" t="inlineStr">
        <is>
          <t>loadContext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フォローできる住人は、同じ世界の稼働中で、自分以外の、フォローしていない住人（登録順に 8 体まで）</t>
        </is>
      </c>
      <c r="G12" s="5" t="inlineStr">
        <is>
          <t>前提：フォロー中・解除済み・停止中・別の世界の住人と、ほか 9 体
入力：自分の ID</t>
        </is>
      </c>
      <c r="H12" s="5" t="inlineStr">
        <is>
          <t>解除済みを先頭に 8 体。自分・フォロー中・停止中・別の世界を含まない</t>
        </is>
      </c>
      <c r="I12" s="5" t="inlineStr"/>
      <c r="J12" s="5" t="inlineStr">
        <is>
          <t>一時 DB（createTestDb）</t>
        </is>
      </c>
      <c r="K12" s="5" t="inlineStr"/>
      <c r="L12" s="5" t="inlineStr"/>
      <c r="M12" s="5" t="inlineStr">
        <is>
          <t>TC-NOUS61_DEV-48 フォローできる住人は、同じ世界の稼働中で、自分以外の、フォローしていない住人（登録順に 8 体まで）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既存テスト：実装時のテスト（NOUS-61）</t>
        </is>
      </c>
    </row>
    <row r="13">
      <c r="A13" s="4" t="n">
        <v>9</v>
      </c>
      <c r="B13" s="4" t="inlineStr">
        <is>
          <t>TC-NOUS61_DEV-49</t>
        </is>
      </c>
      <c r="C13" s="5" t="inlineStr">
        <is>
          <t>loadContext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フォロー中の住人は、継続中のフォローの相手だけ</t>
        </is>
      </c>
      <c r="G13" s="5" t="inlineStr">
        <is>
          <t>前提：継続中 1 件、解除済み 1 件
入力：自分の ID</t>
        </is>
      </c>
      <c r="H13" s="5" t="inlineStr">
        <is>
          <t>継続中の相手 1 体だけ</t>
        </is>
      </c>
      <c r="I13" s="5" t="inlineStr"/>
      <c r="J13" s="5" t="inlineStr">
        <is>
          <t>一時 DB（createTestDb）</t>
        </is>
      </c>
      <c r="K13" s="5" t="inlineStr"/>
      <c r="L13" s="5" t="inlineStr"/>
      <c r="M13" s="5" t="inlineStr">
        <is>
          <t>TC-NOUS61_DEV-49 フォロー中の住人は、継続中のフォローの相手だけ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既存テスト：実装時のテスト（NOUS-61）</t>
        </is>
      </c>
    </row>
    <row r="14">
      <c r="A14" s="4" t="n">
        <v>10</v>
      </c>
      <c r="B14" s="4" t="inlineStr">
        <is>
          <t>TC-UT_CTX-001</t>
        </is>
      </c>
      <c r="C14" s="5" t="inlineStr">
        <is>
          <t>loadContext</t>
        </is>
      </c>
      <c r="D14" s="4" t="inlineStr">
        <is>
          <t>異常系</t>
        </is>
      </c>
      <c r="E14" s="4" t="inlineStr">
        <is>
          <t>同値分割</t>
        </is>
      </c>
      <c r="F14" s="5" t="inlineStr">
        <is>
          <t>別の世界のエージェントとして読むと AgentNotActiveError（world_id の条件）</t>
        </is>
      </c>
      <c r="G14" s="5" t="inlineStr">
        <is>
          <t>前提：別の世界の稼働中のエージェント
入力：worldId は現在の世界、agentId は別の世界のエージェント</t>
        </is>
      </c>
      <c r="H14" s="5" t="inlineStr">
        <is>
          <t>AgentNotActiveError</t>
        </is>
      </c>
      <c r="I14" s="5" t="inlineStr">
        <is>
          <t>B1-T</t>
        </is>
      </c>
      <c r="J14" s="5" t="inlineStr">
        <is>
          <t>一時 DB（createTestDb）</t>
        </is>
      </c>
      <c r="K14" s="5" t="inlineStr"/>
      <c r="L14" s="5" t="inlineStr"/>
      <c r="M14" s="5" t="inlineStr">
        <is>
          <t>TC-UT_CTX-001 別の世界のエージェントとして読むと AgentNotActiveError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既存テスト：一部 TC-NOUS61_DEV-41（停止中と存在しない ID だけ）</t>
        </is>
      </c>
    </row>
    <row r="15">
      <c r="A15" s="4" t="n">
        <v>11</v>
      </c>
      <c r="B15" s="4" t="inlineStr">
        <is>
          <t>TC-UT_CTX-002</t>
        </is>
      </c>
      <c r="C15" s="5" t="inlineStr">
        <is>
          <t>loadContext</t>
        </is>
      </c>
      <c r="D15" s="4" t="inlineStr">
        <is>
          <t>正常系</t>
        </is>
      </c>
      <c r="E15" s="4" t="inlineStr">
        <is>
          <t>同値分割</t>
        </is>
      </c>
      <c r="F15" s="5" t="inlineStr">
        <is>
          <t>直近の行動は、同じ世界の生成イベントだけを読む</t>
        </is>
      </c>
      <c r="G15" s="5" t="inlineStr">
        <is>
          <t>前提：同じ世界の like、別の世界の follow
入力：自分の ID</t>
        </is>
      </c>
      <c r="H15" s="5" t="inlineStr">
        <is>
          <t>recentActions は ['like']</t>
        </is>
      </c>
      <c r="I15" s="5" t="inlineStr">
        <is>
          <t>B1-F, B3-T</t>
        </is>
      </c>
      <c r="J15" s="5" t="inlineStr">
        <is>
          <t>一時 DB（createTestDb）</t>
        </is>
      </c>
      <c r="K15" s="5" t="inlineStr"/>
      <c r="L15" s="5" t="inlineStr"/>
      <c r="M15" s="5" t="inlineStr">
        <is>
          <t>TC-UT_CTX-002 直近の行動は、同じ世界の生成イベントだけを読む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既存テスト：なし（DEV-43 は同じ世界だけ）</t>
        </is>
      </c>
    </row>
    <row r="16">
      <c r="A16" s="4" t="n">
        <v>12</v>
      </c>
      <c r="B16" s="4" t="inlineStr">
        <is>
          <t>TC-UT_CTX-003</t>
        </is>
      </c>
      <c r="C16" s="5" t="inlineStr">
        <is>
          <t>selectRefPosts</t>
        </is>
      </c>
      <c r="D16" s="4" t="inlineStr">
        <is>
          <t>正常系</t>
        </is>
      </c>
      <c r="E16" s="4" t="inlineStr">
        <is>
          <t>分岐網羅</t>
        </is>
      </c>
      <c r="F16" s="5" t="inlineStr">
        <is>
          <t>自分の投稿への返信は、古くても世界全体の新しい投稿より先に選び、他人の投稿への返信は優先しない</t>
        </is>
      </c>
      <c r="G16" s="5" t="inlineStr">
        <is>
          <t>前提：自分の投稿への返信（2）、他人の投稿への返信（4）、新しい投稿（5）
入力：max 1</t>
        </is>
      </c>
      <c r="H16" s="5" t="inlineStr">
        <is>
          <t>自分の投稿への返信の 1 件だけ</t>
        </is>
      </c>
      <c r="I16" s="5" t="inlineStr">
        <is>
          <t>B6-T, B7-F, B8-F, B10-F</t>
        </is>
      </c>
      <c r="J16" s="5" t="inlineStr">
        <is>
          <t>一時 DB（createTestDb）</t>
        </is>
      </c>
      <c r="K16" s="5" t="inlineStr"/>
      <c r="L16" s="5" t="inlineStr"/>
      <c r="M16" s="5" t="inlineStr">
        <is>
          <t>TC-UT_CTX-003 自分の投稿への返信は、古くても世界全体の新しい投稿より先に選び、他人の投稿への返信は優先しない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既存テスト：一部 TC-NOUS61_DEV-45（他人の投稿への返信が無い）</t>
        </is>
      </c>
    </row>
    <row r="17">
      <c r="A17" s="4" t="n">
        <v>13</v>
      </c>
      <c r="B17" s="4" t="inlineStr">
        <is>
          <t>TC-UT_CTX-004</t>
        </is>
      </c>
      <c r="C17" s="5" t="inlineStr">
        <is>
          <t>selectRefPosts</t>
        </is>
      </c>
      <c r="D17" s="4" t="inlineStr">
        <is>
          <t>異常系</t>
        </is>
      </c>
      <c r="E17" s="4" t="inlineStr">
        <is>
          <t>同値分割</t>
        </is>
      </c>
      <c r="F17" s="5" t="inlineStr">
        <is>
          <t>非表示の返信は、自分の投稿への返信でも選ばない</t>
        </is>
      </c>
      <c r="G17" s="5" t="inlineStr">
        <is>
          <t>前提：自分の投稿への非表示の返信だけ
入力：max 12</t>
        </is>
      </c>
      <c r="H17" s="5" t="inlineStr">
        <is>
          <t>[]</t>
        </is>
      </c>
      <c r="I17" s="5" t="inlineStr">
        <is>
          <t>B5-F, B7-T, B8-T</t>
        </is>
      </c>
      <c r="J17" s="5" t="inlineStr">
        <is>
          <t>一時 DB（createTestDb）</t>
        </is>
      </c>
      <c r="K17" s="5" t="inlineStr"/>
      <c r="L17" s="5" t="inlineStr"/>
      <c r="M17" s="5" t="inlineStr">
        <is>
          <t>TC-UT_CTX-004 非表示の返信は、自分の投稿への返信でも選ばない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既存テスト：一部 TC-NOUS61_DEV-44（返信でない非表示の投稿だけ）</t>
        </is>
      </c>
    </row>
    <row r="18">
      <c r="A18" s="4" t="n">
        <v>14</v>
      </c>
      <c r="B18" s="4" t="inlineStr">
        <is>
          <t>TC-UT_CTX-005</t>
        </is>
      </c>
      <c r="C18" s="5" t="inlineStr">
        <is>
          <t>selectRefPosts</t>
        </is>
      </c>
      <c r="D18" s="4" t="inlineStr">
        <is>
          <t>正常系</t>
        </is>
      </c>
      <c r="E18" s="4" t="inlineStr">
        <is>
          <t>分岐網羅</t>
        </is>
      </c>
      <c r="F18" s="5" t="inlineStr">
        <is>
          <t>フォロー中の住人の投稿は、古くても世界全体の新しい投稿より先に選び、解除したフォローは優先しない</t>
        </is>
      </c>
      <c r="G18" s="5" t="inlineStr">
        <is>
          <t>前提：フォロー中の投稿（1）、解除した住人の投稿（2）、ほかの新しい投稿（3）
入力：max 1、max 2</t>
        </is>
      </c>
      <c r="H18" s="5" t="inlineStr">
        <is>
          <t>max 1 は [フォロー中]、max 2 は [フォロー中, 新しい投稿]</t>
        </is>
      </c>
      <c r="I18" s="5" t="inlineStr">
        <is>
          <t>B4-T, B5-T, B7-T, B8-T, B8-F</t>
        </is>
      </c>
      <c r="J18" s="5" t="inlineStr">
        <is>
          <t>一時 DB（createTestDb）</t>
        </is>
      </c>
      <c r="K18" s="5" t="inlineStr"/>
      <c r="L18" s="5" t="inlineStr"/>
      <c r="M18" s="5" t="inlineStr">
        <is>
          <t>TC-UT_CTX-005 フォロー中の住人の投稿は、古くても世界全体の新しい投稿より先に選び、解除したフォローは優先しない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既存テスト：一部 TC-NOUS61_DEV-45（解除したフォローが無い）</t>
        </is>
      </c>
    </row>
    <row r="19">
      <c r="A19" s="4" t="n">
        <v>15</v>
      </c>
      <c r="B19" s="4" t="inlineStr">
        <is>
          <t>TC-UT_CTX-006</t>
        </is>
      </c>
      <c r="C19" s="5" t="inlineStr">
        <is>
          <t>selectRefPosts</t>
        </is>
      </c>
      <c r="D19" s="4" t="inlineStr">
        <is>
          <t>正常系</t>
        </is>
      </c>
      <c r="E19" s="4" t="inlineStr">
        <is>
          <t>境界値</t>
        </is>
      </c>
      <c r="F19" s="5" t="inlineStr">
        <is>
          <t>max_ref_posts が 1（下限）のとき、自分への返信が 3 件あっても新しい 1 件だけを P1 にする</t>
        </is>
      </c>
      <c r="G19" s="5" t="inlineStr">
        <is>
          <t>前提：自分の投稿への返信 3 件
入力：max 1</t>
        </is>
      </c>
      <c r="H19" s="5" t="inlineStr">
        <is>
          <t>[['P1', 最も新しい返信]]</t>
        </is>
      </c>
      <c r="I19" s="5" t="inlineStr">
        <is>
          <t>B6-T, B7-F, B8-F</t>
        </is>
      </c>
      <c r="J19" s="5" t="inlineStr">
        <is>
          <t>一時 DB（createTestDb）</t>
        </is>
      </c>
      <c r="K19" s="5" t="inlineStr"/>
      <c r="L19" s="5" t="inlineStr"/>
      <c r="M19" s="5" t="inlineStr">
        <is>
          <t>TC-UT_CTX-006 max_ref_posts が 1 のとき、自分への返信が 3 件あっても新しい 1 件だけを P1 にする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既存テスト：一部 TC-NOUS61_DEV-46（max 2 だけ）
world_settings.max_ref_posts は 1〜30</t>
        </is>
      </c>
    </row>
    <row r="20">
      <c r="A20" s="4" t="n">
        <v>16</v>
      </c>
      <c r="B20" s="4" t="inlineStr">
        <is>
          <t>TC-UT_CTX-007</t>
        </is>
      </c>
      <c r="C20" s="5" t="inlineStr">
        <is>
          <t>selectRefPosts</t>
        </is>
      </c>
      <c r="D20" s="4" t="inlineStr">
        <is>
          <t>正常系</t>
        </is>
      </c>
      <c r="E20" s="4" t="inlineStr">
        <is>
          <t>分岐網羅</t>
        </is>
      </c>
      <c r="F20" s="5" t="inlineStr">
        <is>
          <t>世界内時間が同じ投稿は、投稿 ID の順に並べる</t>
        </is>
      </c>
      <c r="G20" s="5" t="inlineStr">
        <is>
          <t>前提：他人の投稿 2 件（同じ世界内時間 5）
入力：max 12</t>
        </is>
      </c>
      <c r="H20" s="5" t="inlineStr">
        <is>
          <t>投稿 ID の昇順</t>
        </is>
      </c>
      <c r="I20" s="5" t="inlineStr">
        <is>
          <t>B9-F</t>
        </is>
      </c>
      <c r="J20" s="5" t="inlineStr">
        <is>
          <t>一時 DB（createTestDb）</t>
        </is>
      </c>
      <c r="K20" s="5" t="inlineStr"/>
      <c r="L20" s="5" t="inlineStr"/>
      <c r="M20" s="5" t="inlineStr">
        <is>
          <t>TC-UT_CTX-007 世界内時間が同じ投稿は、投稿 ID の順に並べる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既存テスト：なし
設計書は「世界内時間の古い順」まで。同じ時刻の順は記載なし（実装の値）</t>
        </is>
      </c>
    </row>
    <row r="21">
      <c r="A21" s="4" t="n">
        <v>17</v>
      </c>
      <c r="B21" s="4" t="inlineStr">
        <is>
          <t>TC-UT_CTX-008</t>
        </is>
      </c>
      <c r="C21" s="5" t="inlineStr">
        <is>
          <t>loadContext</t>
        </is>
      </c>
      <c r="D21" s="4" t="inlineStr">
        <is>
          <t>正常系</t>
        </is>
      </c>
      <c r="E21" s="4" t="inlineStr">
        <is>
          <t>境界値</t>
        </is>
      </c>
      <c r="F21" s="5" t="inlineStr">
        <is>
          <t>投稿も住人も記憶もなければ、参照する投稿・いいねできる投稿・相手の一覧・記憶は空</t>
        </is>
      </c>
      <c r="G21" s="5" t="inlineStr">
        <is>
          <t>前提：自分だけの世界
入力：自分の ID</t>
        </is>
      </c>
      <c r="H21" s="5" t="inlineStr">
        <is>
          <t>refs・likeablePostIds・followTargets・followees・memories がすべて []</t>
        </is>
      </c>
      <c r="I21" s="5" t="inlineStr">
        <is>
          <t>B1-F, B7-T, B8-T, B10-T</t>
        </is>
      </c>
      <c r="J21" s="5" t="inlineStr">
        <is>
          <t>一時 DB（createTestDb）</t>
        </is>
      </c>
      <c r="K21" s="5" t="inlineStr"/>
      <c r="L21" s="5" t="inlineStr"/>
      <c r="M21" s="5" t="inlineStr">
        <is>
          <t>TC-UT_CTX-008 投稿も住人も記憶もなければ、参照する投稿・いいねできる投稿・相手の一覧・記憶は空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</t>
        </is>
      </c>
    </row>
    <row r="22">
      <c r="A22" s="4" t="n">
        <v>18</v>
      </c>
      <c r="B22" s="4" t="inlineStr">
        <is>
          <t>TC-UT_CTX-009</t>
        </is>
      </c>
      <c r="C22" s="5" t="inlineStr">
        <is>
          <t>loadContext</t>
        </is>
      </c>
      <c r="D22" s="4" t="inlineStr">
        <is>
          <t>正常系</t>
        </is>
      </c>
      <c r="E22" s="4" t="inlineStr">
        <is>
          <t>状態遷移</t>
        </is>
      </c>
      <c r="F22" s="5" t="inlineStr">
        <is>
          <t>停止中の住人の公開中の投稿は参照する投稿に入り、停止中の住人へのフォローはフォロー中に残る</t>
        </is>
      </c>
      <c r="G22" s="5" t="inlineStr">
        <is>
          <t>前提：フォローした住人の投稿のあと、その住人を停止
入力：自分の ID</t>
        </is>
      </c>
      <c r="H22" s="5" t="inlineStr">
        <is>
          <t>refs にその投稿、followees にその住人、followTargets は []</t>
        </is>
      </c>
      <c r="I22" s="5" t="inlineStr">
        <is>
          <t>B4-T, B11-T</t>
        </is>
      </c>
      <c r="J22" s="5" t="inlineStr">
        <is>
          <t>一時 DB（createTestDb）</t>
        </is>
      </c>
      <c r="K22" s="5" t="inlineStr"/>
      <c r="L22" s="5" t="inlineStr"/>
      <c r="M22" s="5" t="inlineStr">
        <is>
          <t>TC-UT_CTX-009 停止中の住人の公開中の投稿は参照する投稿に入り、停止中の住人へのフォローはフォロー中に残る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既存テスト：なし
設計書 3章の条件（posts は visibility、follows は ended_world_sec）に書き手の状態は無い。実装の値。issues の確認事項 1</t>
        </is>
      </c>
    </row>
    <row r="23">
      <c r="A23" s="4" t="n">
        <v>19</v>
      </c>
      <c r="B23" s="4" t="inlineStr">
        <is>
          <t>TC-UT_CTX-010</t>
        </is>
      </c>
      <c r="C23" s="5" t="inlineStr">
        <is>
          <t>selectRefPosts</t>
        </is>
      </c>
      <c r="D23" s="4" t="inlineStr">
        <is>
          <t>正常系</t>
        </is>
      </c>
      <c r="E23" s="4" t="inlineStr">
        <is>
          <t>同値分割</t>
        </is>
      </c>
      <c r="F23" s="5" t="inlineStr">
        <is>
          <t>自分が返信済みの、自分の投稿への返信は、優先 1 には入らないが世界全体の新しい投稿として選べる</t>
        </is>
      </c>
      <c r="G23" s="5" t="inlineStr">
        <is>
          <t>前提：自分の投稿、それへの他人の返信、その返信への自分の返信
入力：max 12</t>
        </is>
      </c>
      <c r="H23" s="5" t="inlineStr">
        <is>
          <t>[他人の返信] だけ</t>
        </is>
      </c>
      <c r="I23" s="5" t="inlineStr">
        <is>
          <t>B5-F, B8-T</t>
        </is>
      </c>
      <c r="J23" s="5" t="inlineStr">
        <is>
          <t>一時 DB（createTestDb）</t>
        </is>
      </c>
      <c r="K23" s="5" t="inlineStr"/>
      <c r="L23" s="5" t="inlineStr"/>
      <c r="M23" s="5" t="inlineStr">
        <is>
          <t>TC-UT_CTX-010 自分の投稿への返信に自分が返信済みでも、その返信は世界全体の新しい投稿として選べる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既存テスト：一部 TC-NOUS61_DEV-45（返信済みのものが優先 1 に入らないことだけ）</t>
        </is>
      </c>
    </row>
  </sheetData>
  <autoFilter ref="A4:Q23"/>
  <conditionalFormatting sqref="A5:Q73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73" showDropDown="0" showInputMessage="0" showErrorMessage="0" allowBlank="1" type="list">
      <formula1>"未実施,OK,NG,保留,対象外"</formula1>
    </dataValidation>
    <dataValidation sqref="D5:D73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COUNTA(観点表!$B$5:$B$73)</f>
        <v/>
      </c>
    </row>
    <row r="6">
      <c r="A6" s="10" t="inlineStr">
        <is>
          <t>正常系</t>
        </is>
      </c>
      <c r="B6" s="10">
        <f>COUNTIF(観点表!$D$5:$D$73,"正常系")</f>
        <v/>
      </c>
    </row>
    <row r="7">
      <c r="A7" s="10" t="inlineStr">
        <is>
          <t>異常系</t>
        </is>
      </c>
      <c r="B7" s="10">
        <f>COUNTIF(観点表!$D$5:$D$73,"異常系")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分岐網羅</t>
        </is>
      </c>
      <c r="B10" s="10">
        <f>COUNTIF(観点表!$E$5:$E$73,"分岐網羅")</f>
        <v/>
      </c>
    </row>
    <row r="11">
      <c r="A11" s="10" t="inlineStr">
        <is>
          <t>同値分割</t>
        </is>
      </c>
      <c r="B11" s="10">
        <f>COUNTIF(観点表!$E$5:$E$73,"同値分割")</f>
        <v/>
      </c>
    </row>
    <row r="12">
      <c r="A12" s="10" t="inlineStr">
        <is>
          <t>境界値</t>
        </is>
      </c>
      <c r="B12" s="10">
        <f>COUNTIF(観点表!$E$5:$E$73,"境界値")</f>
        <v/>
      </c>
    </row>
    <row r="13">
      <c r="A13" s="10" t="inlineStr">
        <is>
          <t>状態遷移</t>
        </is>
      </c>
      <c r="B13" s="10">
        <f>COUNTIF(観点表!$E$5:$E$73,"状態遷移")</f>
        <v/>
      </c>
    </row>
    <row r="14">
      <c r="A14" s="10" t="inlineStr">
        <is>
          <t>開発者テスト</t>
        </is>
      </c>
      <c r="B14" s="10">
        <f>COUNTIF(観点表!$E$5:$E$73,"開発者テスト")</f>
        <v/>
      </c>
    </row>
    <row r="16">
      <c r="A16" s="8" t="inlineStr">
        <is>
          <t>テストデータ</t>
        </is>
      </c>
      <c r="B16" s="9" t="n"/>
      <c r="C16" s="9" t="n"/>
    </row>
    <row r="17">
      <c r="A17" s="10" t="inlineStr">
        <is>
          <t>作成済み</t>
        </is>
      </c>
      <c r="B17" s="10">
        <f>COUNTIF(観点表!$K$5:$K$73,"?*")</f>
        <v/>
      </c>
    </row>
    <row r="18">
      <c r="A18" s="10" t="inlineStr">
        <is>
          <t>未作成</t>
        </is>
      </c>
      <c r="B18" s="10">
        <f>B5-B17</f>
        <v/>
      </c>
    </row>
    <row r="20">
      <c r="A20" s="8" t="inlineStr">
        <is>
          <t>実施状況</t>
        </is>
      </c>
      <c r="B20" s="9" t="n"/>
      <c r="C20" s="9" t="n"/>
    </row>
    <row r="21">
      <c r="A21" s="10" t="inlineStr">
        <is>
          <t>未実施</t>
        </is>
      </c>
      <c r="B21" s="10">
        <f>COUNTIF(観点表!$N$5:$N$73,"未実施")</f>
        <v/>
      </c>
    </row>
    <row r="22">
      <c r="A22" s="10" t="inlineStr">
        <is>
          <t>OK</t>
        </is>
      </c>
      <c r="B22" s="10">
        <f>COUNTIF(観点表!$N$5:$N$73,"OK")</f>
        <v/>
      </c>
    </row>
    <row r="23">
      <c r="A23" s="10" t="inlineStr">
        <is>
          <t>NG</t>
        </is>
      </c>
      <c r="B23" s="10">
        <f>COUNTIF(観点表!$N$5:$N$73,"NG")</f>
        <v/>
      </c>
    </row>
    <row r="24">
      <c r="A24" s="10" t="inlineStr">
        <is>
          <t>保留</t>
        </is>
      </c>
      <c r="B24" s="10">
        <f>COUNTIF(観点表!$N$5:$N$73,"保留")</f>
        <v/>
      </c>
    </row>
    <row r="25">
      <c r="A25" s="10" t="inlineStr">
        <is>
          <t>対象外</t>
        </is>
      </c>
      <c r="B25" s="10">
        <f>COUNTIF(観点表!$N$5:$N$73,"対象外")</f>
        <v/>
      </c>
    </row>
    <row r="26">
      <c r="A26" s="10" t="inlineStr">
        <is>
          <t>消化率（未実施以外 / 総数）</t>
        </is>
      </c>
      <c r="B26" s="11">
        <f>IF(B5=0,0,(B5-B21)/B5)</f>
        <v/>
      </c>
    </row>
    <row r="27">
      <c r="A27" s="10" t="inlineStr">
        <is>
          <t>合格率（OK / (総数-対象外)）</t>
        </is>
      </c>
      <c r="B27" s="11">
        <f>IF(B5-B25=0,0,B22/(B5-B25))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TC-NOUS61_DEV-41</t>
        </is>
      </c>
      <c r="B5" s="13" t="inlineStr">
        <is>
          <t>稼働中でないエージェントは AgentNotActiveError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TC-NOUS61_DEV-42</t>
        </is>
      </c>
      <c r="B6" s="13" t="inlineStr">
        <is>
          <t>記憶を固定の順に並べ、空のものは除く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TC-NOUS61_DEV-43</t>
        </is>
      </c>
      <c r="B7" s="13" t="inlineStr">
        <is>
          <t>直近 2 回の成功した行動を新しい順に読み、none と失敗は除く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TC-NOUS61_DEV-44</t>
        </is>
      </c>
      <c r="B8" s="13" t="inlineStr">
        <is>
          <t>参照する投稿は自分の投稿・非表示・別の世界を含まず、古い順に P1 から番号を付ける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TC-NOUS61_DEV-45</t>
        </is>
      </c>
      <c r="B9" s="13" t="inlineStr">
        <is>
          <t>自分への未返信の返信（3）→ フォロー中の投稿（5）→ 新しい投稿（残り）の優先で選ぶ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TC-NOUS61_DEV-46</t>
        </is>
      </c>
      <c r="B10" s="13" t="inlineStr">
        <is>
          <t>max_ref_posts を超えて選ばず、重複もしない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TC-NOUS61_DEV-47</t>
        </is>
      </c>
      <c r="B11" s="13" t="inlineStr">
        <is>
          <t>いいねできる投稿は、参照する投稿のうちまだいいねしていないもの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TC-NOUS61_DEV-48</t>
        </is>
      </c>
      <c r="B12" s="13" t="inlineStr">
        <is>
          <t>フォローできる住人は、同じ世界の稼働中で、自分以外の、フォローしていない住人（登録順に 8 体まで）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TC-NOUS61_DEV-49</t>
        </is>
      </c>
      <c r="B13" s="13" t="inlineStr">
        <is>
          <t>フォロー中の住人は、継続中のフォローの相手だけ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TC-UT_CTX-001</t>
        </is>
      </c>
      <c r="B14" s="13" t="inlineStr">
        <is>
          <t>別の世界のエージェントとして読むと AgentNotActiveError（world_id の条件）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TC-UT_CTX-002</t>
        </is>
      </c>
      <c r="B15" s="13" t="inlineStr">
        <is>
          <t>直近の行動は、同じ世界の生成イベントだけを読む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TC-UT_CTX-003</t>
        </is>
      </c>
      <c r="B16" s="13" t="inlineStr">
        <is>
          <t>自分の投稿への返信は、古くても世界全体の新しい投稿より先に選び、他人の投稿への返信は優先しない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TC-UT_CTX-004</t>
        </is>
      </c>
      <c r="B17" s="13" t="inlineStr">
        <is>
          <t>非表示の返信は、自分の投稿への返信でも選ばない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TC-UT_CTX-005</t>
        </is>
      </c>
      <c r="B18" s="13" t="inlineStr">
        <is>
          <t>フォロー中の住人の投稿は、古くても世界全体の新しい投稿より先に選び、解除したフォローは優先しない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TC-UT_CTX-006</t>
        </is>
      </c>
      <c r="B19" s="13" t="inlineStr">
        <is>
          <t>max_ref_posts が 1（下限）のとき、自分への返信が 3 件あっても新しい 1 件だけを P1 にする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TC-UT_CTX-007</t>
        </is>
      </c>
      <c r="B20" s="13" t="inlineStr">
        <is>
          <t>世界内時間が同じ投稿は、投稿 ID の順に並べる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TC-UT_CTX-008</t>
        </is>
      </c>
      <c r="B21" s="13" t="inlineStr">
        <is>
          <t>投稿も住人も記憶もなければ、参照する投稿・いいねできる投稿・相手の一覧・記憶は空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TC-UT_CTX-009</t>
        </is>
      </c>
      <c r="B22" s="13" t="inlineStr">
        <is>
          <t>停止中の住人の公開中の投稿は参照する投稿に入り、停止中の住人へのフォローはフォロー中に残る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TC-UT_CTX-010</t>
        </is>
      </c>
      <c r="B23" s="13" t="inlineStr">
        <is>
          <t>自分が返信済みの、自分の投稿への返信は、優先 1 には入らないが世界全体の新しい投稿として選べる</t>
        </is>
      </c>
      <c r="C23" s="13" t="inlineStr">
        <is>
          <t>未作成</t>
        </is>
      </c>
      <c r="D23" s="13" t="inlineStr"/>
      <c r="E23" s="13" t="inlineStr"/>
      <c r="F23" s="13" t="inlineStr"/>
    </row>
  </sheetData>
  <autoFilter ref="A4:F2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入力に使う文脈の読み込み（generation/contextLoader.ts）</t>
        </is>
      </c>
    </row>
    <row r="4">
      <c r="A4" s="14" t="inlineStr">
        <is>
          <t>対象ファイル</t>
        </is>
      </c>
      <c r="B4" s="15" t="inlineStr">
        <is>
          <t>apps/server/src/generation/contextLoader.ts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apps/server/src/generation/contextLoader.test.ts（実装時、NOUS-61）, apps/server/src/generation/contextLoader.ut.test.ts（単体テストで追加）</t>
        </is>
      </c>
    </row>
    <row r="7">
      <c r="A7" s="14" t="inlineStr">
        <is>
          <t>外部依存</t>
        </is>
      </c>
      <c r="B7" s="15" t="inlineStr">
        <is>
          <t>SQLite（drizzle。テストは createTestDb の一時 DB をテストごとに作り直す）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!row（稼働中のエージェントが無い）</t>
        </is>
      </c>
      <c r="C11" s="17" t="inlineStr">
        <is>
          <t>contextLoader.ts:87</t>
        </is>
      </c>
    </row>
    <row r="12">
      <c r="A12" s="17" t="inlineStr">
        <is>
          <t>B2</t>
        </is>
      </c>
      <c r="B12" s="17" t="inlineStr">
        <is>
          <t>content &amp;&amp; content.trim().length &gt; 0（空でない記憶だけ）</t>
        </is>
      </c>
      <c r="C12" s="17" t="inlineStr">
        <is>
          <t>contextLoader.ts:101</t>
        </is>
      </c>
    </row>
    <row r="13">
      <c r="A13" s="17" t="inlineStr">
        <is>
          <t>B3</t>
        </is>
      </c>
      <c r="B13" s="17" t="inlineStr">
        <is>
          <t>row.action &amp;&amp; row.action !== "none"</t>
        </is>
      </c>
      <c r="C13" s="17" t="inlineStr">
        <is>
          <t>contextLoader.ts:121</t>
        </is>
      </c>
    </row>
    <row r="14">
      <c r="A14" s="17" t="inlineStr">
        <is>
          <t>B4</t>
        </is>
      </c>
      <c r="B14" s="17" t="inlineStr">
        <is>
          <t>join === "followee" &amp;&amp; me !== undefined（フォローで JOIN する）</t>
        </is>
      </c>
      <c r="C14" s="17" t="inlineStr">
        <is>
          <t>contextLoader.ts:147</t>
        </is>
      </c>
    </row>
    <row r="15">
      <c r="A15" s="17" t="inlineStr">
        <is>
          <t>B5</t>
        </is>
      </c>
      <c r="B15" s="17" t="inlineStr">
        <is>
          <t>exclude.length &gt; 0（選んだ投稿を除く条件を足す）</t>
        </is>
      </c>
      <c r="C15" s="17" t="inlineStr">
        <is>
          <t>contextLoader.ts:162</t>
        </is>
      </c>
    </row>
    <row r="16">
      <c r="A16" s="17" t="inlineStr">
        <is>
          <t>B6</t>
        </is>
      </c>
      <c r="B16" s="17" t="inlineStr">
        <is>
          <t>picked.length &lt; max &amp;&amp; !ids().includes(row.postId)</t>
        </is>
      </c>
      <c r="C16" s="17" t="inlineStr">
        <is>
          <t>contextLoader.ts:212</t>
        </is>
      </c>
    </row>
    <row r="17">
      <c r="A17" s="17" t="inlineStr">
        <is>
          <t>B7</t>
        </is>
      </c>
      <c r="B17" s="17" t="inlineStr">
        <is>
          <t>picked.length &lt; max（フォロー中の投稿を読む）</t>
        </is>
      </c>
      <c r="C17" s="17" t="inlineStr">
        <is>
          <t>contextLoader.ts:216</t>
        </is>
      </c>
    </row>
    <row r="18">
      <c r="A18" s="17" t="inlineStr">
        <is>
          <t>B8</t>
        </is>
      </c>
      <c r="B18" s="17" t="inlineStr">
        <is>
          <t>picked.length &lt; max（世界全体の投稿を読む）</t>
        </is>
      </c>
      <c r="C18" s="17" t="inlineStr">
        <is>
          <t>contextLoader.ts:219</t>
        </is>
      </c>
    </row>
    <row r="19">
      <c r="A19" s="17" t="inlineStr">
        <is>
          <t>B9</t>
        </is>
      </c>
      <c r="B19" s="17" t="inlineStr">
        <is>
          <t>a.worldTimeSec - b.worldTimeSec || …（同じ時刻なら投稿 ID の順）</t>
        </is>
      </c>
      <c r="C19" s="17" t="inlineStr">
        <is>
          <t>contextLoader.ts:222</t>
        </is>
      </c>
    </row>
    <row r="20">
      <c r="A20" s="17" t="inlineStr">
        <is>
          <t>B10</t>
        </is>
      </c>
      <c r="B20" s="17" t="inlineStr">
        <is>
          <t>refs.length === 0（いいねできる投稿を読まない）</t>
        </is>
      </c>
      <c r="C20" s="17" t="inlineStr">
        <is>
          <t>contextLoader.ts:232</t>
        </is>
      </c>
    </row>
    <row r="21">
      <c r="A21" s="17" t="inlineStr">
        <is>
          <t>B11</t>
        </is>
      </c>
      <c r="B21" s="17" t="inlineStr">
        <is>
          <t>r.agentId !== me &amp;&amp; !liked.has(r.postId)</t>
        </is>
      </c>
      <c r="C21" s="17" t="inlineStr">
        <is>
          <t>contextLoader.ts:249</t>
        </is>
      </c>
    </row>
    <row r="23">
      <c r="A23" s="14" t="inlineStr">
        <is>
          <t>確認事項・潜在バグ</t>
        </is>
      </c>
    </row>
    <row r="24" ht="30" customHeight="1">
      <c r="A24" s="18" t="inlineStr">
        <is>
          <t>・確認事項 1：停止中の住人の公開中の投稿は参照する投稿に入り、停止中の住人へのフォローは「フォロー中の住人」に残る（TC-UT_CTX-009）。設計書 3章のクエリどおりだが、停止中の住人に返信・フォロー解除を選べてよいかは決まっていない。</t>
        </is>
      </c>
    </row>
    <row r="25" ht="30" customHeight="1">
      <c r="A25" s="18" t="inlineStr">
        <is>
          <t>・分岐 B3 の偽：loadRecentActions の where で status = 'succeeded' かつ action &lt;&gt; 'none'（NULL も除かれる）に絞っているため、B3 が偽になる行は返らない。防御のための分岐で、テストでは通らない。</t>
        </is>
      </c>
    </row>
    <row r="26" ht="30" customHeight="1">
      <c r="A26" s="18" t="inlineStr">
        <is>
          <t>・分岐 B6 の偽：各クエリに件数の上限（残りの件数）と、選んだ投稿を除く条件（exclude）を渡しているため、add の中で上限に達する・重複する行は返らない。防御のための分岐で、テストでは通らない。</t>
        </is>
      </c>
    </row>
    <row r="27" ht="30" customHeight="1">
      <c r="A27" s="18" t="inlineStr">
        <is>
          <t>・分岐 B11：参照する投稿は自分の投稿を含まないため、r.agentId === me の側はテストでは通らない（いいね済みの側は TC-NOUS61_DEV-47 で通る）。</t>
        </is>
      </c>
    </row>
  </sheetData>
  <mergeCells count="4">
    <mergeCell ref="A25:C25"/>
    <mergeCell ref="A27:C27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2026-10-23T07:14:27Z</dcterms:created>
  <dcterms:modified xsi:type="dcterms:W3CDTF">2026-10-23T07:14:27Z</dcterms:modified>
</cp:coreProperties>
</file>