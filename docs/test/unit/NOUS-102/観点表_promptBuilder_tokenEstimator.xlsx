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'観点表'!$A$4:$Q$57</definedName>
    <definedName name="_xlnm.Print_Titles" localSheetId="0">'観点表'!$4:$4</definedName>
    <definedName name="_xlnm._FilterDatabase" localSheetId="2" hidden="1">'テストデータ'!$A$4:$F$57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入力の組み立てとトークン数の見積もり（generation/promptBuilder.ts・tokenEstimator.ts）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TC-NOUS61_DEV-31</t>
        </is>
      </c>
      <c r="C5" s="5" t="inlineStr">
        <is>
          <t>estimateTokens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全メッセージの文字数に 0.6 を掛けて切り上げる</t>
        </is>
      </c>
      <c r="G5" s="5" t="inlineStr">
        <is>
          <t>前提：なし
入力：10 字＋5 字、比 0.5 と 0.6</t>
        </is>
      </c>
      <c r="H5" s="5" t="inlineStr">
        <is>
          <t>どちらも 9</t>
        </is>
      </c>
      <c r="I5" s="5" t="inlineStr">
        <is>
          <t>B18-F</t>
        </is>
      </c>
      <c r="J5" s="5" t="inlineStr">
        <is>
          <t>なし</t>
        </is>
      </c>
      <c r="K5" s="5" t="inlineStr"/>
      <c r="L5" s="5" t="inlineStr"/>
      <c r="M5" s="5" t="inlineStr">
        <is>
          <t>TC-NOUS61_DEV-31 全メッセージの文字数に 0.6 を掛けて切り上げる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既存テスト：実装時のテスト（NOUS-61）</t>
        </is>
      </c>
    </row>
    <row r="6">
      <c r="A6" s="4" t="n">
        <v>2</v>
      </c>
      <c r="B6" s="4" t="inlineStr">
        <is>
          <t>TC-NOUS61_DEV-32</t>
        </is>
      </c>
      <c r="C6" s="5" t="inlineStr">
        <is>
          <t>estimateTokens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実測の比が 0.6 を超えればその比を使う</t>
        </is>
      </c>
      <c r="G6" s="5" t="inlineStr">
        <is>
          <t>前提：なし
入力：100 字、比 0.75</t>
        </is>
      </c>
      <c r="H6" s="5" t="inlineStr">
        <is>
          <t>75</t>
        </is>
      </c>
      <c r="I6" s="5" t="inlineStr">
        <is>
          <t>B18-T</t>
        </is>
      </c>
      <c r="J6" s="5" t="inlineStr">
        <is>
          <t>なし</t>
        </is>
      </c>
      <c r="K6" s="5" t="inlineStr"/>
      <c r="L6" s="5" t="inlineStr"/>
      <c r="M6" s="5" t="inlineStr">
        <is>
          <t>TC-NOUS61_DEV-32 実測の比が 0.6 を超えればその比を使う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既存テスト：実装時のテスト（NOUS-61）</t>
        </is>
      </c>
    </row>
    <row r="7">
      <c r="A7" s="4" t="n">
        <v>3</v>
      </c>
      <c r="B7" s="4" t="inlineStr">
        <is>
          <t>TC-NOUS61_DEV-33</t>
        </is>
      </c>
      <c r="C7" s="5" t="inlineStr">
        <is>
          <t>countChars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文字数はコードポイントで数える（サロゲートペアは 1 字）</t>
        </is>
      </c>
      <c r="G7" s="5" t="inlineStr">
        <is>
          <t>前提：なし
入力："𠮷野家"</t>
        </is>
      </c>
      <c r="H7" s="5" t="inlineStr">
        <is>
          <t>3</t>
        </is>
      </c>
      <c r="I7" s="5" t="inlineStr"/>
      <c r="J7" s="5" t="inlineStr">
        <is>
          <t>なし</t>
        </is>
      </c>
      <c r="K7" s="5" t="inlineStr"/>
      <c r="L7" s="5" t="inlineStr"/>
      <c r="M7" s="5" t="inlineStr">
        <is>
          <t>TC-NOUS61_DEV-33 文字数はコードポイントで数える（サロゲートペアは 1 字）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既存テスト：実装時のテスト（NOUS-61）</t>
        </is>
      </c>
    </row>
    <row r="8">
      <c r="A8" s="4" t="n">
        <v>4</v>
      </c>
      <c r="B8" s="4" t="inlineStr">
        <is>
          <t>TC-NOUS61_DEV-34</t>
        </is>
      </c>
      <c r="C8" s="5" t="inlineStr">
        <is>
          <t>loadTokenRatio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成功した LLM の生成が 20 件未満なら 0.6</t>
        </is>
      </c>
      <c r="G8" s="5" t="inlineStr">
        <is>
          <t>前提：成功した LLM の生成 19 件
入力：DB</t>
        </is>
      </c>
      <c r="H8" s="5" t="inlineStr">
        <is>
          <t>0.6</t>
        </is>
      </c>
      <c r="I8" s="5" t="inlineStr">
        <is>
          <t>B19-T, B20-T</t>
        </is>
      </c>
      <c r="J8" s="5" t="inlineStr">
        <is>
          <t>一時 DB（createTestDb）</t>
        </is>
      </c>
      <c r="K8" s="5" t="inlineStr"/>
      <c r="L8" s="5" t="inlineStr"/>
      <c r="M8" s="5" t="inlineStr">
        <is>
          <t>TC-NOUS61_DEV-34 成功した LLM の生成が 20 件未満なら 0.6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既存テスト：実装時のテスト（NOUS-61）</t>
        </is>
      </c>
    </row>
    <row r="9">
      <c r="A9" s="4" t="n">
        <v>5</v>
      </c>
      <c r="B9" s="4" t="inlineStr">
        <is>
          <t>TC-NOUS61_DEV-35</t>
        </is>
      </c>
      <c r="C9" s="5" t="inlineStr">
        <is>
          <t>loadTokenRatio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20 件以上なら prompt_tokens ÷ 文字数の平均</t>
        </is>
      </c>
      <c r="G9" s="5" t="inlineStr">
        <is>
          <t>前提：70 トークン / 100 字 を 20 件
入力：DB</t>
        </is>
      </c>
      <c r="H9" s="5" t="inlineStr">
        <is>
          <t>0.7</t>
        </is>
      </c>
      <c r="I9" s="5" t="inlineStr">
        <is>
          <t>B19-T, B20-F</t>
        </is>
      </c>
      <c r="J9" s="5" t="inlineStr">
        <is>
          <t>一時 DB（createTestDb）</t>
        </is>
      </c>
      <c r="K9" s="5" t="inlineStr"/>
      <c r="L9" s="5" t="inlineStr"/>
      <c r="M9" s="5" t="inlineStr">
        <is>
          <t>TC-NOUS61_DEV-35 20 件以上なら prompt_tokens ÷ 文字数の平均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既存テスト：実装時のテスト（NOUS-61）</t>
        </is>
      </c>
    </row>
    <row r="10">
      <c r="A10" s="4" t="n">
        <v>6</v>
      </c>
      <c r="B10" s="4" t="inlineStr">
        <is>
          <t>TC-NOUS61_DEV-36</t>
        </is>
      </c>
      <c r="C10" s="5" t="inlineStr">
        <is>
          <t>loadTokenRatio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直近 50 件だけを使い、参加の判定（gate）の行は数えない</t>
        </is>
      </c>
      <c r="G10" s="5" t="inlineStr">
        <is>
          <t>前提：古い 0.5 を 30 件、新しい 0.8 を 50 件、gate を 5 件
入力：DB</t>
        </is>
      </c>
      <c r="H10" s="5" t="inlineStr">
        <is>
          <t>0.8</t>
        </is>
      </c>
      <c r="I10" s="5" t="inlineStr">
        <is>
          <t>B19-T, B20-F</t>
        </is>
      </c>
      <c r="J10" s="5" t="inlineStr">
        <is>
          <t>一時 DB（createTestDb）</t>
        </is>
      </c>
      <c r="K10" s="5" t="inlineStr"/>
      <c r="L10" s="5" t="inlineStr"/>
      <c r="M10" s="5" t="inlineStr">
        <is>
          <t>TC-NOUS61_DEV-36 直近 50 件だけを使い、参加の判定（gate）の行は数えない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既存テスト：実装時のテスト（NOUS-61）</t>
        </is>
      </c>
    </row>
    <row r="11">
      <c r="A11" s="4" t="n">
        <v>7</v>
      </c>
      <c r="B11" s="4" t="inlineStr">
        <is>
          <t>TC-NOUS61_DEV-51</t>
        </is>
      </c>
      <c r="C11" s="5" t="inlineStr">
        <is>
          <t>buildPrompt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system 1 件・user 1 件で、人格・記憶・候補・規則・タイムラインを入れる</t>
        </is>
      </c>
      <c r="G11" s="5" t="inlineStr">
        <is>
          <t>前提：リポジトリの prompts/v1
入力：候補 post・reply、参照する投稿 3 件</t>
        </is>
      </c>
      <c r="H11" s="5" t="inlineStr">
        <is>
          <t>system に人格・記憶・候補・規則、user に &lt;timeline&gt; と依頼。refs は 3 件</t>
        </is>
      </c>
      <c r="I11" s="5" t="inlineStr">
        <is>
          <t>B1-F, B4-F, B5-F, B7-T, B8-T, B9-F, B12-T, B13-F, B14-T</t>
        </is>
      </c>
      <c r="J11" s="5" t="inlineStr">
        <is>
          <t>なし</t>
        </is>
      </c>
      <c r="K11" s="5" t="inlineStr"/>
      <c r="L11" s="5" t="inlineStr"/>
      <c r="M11" s="5" t="inlineStr">
        <is>
          <t>TC-NOUS61_DEV-51 system 1 件・user 1 件で、人格・記憶・候補・規則・タイムラインを入れる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既存テスト：実装時のテスト（NOUS-61）</t>
        </is>
      </c>
    </row>
    <row r="12">
      <c r="A12" s="4" t="n">
        <v>8</v>
      </c>
      <c r="B12" s="4" t="inlineStr">
        <is>
          <t>TC-NOUS61_DEV-52</t>
        </is>
      </c>
      <c r="C12" s="5" t="inlineStr">
        <is>
          <t>formatTimelineLine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返信には返信先のハンドルを付ける</t>
        </is>
      </c>
      <c r="G12" s="5" t="inlineStr">
        <is>
          <t>前提：リポジトリの prompts/v1
入力：replyToHandle=zen</t>
        </is>
      </c>
      <c r="H12" s="5" t="inlineStr">
        <is>
          <t>（@zen への返信）を付ける</t>
        </is>
      </c>
      <c r="I12" s="5" t="inlineStr">
        <is>
          <t>B5-T</t>
        </is>
      </c>
      <c r="J12" s="5" t="inlineStr">
        <is>
          <t>なし</t>
        </is>
      </c>
      <c r="K12" s="5" t="inlineStr"/>
      <c r="L12" s="5" t="inlineStr"/>
      <c r="M12" s="5" t="inlineStr">
        <is>
          <t>TC-NOUS61_DEV-52 返信には返信先のハンドルを付ける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既存テスト：実装時のテスト（NOUS-61）</t>
        </is>
      </c>
    </row>
    <row r="13">
      <c r="A13" s="4" t="n">
        <v>9</v>
      </c>
      <c r="B13" s="4" t="inlineStr">
        <is>
          <t>TC-NOUS61_DEV-53</t>
        </is>
      </c>
      <c r="C13" s="5" t="inlineStr">
        <is>
          <t>buildPrompt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相手の一覧は候補に follow・unfollow があるときだけ入れる</t>
        </is>
      </c>
      <c r="G13" s="5" t="inlineStr">
        <is>
          <t>前提：リポジトリの prompts/v1
入力：候補 post・like / follow・post / unfollow・post</t>
        </is>
      </c>
      <c r="H13" s="5" t="inlineStr">
        <is>
          <t>follow・unfollow のときだけその一覧</t>
        </is>
      </c>
      <c r="I13" s="5" t="inlineStr">
        <is>
          <t>B10-T, B10-F, B11-T, B11-F, B12-T, B12-F</t>
        </is>
      </c>
      <c r="J13" s="5" t="inlineStr">
        <is>
          <t>なし</t>
        </is>
      </c>
      <c r="K13" s="5" t="inlineStr"/>
      <c r="L13" s="5" t="inlineStr"/>
      <c r="M13" s="5" t="inlineStr">
        <is>
          <t>TC-NOUS61_DEV-53 相手の一覧は候補に follow・unfollow があるときだけ入れる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既存テスト：実装時のテスト（NOUS-61）</t>
        </is>
      </c>
    </row>
    <row r="14">
      <c r="A14" s="4" t="n">
        <v>10</v>
      </c>
      <c r="B14" s="4" t="inlineStr">
        <is>
          <t>TC-NOUS61_DEV-54</t>
        </is>
      </c>
      <c r="C14" s="5" t="inlineStr">
        <is>
          <t>sanitizeTimelineText</t>
        </is>
      </c>
      <c r="D14" s="4" t="inlineStr">
        <is>
          <t>異常系</t>
        </is>
      </c>
      <c r="E14" s="4" t="inlineStr">
        <is>
          <t>開発者テスト</t>
        </is>
      </c>
      <c r="F14" s="5" t="inlineStr">
        <is>
          <t>本文の &lt;/timeline&gt; を全角にし、改行を空白にする（区切りの外に出さない）</t>
        </is>
      </c>
      <c r="G14" s="5" t="inlineStr">
        <is>
          <t>前提：リポジトリの prompts/v1
入力：&lt;/timeline&gt;・&lt;/TIMELINE&gt;・LF・CRLF を含む本文、指示の混入</t>
        </is>
      </c>
      <c r="H14" s="5" t="inlineStr">
        <is>
          <t>＜/timeline＞と空白に置き換え、閉じタグは 1 つだけ</t>
        </is>
      </c>
      <c r="I14" s="5" t="inlineStr"/>
      <c r="J14" s="5" t="inlineStr">
        <is>
          <t>なし</t>
        </is>
      </c>
      <c r="K14" s="5" t="inlineStr"/>
      <c r="L14" s="5" t="inlineStr"/>
      <c r="M14" s="5" t="inlineStr">
        <is>
          <t>TC-NOUS61_DEV-54 本文の &lt;/timeline&gt; を全角にし、改行を空白にする（区切りの外に出さない）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既存テスト：実装時のテスト（NOUS-61）</t>
        </is>
      </c>
    </row>
    <row r="15">
      <c r="A15" s="4" t="n">
        <v>11</v>
      </c>
      <c r="B15" s="4" t="inlineStr">
        <is>
          <t>TC-NOUS61_DEV-55</t>
        </is>
      </c>
      <c r="C15" s="5" t="inlineStr">
        <is>
          <t>renderTemplate</t>
        </is>
      </c>
      <c r="D15" s="4" t="inlineStr">
        <is>
          <t>異常系</t>
        </is>
      </c>
      <c r="E15" s="4" t="inlineStr">
        <is>
          <t>開発者テスト</t>
        </is>
      </c>
      <c r="F15" s="5" t="inlineStr">
        <is>
          <t>値の中の {{…}} は展開しない</t>
        </is>
      </c>
      <c r="G15" s="5" t="inlineStr">
        <is>
          <t>前提：リポジトリの prompts/v1
入力：personality に {{memory}}</t>
        </is>
      </c>
      <c r="H15" s="5" t="inlineStr">
        <is>
          <t>そのまま残る</t>
        </is>
      </c>
      <c r="I15" s="5" t="inlineStr">
        <is>
          <t>B4-F</t>
        </is>
      </c>
      <c r="J15" s="5" t="inlineStr">
        <is>
          <t>なし</t>
        </is>
      </c>
      <c r="K15" s="5" t="inlineStr"/>
      <c r="L15" s="5" t="inlineStr"/>
      <c r="M15" s="5" t="inlineStr">
        <is>
          <t>TC-NOUS61_DEV-55 値の中の {{…}} は展開しない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既存テスト：実装時のテスト（NOUS-61）</t>
        </is>
      </c>
    </row>
    <row r="16">
      <c r="A16" s="4" t="n">
        <v>12</v>
      </c>
      <c r="B16" s="4" t="inlineStr">
        <is>
          <t>TC-NOUS61_DEV-56</t>
        </is>
      </c>
      <c r="C16" s="5" t="inlineStr">
        <is>
          <t>renderTemplate</t>
        </is>
      </c>
      <c r="D16" s="4" t="inlineStr">
        <is>
          <t>異常系</t>
        </is>
      </c>
      <c r="E16" s="4" t="inlineStr">
        <is>
          <t>開発者テスト</t>
        </is>
      </c>
      <c r="F16" s="5" t="inlineStr">
        <is>
          <t>テンプレートに値の無い項目があれば ConfigError</t>
        </is>
      </c>
      <c r="G16" s="5" t="inlineStr">
        <is>
          <t>前提：なし
入力："{{unknown}}"</t>
        </is>
      </c>
      <c r="H16" s="5" t="inlineStr">
        <is>
          <t>ConfigError</t>
        </is>
      </c>
      <c r="I16" s="5" t="inlineStr">
        <is>
          <t>B4-T</t>
        </is>
      </c>
      <c r="J16" s="5" t="inlineStr">
        <is>
          <t>なし</t>
        </is>
      </c>
      <c r="K16" s="5" t="inlineStr"/>
      <c r="L16" s="5" t="inlineStr"/>
      <c r="M16" s="5" t="inlineStr">
        <is>
          <t>TC-NOUS61_DEV-56 テンプレートに値の無い項目があれば ConfigError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既存テスト：実装時のテスト（NOUS-61）</t>
        </is>
      </c>
    </row>
    <row r="17">
      <c r="A17" s="4" t="n">
        <v>13</v>
      </c>
      <c r="B17" s="4" t="inlineStr">
        <is>
          <t>TC-NOUS61_DEV-57</t>
        </is>
      </c>
      <c r="C17" s="5" t="inlineStr">
        <is>
          <t>buildPrompt</t>
        </is>
      </c>
      <c r="D17" s="4" t="inlineStr">
        <is>
          <t>正常系</t>
        </is>
      </c>
      <c r="E17" s="4" t="inlineStr">
        <is>
          <t>開発者テスト</t>
        </is>
      </c>
      <c r="F17" s="5" t="inlineStr">
        <is>
          <t>見積もりが上限を超える間、参照する投稿を古い順に外し、P1 から番号を付け直す</t>
        </is>
      </c>
      <c r="G17" s="5" t="inlineStr">
        <is>
          <t>前提：リポジトリの prompts/v1
入力：長い本文の投稿 12 件、上限を全量の見積もり − 50</t>
        </is>
      </c>
      <c r="H17" s="5" t="inlineStr">
        <is>
          <t>上限以下、新しいほうが残る、P1 から振り直し</t>
        </is>
      </c>
      <c r="I17" s="5" t="inlineStr">
        <is>
          <t>B14-T, B14-F, B15-T</t>
        </is>
      </c>
      <c r="J17" s="5" t="inlineStr">
        <is>
          <t>なし</t>
        </is>
      </c>
      <c r="K17" s="5" t="inlineStr"/>
      <c r="L17" s="5" t="inlineStr"/>
      <c r="M17" s="5" t="inlineStr">
        <is>
          <t>TC-NOUS61_DEV-57 見積もりが上限を超える間、参照する投稿を古い順に外し、P1 から番号を付け直す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既存テスト：実装時のテスト（NOUS-61）</t>
        </is>
      </c>
    </row>
    <row r="18">
      <c r="A18" s="4" t="n">
        <v>14</v>
      </c>
      <c r="B18" s="4" t="inlineStr">
        <is>
          <t>TC-NOUS61_DEV-58</t>
        </is>
      </c>
      <c r="C18" s="5" t="inlineStr">
        <is>
          <t>buildPrompt</t>
        </is>
      </c>
      <c r="D18" s="4" t="inlineStr">
        <is>
          <t>正常系</t>
        </is>
      </c>
      <c r="E18" s="4" t="inlineStr">
        <is>
          <t>開発者テスト</t>
        </is>
      </c>
      <c r="F18" s="5" t="inlineStr">
        <is>
          <t>投稿をすべて外しても超えれば conversation_summary を後ろから切り詰める</t>
        </is>
      </c>
      <c r="G18" s="5" t="inlineStr">
        <is>
          <t>前提：リポジトリの prompts/v1
入力：会話の要約 300 字、投稿 1 件、上限を要約なしの見積もり＋60</t>
        </is>
      </c>
      <c r="H18" s="5" t="inlineStr">
        <is>
          <t>refs は空、要約は先頭が残り 300 字未満、上限以下</t>
        </is>
      </c>
      <c r="I18" s="5" t="inlineStr">
        <is>
          <t>B15-T, B15-F, B16-T, B17-T</t>
        </is>
      </c>
      <c r="J18" s="5" t="inlineStr">
        <is>
          <t>なし</t>
        </is>
      </c>
      <c r="K18" s="5" t="inlineStr"/>
      <c r="L18" s="5" t="inlineStr"/>
      <c r="M18" s="5" t="inlineStr">
        <is>
          <t>TC-NOUS61_DEV-58 投稿をすべて外しても超えれば conversation_summary を後ろから切り詰める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既存テスト：実装時のテスト（NOUS-61）</t>
        </is>
      </c>
    </row>
    <row r="19">
      <c r="A19" s="4" t="n">
        <v>15</v>
      </c>
      <c r="B19" s="4" t="inlineStr">
        <is>
          <t>TC-NOUS61_DEV-59</t>
        </is>
      </c>
      <c r="C19" s="5" t="inlineStr">
        <is>
          <t>buildPrompt</t>
        </is>
      </c>
      <c r="D19" s="4" t="inlineStr">
        <is>
          <t>異常系</t>
        </is>
      </c>
      <c r="E19" s="4" t="inlineStr">
        <is>
          <t>開発者テスト</t>
        </is>
      </c>
      <c r="F19" s="5" t="inlineStr">
        <is>
          <t>記憶を切っても超えれば PromptTooLargeError</t>
        </is>
      </c>
      <c r="G19" s="5" t="inlineStr">
        <is>
          <t>前提：リポジトリの prompts/v1
入力：上限 100</t>
        </is>
      </c>
      <c r="H19" s="5" t="inlineStr">
        <is>
          <t>PromptTooLargeError</t>
        </is>
      </c>
      <c r="I19" s="5" t="inlineStr">
        <is>
          <t>B15-F, B16-T, B16-F, B17-F</t>
        </is>
      </c>
      <c r="J19" s="5" t="inlineStr">
        <is>
          <t>なし</t>
        </is>
      </c>
      <c r="K19" s="5" t="inlineStr"/>
      <c r="L19" s="5" t="inlineStr"/>
      <c r="M19" s="5" t="inlineStr">
        <is>
          <t>TC-NOUS61_DEV-59 記憶を切っても超えれば PromptTooLargeError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既存テスト：実装時のテスト（NOUS-61）</t>
        </is>
      </c>
    </row>
    <row r="20">
      <c r="A20" s="4" t="n">
        <v>16</v>
      </c>
      <c r="B20" s="4" t="inlineStr">
        <is>
          <t>TC-NOUS61_DEV-60</t>
        </is>
      </c>
      <c r="C20" s="5" t="inlineStr">
        <is>
          <t>buildPrompt</t>
        </is>
      </c>
      <c r="D20" s="4" t="inlineStr">
        <is>
          <t>正常系</t>
        </is>
      </c>
      <c r="E20" s="4" t="inlineStr">
        <is>
          <t>開発者テスト</t>
        </is>
      </c>
      <c r="F20" s="5" t="inlineStr">
        <is>
          <t>実測の比が大きければ、同じ上限でも外す投稿が増える</t>
        </is>
      </c>
      <c r="G20" s="5" t="inlineStr">
        <is>
          <t>前提：リポジトリの prompts/v1
入力：比 0.6 と 0.9、上限 1000</t>
        </is>
      </c>
      <c r="H20" s="5" t="inlineStr">
        <is>
          <t>0.9 のほうが refs が少ない</t>
        </is>
      </c>
      <c r="I20" s="5" t="inlineStr">
        <is>
          <t>B14-F, B15-T, B18-T, B18-F</t>
        </is>
      </c>
      <c r="J20" s="5" t="inlineStr">
        <is>
          <t>なし</t>
        </is>
      </c>
      <c r="K20" s="5" t="inlineStr"/>
      <c r="L20" s="5" t="inlineStr"/>
      <c r="M20" s="5" t="inlineStr">
        <is>
          <t>TC-NOUS61_DEV-60 実測の比が大きければ、同じ上限でも外す投稿が増える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既存テスト：実装時のテスト（NOUS-61）</t>
        </is>
      </c>
    </row>
    <row r="21">
      <c r="A21" s="4" t="n">
        <v>17</v>
      </c>
      <c r="B21" s="4" t="inlineStr">
        <is>
          <t>TC-NOUS61_DEV-61</t>
        </is>
      </c>
      <c r="C21" s="5" t="inlineStr">
        <is>
          <t>fitMemories</t>
        </is>
      </c>
      <c r="D21" s="4" t="inlineStr">
        <is>
          <t>正常系</t>
        </is>
      </c>
      <c r="E21" s="4" t="inlineStr">
        <is>
          <t>開発者テスト</t>
        </is>
      </c>
      <c r="F21" s="5" t="inlineStr">
        <is>
          <t>記憶は固定の順で、合計 max_memory_chars まで（後ろから切る）</t>
        </is>
      </c>
      <c r="G21" s="5" t="inlineStr">
        <is>
          <t>前提：なし
入力：100 字 × 3、上限 250 / 上限 0</t>
        </is>
      </c>
      <c r="H21" s="5" t="inlineStr">
        <is>
          <t>100・100・50 / []</t>
        </is>
      </c>
      <c r="I21" s="5" t="inlineStr">
        <is>
          <t>B6-T, B7-T, B7-F, B8-T</t>
        </is>
      </c>
      <c r="J21" s="5" t="inlineStr">
        <is>
          <t>なし</t>
        </is>
      </c>
      <c r="K21" s="5" t="inlineStr"/>
      <c r="L21" s="5" t="inlineStr"/>
      <c r="M21" s="5" t="inlineStr">
        <is>
          <t>TC-NOUS61_DEV-61 記憶は固定の順で、合計 max_memory_chars まで（後ろから切る）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既存テスト：実装時のテスト（NOUS-61）</t>
        </is>
      </c>
    </row>
    <row r="22">
      <c r="A22" s="4" t="n">
        <v>18</v>
      </c>
      <c r="B22" s="4" t="inlineStr">
        <is>
          <t>TC-NOUS61_DEV-62</t>
        </is>
      </c>
      <c r="C22" s="5" t="inlineStr">
        <is>
          <t>buildPrompt</t>
        </is>
      </c>
      <c r="D22" s="4" t="inlineStr">
        <is>
          <t>正常系</t>
        </is>
      </c>
      <c r="E22" s="4" t="inlineStr">
        <is>
          <t>開発者テスト</t>
        </is>
      </c>
      <c r="F22" s="5" t="inlineStr">
        <is>
          <t>記憶もタイムラインも無いときの文言</t>
        </is>
      </c>
      <c r="G22" s="5" t="inlineStr">
        <is>
          <t>前提：リポジトリの prompts/v1
入力：記憶なし、投稿なし</t>
        </is>
      </c>
      <c r="H22" s="5" t="inlineStr">
        <is>
          <t>「- まだない」「（まだ投稿はありません）」</t>
        </is>
      </c>
      <c r="I22" s="5" t="inlineStr">
        <is>
          <t>B9-T, B13-T</t>
        </is>
      </c>
      <c r="J22" s="5" t="inlineStr">
        <is>
          <t>なし</t>
        </is>
      </c>
      <c r="K22" s="5" t="inlineStr"/>
      <c r="L22" s="5" t="inlineStr"/>
      <c r="M22" s="5" t="inlineStr">
        <is>
          <t>TC-NOUS61_DEV-62 記憶もタイムラインも無いときの文言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既存テスト：実装時のテスト（NOUS-61）</t>
        </is>
      </c>
    </row>
    <row r="23">
      <c r="A23" s="4" t="n">
        <v>19</v>
      </c>
      <c r="B23" s="4" t="inlineStr">
        <is>
          <t>TC-NOUS61_DEV-63</t>
        </is>
      </c>
      <c r="C23" s="5" t="inlineStr">
        <is>
          <t>loadTemplates</t>
        </is>
      </c>
      <c r="D23" s="4" t="inlineStr">
        <is>
          <t>異常系</t>
        </is>
      </c>
      <c r="E23" s="4" t="inlineStr">
        <is>
          <t>開発者テスト</t>
        </is>
      </c>
      <c r="F23" s="5" t="inlineStr">
        <is>
          <t>版の名前がフォルダの外を指せば ConfigError、テンプレートが無ければ ConfigError</t>
        </is>
      </c>
      <c r="G23" s="5" t="inlineStr">
        <is>
          <t>前提：なし
入力："../etc"、"v1/../../x"、"v999"</t>
        </is>
      </c>
      <c r="H23" s="5" t="inlineStr">
        <is>
          <t>ConfigError</t>
        </is>
      </c>
      <c r="I23" s="5" t="inlineStr">
        <is>
          <t>B1-T, B1-F, B3-T</t>
        </is>
      </c>
      <c r="J23" s="5" t="inlineStr">
        <is>
          <t>なし</t>
        </is>
      </c>
      <c r="K23" s="5" t="inlineStr"/>
      <c r="L23" s="5" t="inlineStr"/>
      <c r="M23" s="5" t="inlineStr">
        <is>
          <t>TC-NOUS61_DEV-63 版の名前がフォルダの外を指せば ConfigError、テンプレートが無ければ ConfigError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既存テスト：実装時のテスト（NOUS-61）</t>
        </is>
      </c>
    </row>
    <row r="24">
      <c r="A24" s="4" t="n">
        <v>20</v>
      </c>
      <c r="B24" s="4" t="inlineStr">
        <is>
          <t>TC-NOUS61_DEV-64</t>
        </is>
      </c>
      <c r="C24" s="5" t="inlineStr">
        <is>
          <t>buildPrompt</t>
        </is>
      </c>
      <c r="D24" s="4" t="inlineStr">
        <is>
          <t>正常系</t>
        </is>
      </c>
      <c r="E24" s="4" t="inlineStr">
        <is>
          <t>開発者テスト</t>
        </is>
      </c>
      <c r="F24" s="5" t="inlineStr">
        <is>
          <t>promptsDir の版のテンプレートを使う</t>
        </is>
      </c>
      <c r="G24" s="5" t="inlineStr">
        <is>
          <t>前提：一時ディレクトリに版 vt のテンプレート
入力：prompt_version=vt、promptsDir</t>
        </is>
      </c>
      <c r="H24" s="5" t="inlineStr">
        <is>
          <t>"S minato post"、"U [P1] 住人1 @user_1: 投稿 1"</t>
        </is>
      </c>
      <c r="I24" s="5" t="inlineStr">
        <is>
          <t>B1-F, B2-F, B3-F, B12-T</t>
        </is>
      </c>
      <c r="J24" s="5" t="inlineStr">
        <is>
          <t>なし</t>
        </is>
      </c>
      <c r="K24" s="5" t="inlineStr"/>
      <c r="L24" s="5" t="inlineStr"/>
      <c r="M24" s="5" t="inlineStr">
        <is>
          <t>TC-NOUS61_DEV-64 promptsDir の版のテンプレートを使う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既存テスト：実装時のテスト（NOUS-61）</t>
        </is>
      </c>
    </row>
    <row r="25">
      <c r="A25" s="4" t="n">
        <v>21</v>
      </c>
      <c r="B25" s="4" t="inlineStr">
        <is>
          <t>TC-NOUS61_DEV-65</t>
        </is>
      </c>
      <c r="C25" s="5" t="inlineStr">
        <is>
          <t>promptText</t>
        </is>
      </c>
      <c r="D25" s="4" t="inlineStr">
        <is>
          <t>正常系</t>
        </is>
      </c>
      <c r="E25" s="4" t="inlineStr">
        <is>
          <t>開発者テスト</t>
        </is>
      </c>
      <c r="F25" s="5" t="inlineStr">
        <is>
          <t>promptText は system と user を空行でつなぐ</t>
        </is>
      </c>
      <c r="G25" s="5" t="inlineStr">
        <is>
          <t>前提：なし
入力：system "s"、user "u"</t>
        </is>
      </c>
      <c r="H25" s="5" t="inlineStr">
        <is>
          <t>"s\n\nu"</t>
        </is>
      </c>
      <c r="I25" s="5" t="inlineStr"/>
      <c r="J25" s="5" t="inlineStr">
        <is>
          <t>なし</t>
        </is>
      </c>
      <c r="K25" s="5" t="inlineStr"/>
      <c r="L25" s="5" t="inlineStr"/>
      <c r="M25" s="5" t="inlineStr">
        <is>
          <t>TC-NOUS61_DEV-65 promptText は system と user を空行でつなぐ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既存テスト：実装時のテスト（NOUS-61）</t>
        </is>
      </c>
    </row>
    <row r="26">
      <c r="A26" s="4" t="n">
        <v>22</v>
      </c>
      <c r="B26" s="4" t="inlineStr">
        <is>
          <t>TC-UT_PRM-001</t>
        </is>
      </c>
      <c r="C26" s="5" t="inlineStr">
        <is>
          <t>estimateTokens</t>
        </is>
      </c>
      <c r="D26" s="4" t="inlineStr">
        <is>
          <t>正常系</t>
        </is>
      </c>
      <c r="E26" s="4" t="inlineStr">
        <is>
          <t>境界値</t>
        </is>
      </c>
      <c r="F26" s="5" t="inlineStr">
        <is>
          <t>メッセージが無い・本文が空なら 0</t>
        </is>
      </c>
      <c r="G26" s="5" t="inlineStr">
        <is>
          <t>前提：なし
入力：[]、本文が空の 1 件（比 0.9）</t>
        </is>
      </c>
      <c r="H26" s="5" t="inlineStr">
        <is>
          <t>0</t>
        </is>
      </c>
      <c r="I26" s="5" t="inlineStr">
        <is>
          <t>B18-F, B18-T</t>
        </is>
      </c>
      <c r="J26" s="5" t="inlineStr">
        <is>
          <t>なし</t>
        </is>
      </c>
      <c r="K26" s="5" t="inlineStr"/>
      <c r="L26" s="5" t="inlineStr"/>
      <c r="M26" s="5" t="inlineStr">
        <is>
          <t>TC-UT_PRM-001 メッセージが無い・本文が空なら 0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</t>
        </is>
      </c>
    </row>
    <row r="27">
      <c r="A27" s="4" t="n">
        <v>23</v>
      </c>
      <c r="B27" s="4" t="inlineStr">
        <is>
          <t>TC-UT_PRM-002</t>
        </is>
      </c>
      <c r="C27" s="5" t="inlineStr">
        <is>
          <t>estimateTokens</t>
        </is>
      </c>
      <c r="D27" s="4" t="inlineStr">
        <is>
          <t>正常系</t>
        </is>
      </c>
      <c r="E27" s="4" t="inlineStr">
        <is>
          <t>境界値</t>
        </is>
      </c>
      <c r="F27" s="5" t="inlineStr">
        <is>
          <t>実測の比が 0.6 未満でも 0.6 を下限にする（比 0）</t>
        </is>
      </c>
      <c r="G27" s="5" t="inlineStr">
        <is>
          <t>前提：なし
入力：10 字、比 0</t>
        </is>
      </c>
      <c r="H27" s="5" t="inlineStr">
        <is>
          <t>6</t>
        </is>
      </c>
      <c r="I27" s="5" t="inlineStr">
        <is>
          <t>B18-F</t>
        </is>
      </c>
      <c r="J27" s="5" t="inlineStr">
        <is>
          <t>なし</t>
        </is>
      </c>
      <c r="K27" s="5" t="inlineStr"/>
      <c r="L27" s="5" t="inlineStr"/>
      <c r="M27" s="5" t="inlineStr">
        <is>
          <t>TC-UT_PRM-002 実測の比が 0.6 未満でも 0.6 を下限にする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TC-NOUS61_DEV-31（比 0.5 だけ）</t>
        </is>
      </c>
    </row>
    <row r="28">
      <c r="A28" s="4" t="n">
        <v>24</v>
      </c>
      <c r="B28" s="4" t="inlineStr">
        <is>
          <t>TC-UT_PRM-003</t>
        </is>
      </c>
      <c r="C28" s="5" t="inlineStr">
        <is>
          <t>estimateTokens</t>
        </is>
      </c>
      <c r="D28" s="4" t="inlineStr">
        <is>
          <t>正常系</t>
        </is>
      </c>
      <c r="E28" s="4" t="inlineStr">
        <is>
          <t>境界値</t>
        </is>
      </c>
      <c r="F28" s="5" t="inlineStr">
        <is>
          <t>端数は切り上げる（1 字 × 0.6 = 1）</t>
        </is>
      </c>
      <c r="G28" s="5" t="inlineStr">
        <is>
          <t>前提：なし
入力：1 字、比 0.6</t>
        </is>
      </c>
      <c r="H28" s="5" t="inlineStr">
        <is>
          <t>1</t>
        </is>
      </c>
      <c r="I28" s="5" t="inlineStr">
        <is>
          <t>B18-F</t>
        </is>
      </c>
      <c r="J28" s="5" t="inlineStr">
        <is>
          <t>なし</t>
        </is>
      </c>
      <c r="K28" s="5" t="inlineStr"/>
      <c r="L28" s="5" t="inlineStr"/>
      <c r="M28" s="5" t="inlineStr">
        <is>
          <t>TC-UT_PRM-003 端数は切り上げる（1 字 × 0.6 = 1）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TC-NOUS61_DEV-31</t>
        </is>
      </c>
    </row>
    <row r="29">
      <c r="A29" s="4" t="n">
        <v>25</v>
      </c>
      <c r="B29" s="4" t="inlineStr">
        <is>
          <t>TC-UT_PRM-004</t>
        </is>
      </c>
      <c r="C29" s="5" t="inlineStr">
        <is>
          <t>countChars</t>
        </is>
      </c>
      <c r="D29" s="4" t="inlineStr">
        <is>
          <t>正常系</t>
        </is>
      </c>
      <c r="E29" s="4" t="inlineStr">
        <is>
          <t>境界値</t>
        </is>
      </c>
      <c r="F29" s="5" t="inlineStr">
        <is>
          <t>空の文字列の文字数は 0</t>
        </is>
      </c>
      <c r="G29" s="5" t="inlineStr">
        <is>
          <t>前提：なし
入力：""</t>
        </is>
      </c>
      <c r="H29" s="5" t="inlineStr">
        <is>
          <t>0</t>
        </is>
      </c>
      <c r="I29" s="5" t="inlineStr"/>
      <c r="J29" s="5" t="inlineStr">
        <is>
          <t>なし</t>
        </is>
      </c>
      <c r="K29" s="5" t="inlineStr"/>
      <c r="L29" s="5" t="inlineStr"/>
      <c r="M29" s="5" t="inlineStr">
        <is>
          <t>TC-UT_PRM-004 空の文字列の文字数は 0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</t>
        </is>
      </c>
    </row>
    <row r="30">
      <c r="A30" s="4" t="n">
        <v>26</v>
      </c>
      <c r="B30" s="4" t="inlineStr">
        <is>
          <t>TC-UT_PRM-005</t>
        </is>
      </c>
      <c r="C30" s="5" t="inlineStr">
        <is>
          <t>loadTokenRatio</t>
        </is>
      </c>
      <c r="D30" s="4" t="inlineStr">
        <is>
          <t>正常系</t>
        </is>
      </c>
      <c r="E30" s="4" t="inlineStr">
        <is>
          <t>境界値</t>
        </is>
      </c>
      <c r="F30" s="5" t="inlineStr">
        <is>
          <t>ちょうど 20 件なら実測の比を使う（20 件未満の境界）</t>
        </is>
      </c>
      <c r="G30" s="5" t="inlineStr">
        <is>
          <t>前提：90 トークン / 100 字 を 20 件
入力：DB</t>
        </is>
      </c>
      <c r="H30" s="5" t="inlineStr">
        <is>
          <t>0.9</t>
        </is>
      </c>
      <c r="I30" s="5" t="inlineStr">
        <is>
          <t>B19-T, B20-F</t>
        </is>
      </c>
      <c r="J30" s="5" t="inlineStr">
        <is>
          <t>一時 DB（createTestDb）</t>
        </is>
      </c>
      <c r="K30" s="5" t="inlineStr"/>
      <c r="L30" s="5" t="inlineStr"/>
      <c r="M30" s="5" t="inlineStr">
        <is>
          <t>TC-UT_PRM-005 ちょうど 20 件なら実測の比を使う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既存テスト：一部 TC-NOUS61_DEV-34・35（19 件と 20 件の値の違いを比で見ていない）</t>
        </is>
      </c>
    </row>
    <row r="31">
      <c r="A31" s="4" t="n">
        <v>27</v>
      </c>
      <c r="B31" s="4" t="inlineStr">
        <is>
          <t>TC-UT_PRM-006</t>
        </is>
      </c>
      <c r="C31" s="5" t="inlineStr">
        <is>
          <t>loadTokenRatio</t>
        </is>
      </c>
      <c r="D31" s="4" t="inlineStr">
        <is>
          <t>正常系</t>
        </is>
      </c>
      <c r="E31" s="4" t="inlineStr">
        <is>
          <t>境界値</t>
        </is>
      </c>
      <c r="F31" s="5" t="inlineStr">
        <is>
          <t>生成イベントが 1 件も無ければ 0.6</t>
        </is>
      </c>
      <c r="G31" s="5" t="inlineStr">
        <is>
          <t>前提：生成イベントなし
入力：DB</t>
        </is>
      </c>
      <c r="H31" s="5" t="inlineStr">
        <is>
          <t>0.6</t>
        </is>
      </c>
      <c r="I31" s="5" t="inlineStr">
        <is>
          <t>B20-T</t>
        </is>
      </c>
      <c r="J31" s="5" t="inlineStr">
        <is>
          <t>一時 DB（createTestDb）</t>
        </is>
      </c>
      <c r="K31" s="5" t="inlineStr"/>
      <c r="L31" s="5" t="inlineStr"/>
      <c r="M31" s="5" t="inlineStr">
        <is>
          <t>TC-UT_PRM-006 生成イベントが 1 件も無ければ 0.6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</t>
        </is>
      </c>
    </row>
    <row r="32">
      <c r="A32" s="4" t="n">
        <v>28</v>
      </c>
      <c r="B32" s="4" t="inlineStr">
        <is>
          <t>TC-UT_PRM-007</t>
        </is>
      </c>
      <c r="C32" s="5" t="inlineStr">
        <is>
          <t>loadTokenRatio</t>
        </is>
      </c>
      <c r="D32" s="4" t="inlineStr">
        <is>
          <t>異常系</t>
        </is>
      </c>
      <c r="E32" s="4" t="inlineStr">
        <is>
          <t>分岐網羅</t>
        </is>
      </c>
      <c r="F32" s="5" t="inlineStr">
        <is>
          <t>prompt_tokens が 0 の行は平均にも件数にも入れない</t>
        </is>
      </c>
      <c r="G32" s="5" t="inlineStr">
        <is>
          <t>前提：70/100 を 20 件、そのあと 0/100 を 5 件
入力：DB</t>
        </is>
      </c>
      <c r="H32" s="5" t="inlineStr">
        <is>
          <t>0.7</t>
        </is>
      </c>
      <c r="I32" s="5" t="inlineStr">
        <is>
          <t>B19-T, B19-F, B20-F</t>
        </is>
      </c>
      <c r="J32" s="5" t="inlineStr">
        <is>
          <t>一時 DB（createTestDb）</t>
        </is>
      </c>
      <c r="K32" s="5" t="inlineStr"/>
      <c r="L32" s="5" t="inlineStr"/>
      <c r="M32" s="5" t="inlineStr">
        <is>
          <t>TC-UT_PRM-007 prompt_tokens が 0 の行は平均にも件数にも入れない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TC-NOUS61_DEV-36（0 の行は gate の行だけ）</t>
        </is>
      </c>
    </row>
    <row r="33">
      <c r="A33" s="4" t="n">
        <v>29</v>
      </c>
      <c r="B33" s="4" t="inlineStr">
        <is>
          <t>TC-UT_PRM-008</t>
        </is>
      </c>
      <c r="C33" s="5" t="inlineStr">
        <is>
          <t>loadTokenRatio</t>
        </is>
      </c>
      <c r="D33" s="4" t="inlineStr">
        <is>
          <t>異常系</t>
        </is>
      </c>
      <c r="E33" s="4" t="inlineStr">
        <is>
          <t>同値分割</t>
        </is>
      </c>
      <c r="F33" s="5" t="inlineStr">
        <is>
          <t>失敗した生成と、prompt_text の無い行・空の行は数えない</t>
        </is>
      </c>
      <c r="G33" s="5" t="inlineStr">
        <is>
          <t>前提：70/100 を 19 件、失敗 1 件、prompt_text が NULL 1 件・空 1 件
入力：DB</t>
        </is>
      </c>
      <c r="H33" s="5" t="inlineStr">
        <is>
          <t>0.6（使える行が 19 件）</t>
        </is>
      </c>
      <c r="I33" s="5" t="inlineStr">
        <is>
          <t>B19-T, B19-F, B20-T</t>
        </is>
      </c>
      <c r="J33" s="5" t="inlineStr">
        <is>
          <t>一時 DB（createTestDb）</t>
        </is>
      </c>
      <c r="K33" s="5" t="inlineStr"/>
      <c r="L33" s="5" t="inlineStr"/>
      <c r="M33" s="5" t="inlineStr">
        <is>
          <t>TC-UT_PRM-008 失敗した生成と、prompt_text の無い行・空の行は数えない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</t>
        </is>
      </c>
    </row>
    <row r="34">
      <c r="A34" s="4" t="n">
        <v>30</v>
      </c>
      <c r="B34" s="4" t="inlineStr">
        <is>
          <t>TC-UT_PRM-009</t>
        </is>
      </c>
      <c r="C34" s="5" t="inlineStr">
        <is>
          <t>loadTokenRatio</t>
        </is>
      </c>
      <c r="D34" s="4" t="inlineStr">
        <is>
          <t>異常系</t>
        </is>
      </c>
      <c r="E34" s="4" t="inlineStr">
        <is>
          <t>境界値</t>
        </is>
      </c>
      <c r="F34" s="5" t="inlineStr">
        <is>
          <t>直近 50 件の中で使える行が 20 件未満なら、それより古い行があっても 0.6</t>
        </is>
      </c>
      <c r="G34" s="5" t="inlineStr">
        <is>
          <t>前提：古い 70/100 を 30 件、80/100 を 19 件、新しい 0/100 を 31 件
入力：DB</t>
        </is>
      </c>
      <c r="H34" s="5" t="inlineStr">
        <is>
          <t>0.6</t>
        </is>
      </c>
      <c r="I34" s="5" t="inlineStr">
        <is>
          <t>B19-T, B19-F, B20-T</t>
        </is>
      </c>
      <c r="J34" s="5" t="inlineStr">
        <is>
          <t>一時 DB（createTestDb）</t>
        </is>
      </c>
      <c r="K34" s="5" t="inlineStr"/>
      <c r="L34" s="5" t="inlineStr"/>
      <c r="M34" s="5" t="inlineStr">
        <is>
          <t>TC-UT_PRM-009 直近 50 件の中で使える行が 20 件未満なら、それより古い行があっても 0.6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
設計書 4章の「直近 50 件の平均」どおり。50 件を取ってから使えない行を除くため、使える行は 50 件より少なくなる</t>
        </is>
      </c>
    </row>
    <row r="35">
      <c r="A35" s="4" t="n">
        <v>31</v>
      </c>
      <c r="B35" s="4" t="inlineStr">
        <is>
          <t>TC-UT_PRM-010</t>
        </is>
      </c>
      <c r="C35" s="5" t="inlineStr">
        <is>
          <t>sanitizeTimelineText</t>
        </is>
      </c>
      <c r="D35" s="4" t="inlineStr">
        <is>
          <t>異常系</t>
        </is>
      </c>
      <c r="E35" s="4" t="inlineStr">
        <is>
          <t>同値分割</t>
        </is>
      </c>
      <c r="F35" s="5" t="inlineStr">
        <is>
          <t>改行が CR だけでも空白にする</t>
        </is>
      </c>
      <c r="G35" s="5" t="inlineStr">
        <is>
          <t>前提：なし
入力："a\rb"</t>
        </is>
      </c>
      <c r="H35" s="5" t="inlineStr">
        <is>
          <t>"a b"</t>
        </is>
      </c>
      <c r="I35" s="5" t="inlineStr"/>
      <c r="J35" s="5" t="inlineStr">
        <is>
          <t>なし</t>
        </is>
      </c>
      <c r="K35" s="5" t="inlineStr"/>
      <c r="L35" s="5" t="inlineStr"/>
      <c r="M35" s="5" t="inlineStr">
        <is>
          <t>TC-UT_PRM-010 改行が CR だけでも空白にする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TC-NOUS61_DEV-54（LF と CRLF だけ）</t>
        </is>
      </c>
    </row>
    <row r="36">
      <c r="A36" s="4" t="n">
        <v>32</v>
      </c>
      <c r="B36" s="4" t="inlineStr">
        <is>
          <t>TC-UT_PRM-011</t>
        </is>
      </c>
      <c r="C36" s="5" t="inlineStr">
        <is>
          <t>sanitizeTimelineText</t>
        </is>
      </c>
      <c r="D36" s="4" t="inlineStr">
        <is>
          <t>異常系</t>
        </is>
      </c>
      <c r="E36" s="4" t="inlineStr">
        <is>
          <t>同値分割</t>
        </is>
      </c>
      <c r="F36" s="5" t="inlineStr">
        <is>
          <t>置き換えるのは &lt;/timeline&gt; だけで、開きタグと空白の入った閉じタグはそのまま</t>
        </is>
      </c>
      <c r="G36" s="5" t="inlineStr">
        <is>
          <t>前提：なし
入力："&lt;timeline&gt;x"、"&lt;/timeline &gt;x&lt;/ timeline&gt;"</t>
        </is>
      </c>
      <c r="H36" s="5" t="inlineStr">
        <is>
          <t>入力のまま</t>
        </is>
      </c>
      <c r="I36" s="5" t="inlineStr"/>
      <c r="J36" s="5" t="inlineStr">
        <is>
          <t>なし</t>
        </is>
      </c>
      <c r="K36" s="5" t="inlineStr"/>
      <c r="L36" s="5" t="inlineStr"/>
      <c r="M36" s="5" t="inlineStr">
        <is>
          <t>TC-UT_PRM-011 置き換えるのは &lt;/timeline&gt; だけで、開きタグと空白の入った閉じタグはそのまま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
設計書 11章は &lt;/timeline&gt; の置き換えだけを定める（設計どおり）。issues の確認事項 2</t>
        </is>
      </c>
    </row>
    <row r="37">
      <c r="A37" s="4" t="n">
        <v>33</v>
      </c>
      <c r="B37" s="4" t="inlineStr">
        <is>
          <t>TC-UT_PRM-012</t>
        </is>
      </c>
      <c r="C37" s="5" t="inlineStr">
        <is>
          <t>buildPrompt</t>
        </is>
      </c>
      <c r="D37" s="4" t="inlineStr">
        <is>
          <t>異常系</t>
        </is>
      </c>
      <c r="E37" s="4" t="inlineStr">
        <is>
          <t>同値分割</t>
        </is>
      </c>
      <c r="F37" s="5" t="inlineStr">
        <is>
          <t>表示名の &lt;/timeline&gt; と改行も、タイムラインと相手の一覧で整える</t>
        </is>
      </c>
      <c r="G37" s="5" t="inlineStr">
        <is>
          <t>前提：リポジトリの prompts/v1
入力：表示名に &lt;/timeline&gt; と改行を含む投稿とフォローできる住人</t>
        </is>
      </c>
      <c r="H37" s="5" t="inlineStr">
        <is>
          <t>閉じタグは 1 つだけ。表示名は＜/timeline＞と空白に置き換わる</t>
        </is>
      </c>
      <c r="I37" s="5" t="inlineStr">
        <is>
          <t>B10-T, B12-F</t>
        </is>
      </c>
      <c r="J37" s="5" t="inlineStr">
        <is>
          <t>なし</t>
        </is>
      </c>
      <c r="K37" s="5" t="inlineStr"/>
      <c r="L37" s="5" t="inlineStr"/>
      <c r="M37" s="5" t="inlineStr">
        <is>
          <t>TC-UT_PRM-012 表示名の &lt;/timeline&gt; と改行も、タイムラインと相手の一覧で整える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既存テスト：一部 TC-NOUS61_DEV-54（本文だけ）</t>
        </is>
      </c>
    </row>
    <row r="38">
      <c r="A38" s="4" t="n">
        <v>34</v>
      </c>
      <c r="B38" s="4" t="inlineStr">
        <is>
          <t>TC-UT_PRM-013</t>
        </is>
      </c>
      <c r="C38" s="5" t="inlineStr">
        <is>
          <t>renderTemplate</t>
        </is>
      </c>
      <c r="D38" s="4" t="inlineStr">
        <is>
          <t>異常系</t>
        </is>
      </c>
      <c r="E38" s="4" t="inlineStr">
        <is>
          <t>同値分割</t>
        </is>
      </c>
      <c r="F38" s="5" t="inlineStr">
        <is>
          <t>値の中の $&amp; や $1 は、そのままの文字として入れる（置換の特殊なパターンにしない）</t>
        </is>
      </c>
      <c r="G38" s="5" t="inlineStr">
        <is>
          <t>前提：なし
入力："[{{a}}]"、a="$&amp;-$1-$$"</t>
        </is>
      </c>
      <c r="H38" s="5" t="inlineStr">
        <is>
          <t>"[$&amp;-$1-$$]"</t>
        </is>
      </c>
      <c r="I38" s="5" t="inlineStr">
        <is>
          <t>B4-F</t>
        </is>
      </c>
      <c r="J38" s="5" t="inlineStr">
        <is>
          <t>なし</t>
        </is>
      </c>
      <c r="K38" s="5" t="inlineStr"/>
      <c r="L38" s="5" t="inlineStr"/>
      <c r="M38" s="5" t="inlineStr">
        <is>
          <t>TC-UT_PRM-013 値の中の $&amp; や $1 は、そのままの文字として入れる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</t>
        </is>
      </c>
    </row>
    <row r="39">
      <c r="A39" s="4" t="n">
        <v>35</v>
      </c>
      <c r="B39" s="4" t="inlineStr">
        <is>
          <t>TC-UT_PRM-014</t>
        </is>
      </c>
      <c r="C39" s="5" t="inlineStr">
        <is>
          <t>renderTemplate</t>
        </is>
      </c>
      <c r="D39" s="4" t="inlineStr">
        <is>
          <t>正常系</t>
        </is>
      </c>
      <c r="E39" s="4" t="inlineStr">
        <is>
          <t>同値分割</t>
        </is>
      </c>
      <c r="F39" s="5" t="inlineStr">
        <is>
          <t>英小文字と _ 以外を含む {{…}} は項目として扱わず、そのまま残す</t>
        </is>
      </c>
      <c r="G39" s="5" t="inlineStr">
        <is>
          <t>前提：なし
入力："{{Name}} {{a1}} {{a}}"、a="x"</t>
        </is>
      </c>
      <c r="H39" s="5" t="inlineStr">
        <is>
          <t>"{{Name}} {{a1}} x"</t>
        </is>
      </c>
      <c r="I39" s="5" t="inlineStr">
        <is>
          <t>B4-F</t>
        </is>
      </c>
      <c r="J39" s="5" t="inlineStr">
        <is>
          <t>なし</t>
        </is>
      </c>
      <c r="K39" s="5" t="inlineStr"/>
      <c r="L39" s="5" t="inlineStr"/>
      <c r="M39" s="5" t="inlineStr">
        <is>
          <t>TC-UT_PRM-014 英小文字と _ 以外を含む {{…}} は項目として扱わず、そのまま残す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
設計書に記載なし。実装の値</t>
        </is>
      </c>
    </row>
    <row r="40">
      <c r="A40" s="4" t="n">
        <v>36</v>
      </c>
      <c r="B40" s="4" t="inlineStr">
        <is>
          <t>TC-UT_PRM-015</t>
        </is>
      </c>
      <c r="C40" s="5" t="inlineStr">
        <is>
          <t>loadTemplates</t>
        </is>
      </c>
      <c r="D40" s="4" t="inlineStr">
        <is>
          <t>異常系</t>
        </is>
      </c>
      <c r="E40" s="4" t="inlineStr">
        <is>
          <t>境界値</t>
        </is>
      </c>
      <c r="F40" s="5" t="inlineStr">
        <is>
          <t>版の名前が規則に合わなければ、フォルダがあっても ConfigError</t>
        </is>
      </c>
      <c r="G40" s="5" t="inlineStr">
        <is>
          <t>前提：一時ディレクトリに同じ名前のフォルダ
入力：""、".hidden"、21 字、"v1/x"（it.each）</t>
        </is>
      </c>
      <c r="H40" s="5" t="inlineStr">
        <is>
          <t>ConfigError、文言に「版の名前が不正」</t>
        </is>
      </c>
      <c r="I40" s="5" t="inlineStr">
        <is>
          <t>B1-T</t>
        </is>
      </c>
      <c r="J40" s="5" t="inlineStr">
        <is>
          <t>なし</t>
        </is>
      </c>
      <c r="K40" s="5" t="inlineStr"/>
      <c r="L40" s="5" t="inlineStr"/>
      <c r="M40" s="5" t="inlineStr">
        <is>
          <t>TC-UT_PRM-015 版の名前が規則に合わなければ、フォルダがあっても ConfigError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既存テスト：一部 TC-NOUS61_DEV-63（.. を含むものだけ）</t>
        </is>
      </c>
    </row>
    <row r="41">
      <c r="A41" s="4" t="n">
        <v>37</v>
      </c>
      <c r="B41" s="4" t="inlineStr">
        <is>
          <t>TC-UT_PRM-016</t>
        </is>
      </c>
      <c r="C41" s="5" t="inlineStr">
        <is>
          <t>loadTemplates</t>
        </is>
      </c>
      <c r="D41" s="4" t="inlineStr">
        <is>
          <t>正常系</t>
        </is>
      </c>
      <c r="E41" s="4" t="inlineStr">
        <is>
          <t>境界値</t>
        </is>
      </c>
      <c r="F41" s="5" t="inlineStr">
        <is>
          <t>版の名前は 20 字まで、. を途中に含めてよい</t>
        </is>
      </c>
      <c r="G41" s="5" t="inlineStr">
        <is>
          <t>前提：一時ディレクトリに 20 字の版と v1.1 の版
入力：20 字の名前、"v1.1"</t>
        </is>
      </c>
      <c r="H41" s="5" t="inlineStr">
        <is>
          <t>それぞれの system.md の内容</t>
        </is>
      </c>
      <c r="I41" s="5" t="inlineStr">
        <is>
          <t>B1-F, B2-F, B3-F</t>
        </is>
      </c>
      <c r="J41" s="5" t="inlineStr">
        <is>
          <t>なし</t>
        </is>
      </c>
      <c r="K41" s="5" t="inlineStr"/>
      <c r="L41" s="5" t="inlineStr"/>
      <c r="M41" s="5" t="inlineStr">
        <is>
          <t>TC-UT_PRM-016 版の名前は 20 字まで、. を途中に含めてよい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既存テスト：なし
上限 20 字は設計書に記載なし。実装の値</t>
        </is>
      </c>
    </row>
    <row r="42">
      <c r="A42" s="4" t="n">
        <v>38</v>
      </c>
      <c r="B42" s="4" t="inlineStr">
        <is>
          <t>TC-UT_PRM-017</t>
        </is>
      </c>
      <c r="C42" s="5" t="inlineStr">
        <is>
          <t>loadTemplates</t>
        </is>
      </c>
      <c r="D42" s="4" t="inlineStr">
        <is>
          <t>正常系</t>
        </is>
      </c>
      <c r="E42" s="4" t="inlineStr">
        <is>
          <t>状態遷移</t>
        </is>
      </c>
      <c r="F42" s="5" t="inlineStr">
        <is>
          <t>テンプレートは版ごとに1回だけ読み、後でファイルを変えても同じ内容を使う</t>
        </is>
      </c>
      <c r="G42" s="5" t="inlineStr">
        <is>
          <t>前提：一時ディレクトリに版 vc
入力：読んだあとに system.md を書き換えて、もう一度読む</t>
        </is>
      </c>
      <c r="H42" s="5" t="inlineStr">
        <is>
          <t>2 回とも最初の内容</t>
        </is>
      </c>
      <c r="I42" s="5" t="inlineStr">
        <is>
          <t>B2-F, B2-T</t>
        </is>
      </c>
      <c r="J42" s="5" t="inlineStr">
        <is>
          <t>なし</t>
        </is>
      </c>
      <c r="K42" s="5" t="inlineStr"/>
      <c r="L42" s="5" t="inlineStr"/>
      <c r="M42" s="5" t="inlineStr">
        <is>
          <t>TC-UT_PRM-017 テンプレートは版ごとに1回だけ読み、後でファイルを変えても同じ内容を使う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既存テスト：なし
設計書 10章は版の切り替えを P205 で行う。同じ版の中身を変えたときは再起動が要る（実装の値）</t>
        </is>
      </c>
    </row>
    <row r="43">
      <c r="A43" s="4" t="n">
        <v>39</v>
      </c>
      <c r="B43" s="4" t="inlineStr">
        <is>
          <t>TC-UT_PRM-018</t>
        </is>
      </c>
      <c r="C43" s="5" t="inlineStr">
        <is>
          <t>loadTemplates</t>
        </is>
      </c>
      <c r="D43" s="4" t="inlineStr">
        <is>
          <t>異常系</t>
        </is>
      </c>
      <c r="E43" s="4" t="inlineStr">
        <is>
          <t>エラー処理</t>
        </is>
      </c>
      <c r="F43" s="5" t="inlineStr">
        <is>
          <t>user.md だけが無いときも ConfigError</t>
        </is>
      </c>
      <c r="G43" s="5" t="inlineStr">
        <is>
          <t>前提：一時ディレクトリに system.md だけ
入力：版 vs</t>
        </is>
      </c>
      <c r="H43" s="5" t="inlineStr">
        <is>
          <t>ConfigError</t>
        </is>
      </c>
      <c r="I43" s="5" t="inlineStr">
        <is>
          <t>B1-F, B2-F, B3-T</t>
        </is>
      </c>
      <c r="J43" s="5" t="inlineStr">
        <is>
          <t>なし</t>
        </is>
      </c>
      <c r="K43" s="5" t="inlineStr"/>
      <c r="L43" s="5" t="inlineStr"/>
      <c r="M43" s="5" t="inlineStr">
        <is>
          <t>TC-UT_PRM-018 user.md だけが無いときも ConfigError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既存テスト：一部 TC-NOUS61_DEV-63（フォルダごと無いときだけ）</t>
        </is>
      </c>
    </row>
    <row r="44">
      <c r="A44" s="4" t="n">
        <v>40</v>
      </c>
      <c r="B44" s="4" t="inlineStr">
        <is>
          <t>TC-UT_PRM-019</t>
        </is>
      </c>
      <c r="C44" s="5" t="inlineStr">
        <is>
          <t>buildPrompt</t>
        </is>
      </c>
      <c r="D44" s="4" t="inlineStr">
        <is>
          <t>正常系</t>
        </is>
      </c>
      <c r="E44" s="4" t="inlineStr">
        <is>
          <t>境界値</t>
        </is>
      </c>
      <c r="F44" s="5" t="inlineStr">
        <is>
          <t>見積もりが上限ちょうどなら投稿を外さず、上限を 1 下げると最も古い 1 件を外す</t>
        </is>
      </c>
      <c r="G44" s="5" t="inlineStr">
        <is>
          <t>前提：リポジトリの prompts/v1
入力：投稿 5 件、上限 = 全量の見積もり / 見積もり − 1</t>
        </is>
      </c>
      <c r="H44" s="5" t="inlineStr">
        <is>
          <t>5 件 / post-2〜5 の 4 件</t>
        </is>
      </c>
      <c r="I44" s="5" t="inlineStr">
        <is>
          <t>B14-T, B14-F, B15-T</t>
        </is>
      </c>
      <c r="J44" s="5" t="inlineStr">
        <is>
          <t>なし</t>
        </is>
      </c>
      <c r="K44" s="5" t="inlineStr"/>
      <c r="L44" s="5" t="inlineStr"/>
      <c r="M44" s="5" t="inlineStr">
        <is>
          <t>TC-UT_PRM-019 見積もりが上限ちょうどなら投稿を外さず、上限を 1 下げると 1 件外す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既存テスト：一部 TC-NOUS61_DEV-57（ちょうどのときを見ていない）</t>
        </is>
      </c>
    </row>
    <row r="45">
      <c r="A45" s="4" t="n">
        <v>41</v>
      </c>
      <c r="B45" s="4" t="inlineStr">
        <is>
          <t>TC-UT_PRM-020</t>
        </is>
      </c>
      <c r="C45" s="5" t="inlineStr">
        <is>
          <t>buildPrompt</t>
        </is>
      </c>
      <c r="D45" s="4" t="inlineStr">
        <is>
          <t>正常系</t>
        </is>
      </c>
      <c r="E45" s="4" t="inlineStr">
        <is>
          <t>境界値</t>
        </is>
      </c>
      <c r="F45" s="5" t="inlineStr">
        <is>
          <t>実測の比が 0.6 未満なら 0.6 として扱う（外す投稿が同じ）</t>
        </is>
      </c>
      <c r="G45" s="5" t="inlineStr">
        <is>
          <t>前提：リポジトリの prompts/v1
入力：投稿 12 件、上限 1000、比 0.3 と 0.6</t>
        </is>
      </c>
      <c r="H45" s="5" t="inlineStr">
        <is>
          <t>refs が等しい</t>
        </is>
      </c>
      <c r="I45" s="5" t="inlineStr">
        <is>
          <t>B14-F, B15-T, B18-F</t>
        </is>
      </c>
      <c r="J45" s="5" t="inlineStr">
        <is>
          <t>なし</t>
        </is>
      </c>
      <c r="K45" s="5" t="inlineStr"/>
      <c r="L45" s="5" t="inlineStr"/>
      <c r="M45" s="5" t="inlineStr">
        <is>
          <t>TC-UT_PRM-020 実測の比が 0.6 未満なら 0.6 として扱う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既存テスト：一部 TC-NOUS61_DEV-60（0.6 を超える側だけ）</t>
        </is>
      </c>
    </row>
    <row r="46">
      <c r="A46" s="4" t="n">
        <v>42</v>
      </c>
      <c r="B46" s="4" t="inlineStr">
        <is>
          <t>TC-UT_PRM-021</t>
        </is>
      </c>
      <c r="C46" s="5" t="inlineStr">
        <is>
          <t>buildPrompt</t>
        </is>
      </c>
      <c r="D46" s="4" t="inlineStr">
        <is>
          <t>正常系</t>
        </is>
      </c>
      <c r="E46" s="4" t="inlineStr">
        <is>
          <t>同値分割</t>
        </is>
      </c>
      <c r="F46" s="5" t="inlineStr">
        <is>
          <t>会話の要約を切り詰めても、ほかの記憶（関心のプロフィール）は切らない</t>
        </is>
      </c>
      <c r="G46" s="5" t="inlineStr">
        <is>
          <t>前提：リポジトリの prompts/v1
入力：関心 100 字、要約 300 字、投稿なし、上限を要約なしの見積もり＋30</t>
        </is>
      </c>
      <c r="H46" s="5" t="inlineStr">
        <is>
          <t>関心はそのまま、要約は 300 字未満</t>
        </is>
      </c>
      <c r="I46" s="5" t="inlineStr">
        <is>
          <t>B14-F, B15-F, B16-T, B17-T</t>
        </is>
      </c>
      <c r="J46" s="5" t="inlineStr">
        <is>
          <t>なし</t>
        </is>
      </c>
      <c r="K46" s="5" t="inlineStr"/>
      <c r="L46" s="5" t="inlineStr"/>
      <c r="M46" s="5" t="inlineStr">
        <is>
          <t>TC-UT_PRM-021 会話の要約を切り詰めても、ほかの記憶は切らない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既存テスト：一部 TC-NOUS61_DEV-58（ほかの記憶を見ていない）</t>
        </is>
      </c>
    </row>
    <row r="47">
      <c r="A47" s="4" t="n">
        <v>43</v>
      </c>
      <c r="B47" s="4" t="inlineStr">
        <is>
          <t>TC-UT_PRM-022</t>
        </is>
      </c>
      <c r="C47" s="5" t="inlineStr">
        <is>
          <t>buildPrompt</t>
        </is>
      </c>
      <c r="D47" s="4" t="inlineStr">
        <is>
          <t>異常系</t>
        </is>
      </c>
      <c r="E47" s="4" t="inlineStr">
        <is>
          <t>エラー処理</t>
        </is>
      </c>
      <c r="F47" s="5" t="inlineStr">
        <is>
          <t>会話の要約が無ければ、投稿を外しきった時点で PromptTooLargeError（見積もりと上限を持つ）</t>
        </is>
      </c>
      <c r="G47" s="5" t="inlineStr">
        <is>
          <t>前提：リポジトリの prompts/v1
入力：関心だけの記憶、投稿 1 件、上限 = 投稿なしの見積もり − 1</t>
        </is>
      </c>
      <c r="H47" s="5" t="inlineStr">
        <is>
          <t>PromptTooLargeError、estimatedTokens = 投稿なしの見積もり、maxInputTokens = 上限</t>
        </is>
      </c>
      <c r="I47" s="5" t="inlineStr">
        <is>
          <t>B15-T, B15-F, B16-F</t>
        </is>
      </c>
      <c r="J47" s="5" t="inlineStr">
        <is>
          <t>なし</t>
        </is>
      </c>
      <c r="K47" s="5" t="inlineStr"/>
      <c r="L47" s="5" t="inlineStr"/>
      <c r="M47" s="5" t="inlineStr">
        <is>
          <t>TC-UT_PRM-022 会話の要約が無ければ、投稿を外しきった時点で PromptTooLargeError（見積もりと上限を持つ）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既存テスト：一部 TC-NOUS61_DEV-59（例外の型だけ）</t>
        </is>
      </c>
    </row>
    <row r="48">
      <c r="A48" s="4" t="n">
        <v>44</v>
      </c>
      <c r="B48" s="4" t="inlineStr">
        <is>
          <t>TC-UT_PRM-023</t>
        </is>
      </c>
      <c r="C48" s="5" t="inlineStr">
        <is>
          <t>buildPrompt</t>
        </is>
      </c>
      <c r="D48" s="4" t="inlineStr">
        <is>
          <t>正常系</t>
        </is>
      </c>
      <c r="E48" s="4" t="inlineStr">
        <is>
          <t>同値分割</t>
        </is>
      </c>
      <c r="F48" s="5" t="inlineStr">
        <is>
          <t>記憶の改行は空白にし、usedMemories には max_memory_chars で切った内容を残す</t>
        </is>
      </c>
      <c r="G48" s="5" t="inlineStr">
        <is>
          <t>前提：リポジトリの prompts/v1
入力：改行を含む記憶 57 字、max_memory_chars 10</t>
        </is>
      </c>
      <c r="H48" s="5" t="inlineStr">
        <is>
          <t>system は「一行目 二行目xxx」、usedMemories は改行を残した 10 字</t>
        </is>
      </c>
      <c r="I48" s="5" t="inlineStr">
        <is>
          <t>B7-F, B8-T, B9-F</t>
        </is>
      </c>
      <c r="J48" s="5" t="inlineStr">
        <is>
          <t>なし</t>
        </is>
      </c>
      <c r="K48" s="5" t="inlineStr"/>
      <c r="L48" s="5" t="inlineStr"/>
      <c r="M48" s="5" t="inlineStr">
        <is>
          <t>TC-UT_PRM-023 記憶の改行は空白にし、usedMemories には max_memory_chars で切った内容を残す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既存テスト：一部 TC-NOUS61_DEV-61（fitMemories だけで、入力への入り方は見ていない）</t>
        </is>
      </c>
    </row>
    <row r="49">
      <c r="A49" s="4" t="n">
        <v>45</v>
      </c>
      <c r="B49" s="4" t="inlineStr">
        <is>
          <t>TC-UT_PRM-024</t>
        </is>
      </c>
      <c r="C49" s="5" t="inlineStr">
        <is>
          <t>buildPrompt</t>
        </is>
      </c>
      <c r="D49" s="4" t="inlineStr">
        <is>
          <t>正常系</t>
        </is>
      </c>
      <c r="E49" s="4" t="inlineStr">
        <is>
          <t>同値分割</t>
        </is>
      </c>
      <c r="F49" s="5" t="inlineStr">
        <is>
          <t>選び方の目安は候補の順に並べ、最後に none を付ける</t>
        </is>
      </c>
      <c r="G49" s="5" t="inlineStr">
        <is>
          <t>前提：リポジトリの prompts/v1
入力：候補 unfollow・like・post・follow</t>
        </is>
      </c>
      <c r="H49" s="5" t="inlineStr">
        <is>
          <t>目安がその順で、最後に none。「今回選べる行動は unfollow・like・post・follow です」</t>
        </is>
      </c>
      <c r="I49" s="5" t="inlineStr">
        <is>
          <t>B10-T, B11-T, B12-F</t>
        </is>
      </c>
      <c r="J49" s="5" t="inlineStr">
        <is>
          <t>なし</t>
        </is>
      </c>
      <c r="K49" s="5" t="inlineStr"/>
      <c r="L49" s="5" t="inlineStr"/>
      <c r="M49" s="5" t="inlineStr">
        <is>
          <t>TC-UT_PRM-024 選び方の目安は候補の順に並べ、最後に none を付ける</t>
        </is>
      </c>
      <c r="N49" s="6" t="inlineStr">
        <is>
          <t>未実施</t>
        </is>
      </c>
      <c r="O49" s="6" t="inlineStr"/>
      <c r="P49" s="6" t="inlineStr"/>
      <c r="Q49" s="7" t="inlineStr">
        <is>
          <t>既存テスト：一部 TC-NOUS61_DEV-51（2 つの候補の有無だけ）</t>
        </is>
      </c>
    </row>
    <row r="50">
      <c r="A50" s="4" t="n">
        <v>46</v>
      </c>
      <c r="B50" s="4" t="inlineStr">
        <is>
          <t>TC-UT_PRM-025</t>
        </is>
      </c>
      <c r="C50" s="5" t="inlineStr">
        <is>
          <t>buildPrompt</t>
        </is>
      </c>
      <c r="D50" s="4" t="inlineStr">
        <is>
          <t>正常系</t>
        </is>
      </c>
      <c r="E50" s="4" t="inlineStr">
        <is>
          <t>分岐網羅</t>
        </is>
      </c>
      <c r="F50" s="5" t="inlineStr">
        <is>
          <t>候補に follow があっても、フォローできる住人がいなければ一覧を入れない</t>
        </is>
      </c>
      <c r="G50" s="5" t="inlineStr">
        <is>
          <t>前提：リポジトリの prompts/v1
入力：候補 follow・post、フォローできる住人なし</t>
        </is>
      </c>
      <c r="H50" s="5" t="inlineStr">
        <is>
          <t>「フォローできる住人」を含まない</t>
        </is>
      </c>
      <c r="I50" s="5" t="inlineStr">
        <is>
          <t>B10-F, B11-F, B12-T</t>
        </is>
      </c>
      <c r="J50" s="5" t="inlineStr">
        <is>
          <t>なし</t>
        </is>
      </c>
      <c r="K50" s="5" t="inlineStr"/>
      <c r="L50" s="5" t="inlineStr"/>
      <c r="M50" s="5" t="inlineStr">
        <is>
          <t>TC-UT_PRM-025 候補に follow があっても、フォローできる住人がいなければ一覧を入れない</t>
        </is>
      </c>
      <c r="N50" s="6" t="inlineStr">
        <is>
          <t>未実施</t>
        </is>
      </c>
      <c r="O50" s="6" t="inlineStr"/>
      <c r="P50" s="6" t="inlineStr"/>
      <c r="Q50" s="7" t="inlineStr">
        <is>
          <t>既存テスト：なし
availableActions が follow を候補に入れないので通常は起きない。防御の分岐を通す</t>
        </is>
      </c>
    </row>
    <row r="51">
      <c r="A51" s="4" t="n">
        <v>47</v>
      </c>
      <c r="B51" s="4" t="inlineStr">
        <is>
          <t>TC-UT_PRM-026</t>
        </is>
      </c>
      <c r="C51" s="5" t="inlineStr">
        <is>
          <t>buildPrompt</t>
        </is>
      </c>
      <c r="D51" s="4" t="inlineStr">
        <is>
          <t>正常系</t>
        </is>
      </c>
      <c r="E51" s="4" t="inlineStr">
        <is>
          <t>分岐網羅</t>
        </is>
      </c>
      <c r="F51" s="5" t="inlineStr">
        <is>
          <t>候補に unfollow があっても、フォロー中の住人がいなければ一覧を入れない</t>
        </is>
      </c>
      <c r="G51" s="5" t="inlineStr">
        <is>
          <t>前提：リポジトリの prompts/v1
入力：候補 unfollow・post、フォロー中の住人なし</t>
        </is>
      </c>
      <c r="H51" s="5" t="inlineStr">
        <is>
          <t>「フォロー中の住人」を含まない</t>
        </is>
      </c>
      <c r="I51" s="5" t="inlineStr">
        <is>
          <t>B10-F, B11-F, B12-T</t>
        </is>
      </c>
      <c r="J51" s="5" t="inlineStr">
        <is>
          <t>なし</t>
        </is>
      </c>
      <c r="K51" s="5" t="inlineStr"/>
      <c r="L51" s="5" t="inlineStr"/>
      <c r="M51" s="5" t="inlineStr">
        <is>
          <t>TC-UT_PRM-026 候補に unfollow があっても、フォロー中の住人がいなければ一覧を入れない</t>
        </is>
      </c>
      <c r="N51" s="6" t="inlineStr">
        <is>
          <t>未実施</t>
        </is>
      </c>
      <c r="O51" s="6" t="inlineStr"/>
      <c r="P51" s="6" t="inlineStr"/>
      <c r="Q51" s="7" t="inlineStr">
        <is>
          <t>既存テスト：なし
TC-UT_PRM-025 と同じく防御の分岐</t>
        </is>
      </c>
    </row>
    <row r="52">
      <c r="A52" s="4" t="n">
        <v>48</v>
      </c>
      <c r="B52" s="4" t="inlineStr">
        <is>
          <t>TC-UT_PRM-027</t>
        </is>
      </c>
      <c r="C52" s="5" t="inlineStr">
        <is>
          <t>fitMemories</t>
        </is>
      </c>
      <c r="D52" s="4" t="inlineStr">
        <is>
          <t>正常系</t>
        </is>
      </c>
      <c r="E52" s="4" t="inlineStr">
        <is>
          <t>境界値</t>
        </is>
      </c>
      <c r="F52" s="5" t="inlineStr">
        <is>
          <t>字数をコードポイントで数える（サロゲートペアは 1 字）</t>
        </is>
      </c>
      <c r="G52" s="5" t="inlineStr">
        <is>
          <t>前提：なし
入力："𠮷𠮷𠮷"、上限 2</t>
        </is>
      </c>
      <c r="H52" s="5" t="inlineStr">
        <is>
          <t>"𠮷𠮷"</t>
        </is>
      </c>
      <c r="I52" s="5" t="inlineStr">
        <is>
          <t>B7-F, B8-T</t>
        </is>
      </c>
      <c r="J52" s="5" t="inlineStr">
        <is>
          <t>なし</t>
        </is>
      </c>
      <c r="K52" s="5" t="inlineStr"/>
      <c r="L52" s="5" t="inlineStr"/>
      <c r="M52" s="5" t="inlineStr">
        <is>
          <t>TC-UT_PRM-027 fitMemories は字数をコードポイントで数える（サロゲートペアは 1 字）</t>
        </is>
      </c>
      <c r="N52" s="6" t="inlineStr">
        <is>
          <t>未実施</t>
        </is>
      </c>
      <c r="O52" s="6" t="inlineStr"/>
      <c r="P52" s="6" t="inlineStr"/>
      <c r="Q52" s="7" t="inlineStr">
        <is>
          <t>既存テスト：なし</t>
        </is>
      </c>
    </row>
    <row r="53">
      <c r="A53" s="4" t="n">
        <v>49</v>
      </c>
      <c r="B53" s="4" t="inlineStr">
        <is>
          <t>TC-UT_PRM-028</t>
        </is>
      </c>
      <c r="C53" s="5" t="inlineStr">
        <is>
          <t>fitMemories</t>
        </is>
      </c>
      <c r="D53" s="4" t="inlineStr">
        <is>
          <t>異常系</t>
        </is>
      </c>
      <c r="E53" s="4" t="inlineStr">
        <is>
          <t>境界値</t>
        </is>
      </c>
      <c r="F53" s="5" t="inlineStr">
        <is>
          <t>上限が負なら空、上限に達したら後ろの記憶を入れない</t>
        </is>
      </c>
      <c r="G53" s="5" t="inlineStr">
        <is>
          <t>前提：なし
入力：5 字 × 3、上限 −1 / 上限 5</t>
        </is>
      </c>
      <c r="H53" s="5" t="inlineStr">
        <is>
          <t>[] / 先頭の 1 件だけ</t>
        </is>
      </c>
      <c r="I53" s="5" t="inlineStr">
        <is>
          <t>B6-T, B7-T, B8-T</t>
        </is>
      </c>
      <c r="J53" s="5" t="inlineStr">
        <is>
          <t>なし</t>
        </is>
      </c>
      <c r="K53" s="5" t="inlineStr"/>
      <c r="L53" s="5" t="inlineStr"/>
      <c r="M53" s="5" t="inlineStr">
        <is>
          <t>TC-UT_PRM-028 fitMemories は上限が負なら空、上限に達したら後ろの記憶を入れない</t>
        </is>
      </c>
      <c r="N53" s="6" t="inlineStr">
        <is>
          <t>未実施</t>
        </is>
      </c>
      <c r="O53" s="6" t="inlineStr"/>
      <c r="P53" s="6" t="inlineStr"/>
      <c r="Q53" s="7" t="inlineStr">
        <is>
          <t>既存テスト：一部 TC-NOUS61_DEV-61（上限 0 だけ）</t>
        </is>
      </c>
    </row>
    <row r="54">
      <c r="A54" s="4" t="n">
        <v>50</v>
      </c>
      <c r="B54" s="4" t="inlineStr">
        <is>
          <t>TC-UT_PRM-029</t>
        </is>
      </c>
      <c r="C54" s="5" t="inlineStr">
        <is>
          <t>fitMemories</t>
        </is>
      </c>
      <c r="D54" s="4" t="inlineStr">
        <is>
          <t>異常系</t>
        </is>
      </c>
      <c r="E54" s="4" t="inlineStr">
        <is>
          <t>分岐網羅</t>
        </is>
      </c>
      <c r="F54" s="5" t="inlineStr">
        <is>
          <t>内容が空の記憶を入れない</t>
        </is>
      </c>
      <c r="G54" s="5" t="inlineStr">
        <is>
          <t>前提：なし
入力：空の interest_profile と "b"、上限 10</t>
        </is>
      </c>
      <c r="H54" s="5" t="inlineStr">
        <is>
          <t>[recent_posts の "b"] だけ</t>
        </is>
      </c>
      <c r="I54" s="5" t="inlineStr">
        <is>
          <t>B6-F, B7-T, B8-F, B8-T</t>
        </is>
      </c>
      <c r="J54" s="5" t="inlineStr">
        <is>
          <t>なし</t>
        </is>
      </c>
      <c r="K54" s="5" t="inlineStr"/>
      <c r="L54" s="5" t="inlineStr"/>
      <c r="M54" s="5" t="inlineStr">
        <is>
          <t>TC-UT_PRM-029 fitMemories は内容が空の記憶を入れない</t>
        </is>
      </c>
      <c r="N54" s="6" t="inlineStr">
        <is>
          <t>未実施</t>
        </is>
      </c>
      <c r="O54" s="6" t="inlineStr"/>
      <c r="P54" s="6" t="inlineStr"/>
      <c r="Q54" s="7" t="inlineStr">
        <is>
          <t>既存テスト：なし
loadMemories が空の記憶を除くので通常は起きない。防御の分岐を通す</t>
        </is>
      </c>
    </row>
    <row r="55">
      <c r="A55" s="4" t="n">
        <v>51</v>
      </c>
      <c r="B55" s="4" t="inlineStr">
        <is>
          <t>TC-UT_PRM-030</t>
        </is>
      </c>
      <c r="C55" s="5" t="inlineStr">
        <is>
          <t>buildPrompt</t>
        </is>
      </c>
      <c r="D55" s="4" t="inlineStr">
        <is>
          <t>正常系</t>
        </is>
      </c>
      <c r="E55" s="4" t="inlineStr">
        <is>
          <t>依存</t>
        </is>
      </c>
      <c r="F55" s="5" t="inlineStr">
        <is>
          <t>入力の context を書き換えない（refs・memories を外すのは戻り値の側だけ）</t>
        </is>
      </c>
      <c r="G55" s="5" t="inlineStr">
        <is>
          <t>前提：リポジトリの prompts/v1
入力：投稿 12 件、上限 800</t>
        </is>
      </c>
      <c r="H55" s="5" t="inlineStr">
        <is>
          <t>呼ぶ前と後の context が等しい</t>
        </is>
      </c>
      <c r="I55" s="5" t="inlineStr">
        <is>
          <t>B14-F, B15-T</t>
        </is>
      </c>
      <c r="J55" s="5" t="inlineStr">
        <is>
          <t>なし</t>
        </is>
      </c>
      <c r="K55" s="5" t="inlineStr"/>
      <c r="L55" s="5" t="inlineStr"/>
      <c r="M55" s="5" t="inlineStr">
        <is>
          <t>TC-UT_PRM-030 入力の context を書き換えない</t>
        </is>
      </c>
      <c r="N55" s="6" t="inlineStr">
        <is>
          <t>未実施</t>
        </is>
      </c>
      <c r="O55" s="6" t="inlineStr"/>
      <c r="P55" s="6" t="inlineStr"/>
      <c r="Q55" s="7" t="inlineStr">
        <is>
          <t>既存テスト：なし</t>
        </is>
      </c>
    </row>
    <row r="56">
      <c r="A56" s="4" t="n">
        <v>52</v>
      </c>
      <c r="B56" s="4" t="inlineStr">
        <is>
          <t>TC-UT_PRM-031</t>
        </is>
      </c>
      <c r="C56" s="5" t="inlineStr">
        <is>
          <t>buildPrompt</t>
        </is>
      </c>
      <c r="D56" s="4" t="inlineStr">
        <is>
          <t>正常系</t>
        </is>
      </c>
      <c r="E56" s="4" t="inlineStr">
        <is>
          <t>分岐網羅</t>
        </is>
      </c>
      <c r="F56" s="5" t="inlineStr">
        <is>
          <t>参照する投稿をすべて外しても、候補の reply・like はそのまま入力に残る</t>
        </is>
      </c>
      <c r="G56" s="5" t="inlineStr">
        <is>
          <t>前提：リポジトリの prompts/v1
入力：長い本文の投稿 1 件、候補 reply・like、上限 = 投稿なしの見積もり</t>
        </is>
      </c>
      <c r="H56" s="5" t="inlineStr">
        <is>
          <t>refs は []、system に「reply・like」、user に「（まだ投稿はありません）」</t>
        </is>
      </c>
      <c r="I56" s="5" t="inlineStr">
        <is>
          <t>B13-T, B14-F, B14-T, B15-T</t>
        </is>
      </c>
      <c r="J56" s="5" t="inlineStr">
        <is>
          <t>なし</t>
        </is>
      </c>
      <c r="K56" s="5" t="inlineStr"/>
      <c r="L56" s="5" t="inlineStr"/>
      <c r="M56" s="5" t="inlineStr">
        <is>
          <t>TC-UT_PRM-031 参照する投稿をすべて外しても、候補の reply・like はそのまま入力に残る</t>
        </is>
      </c>
      <c r="N56" s="6" t="inlineStr">
        <is>
          <t>未実施</t>
        </is>
      </c>
      <c r="O56" s="6" t="inlineStr"/>
      <c r="P56" s="6" t="inlineStr"/>
      <c r="Q56" s="7" t="inlineStr">
        <is>
          <t>既存テスト：なし
設計書は候補の抽選（drawCandidates）を buildPrompt の前に行う順序だけを定め、投稿を外しきったときの候補の扱いは記載なし。実装の値。issues の確認事項 1</t>
        </is>
      </c>
    </row>
    <row r="57">
      <c r="A57" s="4" t="n">
        <v>53</v>
      </c>
      <c r="B57" s="4" t="inlineStr">
        <is>
          <t>TC-UT_PRM-032</t>
        </is>
      </c>
      <c r="C57" s="5" t="inlineStr">
        <is>
          <t>promptText</t>
        </is>
      </c>
      <c r="D57" s="4" t="inlineStr">
        <is>
          <t>正常系</t>
        </is>
      </c>
      <c r="E57" s="4" t="inlineStr">
        <is>
          <t>境界値</t>
        </is>
      </c>
      <c r="F57" s="5" t="inlineStr">
        <is>
          <t>メッセージが 1 件ならその本文、0 件なら空の文字列</t>
        </is>
      </c>
      <c r="G57" s="5" t="inlineStr">
        <is>
          <t>前提：なし
入力：1 件、0 件</t>
        </is>
      </c>
      <c r="H57" s="5" t="inlineStr">
        <is>
          <t>"u"、""</t>
        </is>
      </c>
      <c r="I57" s="5" t="inlineStr"/>
      <c r="J57" s="5" t="inlineStr">
        <is>
          <t>なし</t>
        </is>
      </c>
      <c r="K57" s="5" t="inlineStr"/>
      <c r="L57" s="5" t="inlineStr"/>
      <c r="M57" s="5" t="inlineStr">
        <is>
          <t>TC-UT_PRM-032 promptText はメッセージが 1 件ならその本文、0 件なら空の文字列</t>
        </is>
      </c>
      <c r="N57" s="6" t="inlineStr">
        <is>
          <t>未実施</t>
        </is>
      </c>
      <c r="O57" s="6" t="inlineStr"/>
      <c r="P57" s="6" t="inlineStr"/>
      <c r="Q57" s="7" t="inlineStr">
        <is>
          <t>既存テスト：一部 TC-NOUS61_DEV-65（2 件だけ）</t>
        </is>
      </c>
    </row>
  </sheetData>
  <autoFilter ref="A4:Q57"/>
  <conditionalFormatting sqref="A5:Q107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107" showDropDown="0" showInputMessage="0" showErrorMessage="0" allowBlank="1" type="list">
      <formula1>"未実施,OK,NG,保留,対象外"</formula1>
    </dataValidation>
    <dataValidation sqref="D5:D107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COUNTA(観点表!$B$5:$B$107)</f>
        <v/>
      </c>
    </row>
    <row r="6">
      <c r="A6" s="10" t="inlineStr">
        <is>
          <t>正常系</t>
        </is>
      </c>
      <c r="B6" s="10">
        <f>COUNTIF(観点表!$D$5:$D$107,"正常系")</f>
        <v/>
      </c>
    </row>
    <row r="7">
      <c r="A7" s="10" t="inlineStr">
        <is>
          <t>異常系</t>
        </is>
      </c>
      <c r="B7" s="10">
        <f>COUNTIF(観点表!$D$5:$D$107,"異常系")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COUNTIF(観点表!$E$5:$E$107,"エラー処理")</f>
        <v/>
      </c>
    </row>
    <row r="11">
      <c r="A11" s="10" t="inlineStr">
        <is>
          <t>依存</t>
        </is>
      </c>
      <c r="B11" s="10">
        <f>COUNTIF(観点表!$E$5:$E$107,"依存")</f>
        <v/>
      </c>
    </row>
    <row r="12">
      <c r="A12" s="10" t="inlineStr">
        <is>
          <t>分岐網羅</t>
        </is>
      </c>
      <c r="B12" s="10">
        <f>COUNTIF(観点表!$E$5:$E$107,"分岐網羅")</f>
        <v/>
      </c>
    </row>
    <row r="13">
      <c r="A13" s="10" t="inlineStr">
        <is>
          <t>同値分割</t>
        </is>
      </c>
      <c r="B13" s="10">
        <f>COUNTIF(観点表!$E$5:$E$107,"同値分割")</f>
        <v/>
      </c>
    </row>
    <row r="14">
      <c r="A14" s="10" t="inlineStr">
        <is>
          <t>境界値</t>
        </is>
      </c>
      <c r="B14" s="10">
        <f>COUNTIF(観点表!$E$5:$E$107,"境界値")</f>
        <v/>
      </c>
    </row>
    <row r="15">
      <c r="A15" s="10" t="inlineStr">
        <is>
          <t>状態遷移</t>
        </is>
      </c>
      <c r="B15" s="10">
        <f>COUNTIF(観点表!$E$5:$E$107,"状態遷移")</f>
        <v/>
      </c>
    </row>
    <row r="16">
      <c r="A16" s="10" t="inlineStr">
        <is>
          <t>開発者テスト</t>
        </is>
      </c>
      <c r="B16" s="10">
        <f>COUNTIF(観点表!$E$5:$E$107,"開発者テスト")</f>
        <v/>
      </c>
    </row>
    <row r="18">
      <c r="A18" s="8" t="inlineStr">
        <is>
          <t>テストデータ</t>
        </is>
      </c>
      <c r="B18" s="9" t="n"/>
      <c r="C18" s="9" t="n"/>
    </row>
    <row r="19">
      <c r="A19" s="10" t="inlineStr">
        <is>
          <t>作成済み</t>
        </is>
      </c>
      <c r="B19" s="10">
        <f>COUNTIF(観点表!$K$5:$K$107,"?*")</f>
        <v/>
      </c>
    </row>
    <row r="20">
      <c r="A20" s="10" t="inlineStr">
        <is>
          <t>未作成</t>
        </is>
      </c>
      <c r="B20" s="10">
        <f>B5-B19</f>
        <v/>
      </c>
    </row>
    <row r="22">
      <c r="A22" s="8" t="inlineStr">
        <is>
          <t>実施状況</t>
        </is>
      </c>
      <c r="B22" s="9" t="n"/>
      <c r="C22" s="9" t="n"/>
    </row>
    <row r="23">
      <c r="A23" s="10" t="inlineStr">
        <is>
          <t>未実施</t>
        </is>
      </c>
      <c r="B23" s="10">
        <f>COUNTIF(観点表!$N$5:$N$107,"未実施")</f>
        <v/>
      </c>
    </row>
    <row r="24">
      <c r="A24" s="10" t="inlineStr">
        <is>
          <t>OK</t>
        </is>
      </c>
      <c r="B24" s="10">
        <f>COUNTIF(観点表!$N$5:$N$107,"OK")</f>
        <v/>
      </c>
    </row>
    <row r="25">
      <c r="A25" s="10" t="inlineStr">
        <is>
          <t>NG</t>
        </is>
      </c>
      <c r="B25" s="10">
        <f>COUNTIF(観点表!$N$5:$N$107,"NG")</f>
        <v/>
      </c>
    </row>
    <row r="26">
      <c r="A26" s="10" t="inlineStr">
        <is>
          <t>保留</t>
        </is>
      </c>
      <c r="B26" s="10">
        <f>COUNTIF(観点表!$N$5:$N$107,"保留")</f>
        <v/>
      </c>
    </row>
    <row r="27">
      <c r="A27" s="10" t="inlineStr">
        <is>
          <t>対象外</t>
        </is>
      </c>
      <c r="B27" s="10">
        <f>COUNTIF(観点表!$N$5:$N$107,"対象外")</f>
        <v/>
      </c>
    </row>
    <row r="28">
      <c r="A28" s="10" t="inlineStr">
        <is>
          <t>消化率（未実施以外 / 総数）</t>
        </is>
      </c>
      <c r="B28" s="11">
        <f>IF(B5=0,0,(B5-B23)/B5)</f>
        <v/>
      </c>
    </row>
    <row r="29">
      <c r="A29" s="10" t="inlineStr">
        <is>
          <t>合格率（OK / (総数-対象外)）</t>
        </is>
      </c>
      <c r="B29" s="11">
        <f>IF(B5-B27=0,0,B24/(B5-B27))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TC-NOUS61_DEV-31</t>
        </is>
      </c>
      <c r="B5" s="13" t="inlineStr">
        <is>
          <t>全メッセージの文字数に 0.6 を掛けて切り上げる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TC-NOUS61_DEV-32</t>
        </is>
      </c>
      <c r="B6" s="13" t="inlineStr">
        <is>
          <t>実測の比が 0.6 を超えればその比を使う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TC-NOUS61_DEV-33</t>
        </is>
      </c>
      <c r="B7" s="13" t="inlineStr">
        <is>
          <t>文字数はコードポイントで数える（サロゲートペアは 1 字）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TC-NOUS61_DEV-34</t>
        </is>
      </c>
      <c r="B8" s="13" t="inlineStr">
        <is>
          <t>成功した LLM の生成が 20 件未満なら 0.6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TC-NOUS61_DEV-35</t>
        </is>
      </c>
      <c r="B9" s="13" t="inlineStr">
        <is>
          <t>20 件以上なら prompt_tokens ÷ 文字数の平均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TC-NOUS61_DEV-36</t>
        </is>
      </c>
      <c r="B10" s="13" t="inlineStr">
        <is>
          <t>直近 50 件だけを使い、参加の判定（gate）の行は数えない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TC-NOUS61_DEV-51</t>
        </is>
      </c>
      <c r="B11" s="13" t="inlineStr">
        <is>
          <t>system 1 件・user 1 件で、人格・記憶・候補・規則・タイムラインを入れる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TC-NOUS61_DEV-52</t>
        </is>
      </c>
      <c r="B12" s="13" t="inlineStr">
        <is>
          <t>返信には返信先のハンドルを付ける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TC-NOUS61_DEV-53</t>
        </is>
      </c>
      <c r="B13" s="13" t="inlineStr">
        <is>
          <t>相手の一覧は候補に follow・unfollow があるときだけ入れる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TC-NOUS61_DEV-54</t>
        </is>
      </c>
      <c r="B14" s="13" t="inlineStr">
        <is>
          <t>本文の &lt;/timeline&gt; を全角にし、改行を空白にする（区切りの外に出さない）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TC-NOUS61_DEV-55</t>
        </is>
      </c>
      <c r="B15" s="13" t="inlineStr">
        <is>
          <t>値の中の {{…}} は展開しない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TC-NOUS61_DEV-56</t>
        </is>
      </c>
      <c r="B16" s="13" t="inlineStr">
        <is>
          <t>テンプレートに値の無い項目があれば ConfigError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TC-NOUS61_DEV-57</t>
        </is>
      </c>
      <c r="B17" s="13" t="inlineStr">
        <is>
          <t>見積もりが上限を超える間、参照する投稿を古い順に外し、P1 から番号を付け直す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TC-NOUS61_DEV-58</t>
        </is>
      </c>
      <c r="B18" s="13" t="inlineStr">
        <is>
          <t>投稿をすべて外しても超えれば conversation_summary を後ろから切り詰める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TC-NOUS61_DEV-59</t>
        </is>
      </c>
      <c r="B19" s="13" t="inlineStr">
        <is>
          <t>記憶を切っても超えれば PromptTooLargeError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TC-NOUS61_DEV-60</t>
        </is>
      </c>
      <c r="B20" s="13" t="inlineStr">
        <is>
          <t>実測の比が大きければ、同じ上限でも外す投稿が増える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TC-NOUS61_DEV-61</t>
        </is>
      </c>
      <c r="B21" s="13" t="inlineStr">
        <is>
          <t>記憶は固定の順で、合計 max_memory_chars まで（後ろから切る）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TC-NOUS61_DEV-62</t>
        </is>
      </c>
      <c r="B22" s="13" t="inlineStr">
        <is>
          <t>記憶もタイムラインも無いときの文言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TC-NOUS61_DEV-63</t>
        </is>
      </c>
      <c r="B23" s="13" t="inlineStr">
        <is>
          <t>版の名前がフォルダの外を指せば ConfigError、テンプレートが無ければ ConfigError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TC-NOUS61_DEV-64</t>
        </is>
      </c>
      <c r="B24" s="13" t="inlineStr">
        <is>
          <t>promptsDir の版のテンプレートを使う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TC-NOUS61_DEV-65</t>
        </is>
      </c>
      <c r="B25" s="13" t="inlineStr">
        <is>
          <t>promptText は system と user を空行でつなぐ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TC-UT_PRM-001</t>
        </is>
      </c>
      <c r="B26" s="13" t="inlineStr">
        <is>
          <t>メッセージが無い・本文が空なら 0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TC-UT_PRM-002</t>
        </is>
      </c>
      <c r="B27" s="13" t="inlineStr">
        <is>
          <t>実測の比が 0.6 未満でも 0.6 を下限にする（比 0）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TC-UT_PRM-003</t>
        </is>
      </c>
      <c r="B28" s="13" t="inlineStr">
        <is>
          <t>端数は切り上げる（1 字 × 0.6 = 1）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TC-UT_PRM-004</t>
        </is>
      </c>
      <c r="B29" s="13" t="inlineStr">
        <is>
          <t>空の文字列の文字数は 0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TC-UT_PRM-005</t>
        </is>
      </c>
      <c r="B30" s="13" t="inlineStr">
        <is>
          <t>ちょうど 20 件なら実測の比を使う（20 件未満の境界）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TC-UT_PRM-006</t>
        </is>
      </c>
      <c r="B31" s="13" t="inlineStr">
        <is>
          <t>生成イベントが 1 件も無ければ 0.6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TC-UT_PRM-007</t>
        </is>
      </c>
      <c r="B32" s="13" t="inlineStr">
        <is>
          <t>prompt_tokens が 0 の行は平均にも件数にも入れない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TC-UT_PRM-008</t>
        </is>
      </c>
      <c r="B33" s="13" t="inlineStr">
        <is>
          <t>失敗した生成と、prompt_text の無い行・空の行は数えない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TC-UT_PRM-009</t>
        </is>
      </c>
      <c r="B34" s="13" t="inlineStr">
        <is>
          <t>直近 50 件の中で使える行が 20 件未満なら、それより古い行があっても 0.6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TC-UT_PRM-010</t>
        </is>
      </c>
      <c r="B35" s="13" t="inlineStr">
        <is>
          <t>改行が CR だけでも空白にする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TC-UT_PRM-011</t>
        </is>
      </c>
      <c r="B36" s="13" t="inlineStr">
        <is>
          <t>置き換えるのは &lt;/timeline&gt; だけで、開きタグと空白の入った閉じタグはそのまま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TC-UT_PRM-012</t>
        </is>
      </c>
      <c r="B37" s="13" t="inlineStr">
        <is>
          <t>表示名の &lt;/timeline&gt; と改行も、タイムラインと相手の一覧で整える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TC-UT_PRM-013</t>
        </is>
      </c>
      <c r="B38" s="13" t="inlineStr">
        <is>
          <t>値の中の $&amp; や $1 は、そのままの文字として入れる（置換の特殊なパターンにしない）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TC-UT_PRM-014</t>
        </is>
      </c>
      <c r="B39" s="13" t="inlineStr">
        <is>
          <t>英小文字と _ 以外を含む {{…}} は項目として扱わず、そのまま残す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TC-UT_PRM-015</t>
        </is>
      </c>
      <c r="B40" s="13" t="inlineStr">
        <is>
          <t>版の名前が規則に合わなければ、フォルダがあっても ConfigError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TC-UT_PRM-016</t>
        </is>
      </c>
      <c r="B41" s="13" t="inlineStr">
        <is>
          <t>版の名前は 20 字まで、. を途中に含めてよい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TC-UT_PRM-017</t>
        </is>
      </c>
      <c r="B42" s="13" t="inlineStr">
        <is>
          <t>テンプレートは版ごとに1回だけ読み、後でファイルを変えても同じ内容を使う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TC-UT_PRM-018</t>
        </is>
      </c>
      <c r="B43" s="13" t="inlineStr">
        <is>
          <t>user.md だけが無いときも ConfigError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TC-UT_PRM-019</t>
        </is>
      </c>
      <c r="B44" s="13" t="inlineStr">
        <is>
          <t>見積もりが上限ちょうどなら投稿を外さず、上限を 1 下げると最も古い 1 件を外す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TC-UT_PRM-020</t>
        </is>
      </c>
      <c r="B45" s="13" t="inlineStr">
        <is>
          <t>実測の比が 0.6 未満なら 0.6 として扱う（外す投稿が同じ）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TC-UT_PRM-021</t>
        </is>
      </c>
      <c r="B46" s="13" t="inlineStr">
        <is>
          <t>会話の要約を切り詰めても、ほかの記憶（関心のプロフィール）は切らない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TC-UT_PRM-022</t>
        </is>
      </c>
      <c r="B47" s="13" t="inlineStr">
        <is>
          <t>会話の要約が無ければ、投稿を外しきった時点で PromptTooLargeError（見積もりと上限を持つ）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TC-UT_PRM-023</t>
        </is>
      </c>
      <c r="B48" s="13" t="inlineStr">
        <is>
          <t>記憶の改行は空白にし、usedMemories には max_memory_chars で切った内容を残す</t>
        </is>
      </c>
      <c r="C48" s="13" t="inlineStr">
        <is>
          <t>未作成</t>
        </is>
      </c>
      <c r="D48" s="13" t="inlineStr"/>
      <c r="E48" s="13" t="inlineStr"/>
      <c r="F48" s="13" t="inlineStr"/>
    </row>
    <row r="49">
      <c r="A49" s="13" t="inlineStr">
        <is>
          <t>TC-UT_PRM-024</t>
        </is>
      </c>
      <c r="B49" s="13" t="inlineStr">
        <is>
          <t>選び方の目安は候補の順に並べ、最後に none を付ける</t>
        </is>
      </c>
      <c r="C49" s="13" t="inlineStr">
        <is>
          <t>未作成</t>
        </is>
      </c>
      <c r="D49" s="13" t="inlineStr"/>
      <c r="E49" s="13" t="inlineStr"/>
      <c r="F49" s="13" t="inlineStr"/>
    </row>
    <row r="50">
      <c r="A50" s="13" t="inlineStr">
        <is>
          <t>TC-UT_PRM-025</t>
        </is>
      </c>
      <c r="B50" s="13" t="inlineStr">
        <is>
          <t>候補に follow があっても、フォローできる住人がいなければ一覧を入れない</t>
        </is>
      </c>
      <c r="C50" s="13" t="inlineStr">
        <is>
          <t>未作成</t>
        </is>
      </c>
      <c r="D50" s="13" t="inlineStr"/>
      <c r="E50" s="13" t="inlineStr"/>
      <c r="F50" s="13" t="inlineStr"/>
    </row>
    <row r="51">
      <c r="A51" s="13" t="inlineStr">
        <is>
          <t>TC-UT_PRM-026</t>
        </is>
      </c>
      <c r="B51" s="13" t="inlineStr">
        <is>
          <t>候補に unfollow があっても、フォロー中の住人がいなければ一覧を入れない</t>
        </is>
      </c>
      <c r="C51" s="13" t="inlineStr">
        <is>
          <t>未作成</t>
        </is>
      </c>
      <c r="D51" s="13" t="inlineStr"/>
      <c r="E51" s="13" t="inlineStr"/>
      <c r="F51" s="13" t="inlineStr"/>
    </row>
    <row r="52">
      <c r="A52" s="13" t="inlineStr">
        <is>
          <t>TC-UT_PRM-027</t>
        </is>
      </c>
      <c r="B52" s="13" t="inlineStr">
        <is>
          <t>字数をコードポイントで数える（サロゲートペアは 1 字）</t>
        </is>
      </c>
      <c r="C52" s="13" t="inlineStr">
        <is>
          <t>未作成</t>
        </is>
      </c>
      <c r="D52" s="13" t="inlineStr"/>
      <c r="E52" s="13" t="inlineStr"/>
      <c r="F52" s="13" t="inlineStr"/>
    </row>
    <row r="53">
      <c r="A53" s="13" t="inlineStr">
        <is>
          <t>TC-UT_PRM-028</t>
        </is>
      </c>
      <c r="B53" s="13" t="inlineStr">
        <is>
          <t>上限が負なら空、上限に達したら後ろの記憶を入れない</t>
        </is>
      </c>
      <c r="C53" s="13" t="inlineStr">
        <is>
          <t>未作成</t>
        </is>
      </c>
      <c r="D53" s="13" t="inlineStr"/>
      <c r="E53" s="13" t="inlineStr"/>
      <c r="F53" s="13" t="inlineStr"/>
    </row>
    <row r="54">
      <c r="A54" s="13" t="inlineStr">
        <is>
          <t>TC-UT_PRM-029</t>
        </is>
      </c>
      <c r="B54" s="13" t="inlineStr">
        <is>
          <t>内容が空の記憶を入れない</t>
        </is>
      </c>
      <c r="C54" s="13" t="inlineStr">
        <is>
          <t>未作成</t>
        </is>
      </c>
      <c r="D54" s="13" t="inlineStr"/>
      <c r="E54" s="13" t="inlineStr"/>
      <c r="F54" s="13" t="inlineStr"/>
    </row>
    <row r="55">
      <c r="A55" s="13" t="inlineStr">
        <is>
          <t>TC-UT_PRM-030</t>
        </is>
      </c>
      <c r="B55" s="13" t="inlineStr">
        <is>
          <t>入力の context を書き換えない（refs・memories を外すのは戻り値の側だけ）</t>
        </is>
      </c>
      <c r="C55" s="13" t="inlineStr">
        <is>
          <t>未作成</t>
        </is>
      </c>
      <c r="D55" s="13" t="inlineStr"/>
      <c r="E55" s="13" t="inlineStr"/>
      <c r="F55" s="13" t="inlineStr"/>
    </row>
    <row r="56">
      <c r="A56" s="13" t="inlineStr">
        <is>
          <t>TC-UT_PRM-031</t>
        </is>
      </c>
      <c r="B56" s="13" t="inlineStr">
        <is>
          <t>参照する投稿をすべて外しても、候補の reply・like はそのまま入力に残る</t>
        </is>
      </c>
      <c r="C56" s="13" t="inlineStr">
        <is>
          <t>未作成</t>
        </is>
      </c>
      <c r="D56" s="13" t="inlineStr"/>
      <c r="E56" s="13" t="inlineStr"/>
      <c r="F56" s="13" t="inlineStr"/>
    </row>
    <row r="57">
      <c r="A57" s="13" t="inlineStr">
        <is>
          <t>TC-UT_PRM-032</t>
        </is>
      </c>
      <c r="B57" s="13" t="inlineStr">
        <is>
          <t>メッセージが 1 件ならその本文、0 件なら空の文字列</t>
        </is>
      </c>
      <c r="C57" s="13" t="inlineStr">
        <is>
          <t>未作成</t>
        </is>
      </c>
      <c r="D57" s="13" t="inlineStr"/>
      <c r="E57" s="13" t="inlineStr"/>
      <c r="F57" s="13" t="inlineStr"/>
    </row>
  </sheetData>
  <autoFilter ref="A4:F5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入力の組み立てとトークン数の見積もり（generation/promptBuilder.ts・tokenEstimator.ts）</t>
        </is>
      </c>
    </row>
    <row r="4">
      <c r="A4" s="14" t="inlineStr">
        <is>
          <t>対象ファイル</t>
        </is>
      </c>
      <c r="B4" s="15" t="inlineStr">
        <is>
          <t>apps/server/src/generation/promptBuilder.ts, apps/server/src/generation/tokenEstimator.ts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apps/server/src/generation/promptBuilder.test.ts・tokenEstimator.test.ts（実装時、NOUS-61）, apps/server/src/generation/promptBuilder.ut.test.ts・tokenEstimator.ut.test.ts（単体テストで追加）</t>
        </is>
      </c>
    </row>
    <row r="7">
      <c r="A7" s="14" t="inlineStr">
        <is>
          <t>外部依存</t>
        </is>
      </c>
      <c r="B7" s="15" t="inlineStr">
        <is>
          <t>テンプレートのファイル（prompts/v1 を読む。版の検査は一時ディレクトリに書いたテンプレートを promptsDir で渡す）, SQLite（loadTokenRatio。createTestDb の一時 DB）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!PROMPT_VERSION_PATTERN.test(version) || version.includes("..")</t>
        </is>
      </c>
      <c r="C11" s="17" t="inlineStr">
        <is>
          <t>promptBuilder.ts:98</t>
        </is>
      </c>
    </row>
    <row r="12">
      <c r="A12" s="17" t="inlineStr">
        <is>
          <t>B2</t>
        </is>
      </c>
      <c r="B12" s="17" t="inlineStr">
        <is>
          <t>cached（読み込み済みの版）</t>
        </is>
      </c>
      <c r="C12" s="17" t="inlineStr">
        <is>
          <t>promptBuilder.ts:103</t>
        </is>
      </c>
    </row>
    <row r="13">
      <c r="A13" s="17" t="inlineStr">
        <is>
          <t>B3</t>
        </is>
      </c>
      <c r="B13" s="17" t="inlineStr">
        <is>
          <t>readFileSync が例外（テンプレートが無い）</t>
        </is>
      </c>
      <c r="C13" s="17" t="inlineStr">
        <is>
          <t>promptBuilder.ts:105-112</t>
        </is>
      </c>
    </row>
    <row r="14">
      <c r="A14" s="17" t="inlineStr">
        <is>
          <t>B4</t>
        </is>
      </c>
      <c r="B14" s="17" t="inlineStr">
        <is>
          <t>value === undefined（値の無い項目）</t>
        </is>
      </c>
      <c r="C14" s="17" t="inlineStr">
        <is>
          <t>promptBuilder.ts:124</t>
        </is>
      </c>
    </row>
    <row r="15">
      <c r="A15" s="17" t="inlineStr">
        <is>
          <t>B5</t>
        </is>
      </c>
      <c r="B15" s="17" t="inlineStr">
        <is>
          <t>ref.replyToHandle（返信）</t>
        </is>
      </c>
      <c r="C15" s="17" t="inlineStr">
        <is>
          <t>promptBuilder.ts:138</t>
        </is>
      </c>
    </row>
    <row r="16">
      <c r="A16" s="17" t="inlineStr">
        <is>
          <t>B6</t>
        </is>
      </c>
      <c r="B16" s="17" t="inlineStr">
        <is>
          <t>remaining &lt;= 0（記憶の上限に達した）</t>
        </is>
      </c>
      <c r="C16" s="17" t="inlineStr">
        <is>
          <t>promptBuilder.ts:149</t>
        </is>
      </c>
    </row>
    <row r="17">
      <c r="A17" s="17" t="inlineStr">
        <is>
          <t>B7</t>
        </is>
      </c>
      <c r="B17" s="17" t="inlineStr">
        <is>
          <t>chars.length &lt;= remaining（切らずに入る）</t>
        </is>
      </c>
      <c r="C17" s="17" t="inlineStr">
        <is>
          <t>promptBuilder.ts:151</t>
        </is>
      </c>
    </row>
    <row r="18">
      <c r="A18" s="17" t="inlineStr">
        <is>
          <t>B8</t>
        </is>
      </c>
      <c r="B18" s="17" t="inlineStr">
        <is>
          <t>content.length &gt; 0（空でなければ入れる）</t>
        </is>
      </c>
      <c r="C18" s="17" t="inlineStr">
        <is>
          <t>promptBuilder.ts:153</t>
        </is>
      </c>
    </row>
    <row r="19">
      <c r="A19" s="17" t="inlineStr">
        <is>
          <t>B9</t>
        </is>
      </c>
      <c r="B19" s="17" t="inlineStr">
        <is>
          <t>entries.length === 0（記憶が無い）</t>
        </is>
      </c>
      <c r="C19" s="17" t="inlineStr">
        <is>
          <t>promptBuilder.ts:159</t>
        </is>
      </c>
    </row>
    <row r="20">
      <c r="A20" s="17" t="inlineStr">
        <is>
          <t>B10</t>
        </is>
      </c>
      <c r="B20" s="17" t="inlineStr">
        <is>
          <t>candidates.includes("follow") &amp;&amp; followTargets.length &gt; 0</t>
        </is>
      </c>
      <c r="C20" s="17" t="inlineStr">
        <is>
          <t>promptBuilder.ts:170</t>
        </is>
      </c>
    </row>
    <row r="21">
      <c r="A21" s="17" t="inlineStr">
        <is>
          <t>B11</t>
        </is>
      </c>
      <c r="B21" s="17" t="inlineStr">
        <is>
          <t>candidates.includes("unfollow") &amp;&amp; followees.length &gt; 0</t>
        </is>
      </c>
      <c r="C21" s="17" t="inlineStr">
        <is>
          <t>promptBuilder.ts:173</t>
        </is>
      </c>
    </row>
    <row r="22">
      <c r="A22" s="17" t="inlineStr">
        <is>
          <t>B12</t>
        </is>
      </c>
      <c r="B22" s="17" t="inlineStr">
        <is>
          <t>sections.length === 0（相手の一覧を入れない）</t>
        </is>
      </c>
      <c r="C22" s="17" t="inlineStr">
        <is>
          <t>promptBuilder.ts:176</t>
        </is>
      </c>
    </row>
    <row r="23">
      <c r="A23" s="17" t="inlineStr">
        <is>
          <t>B13</t>
        </is>
      </c>
      <c r="B23" s="17" t="inlineStr">
        <is>
          <t>refs.length === 0（タイムラインが空）</t>
        </is>
      </c>
      <c r="C23" s="17" t="inlineStr">
        <is>
          <t>promptBuilder.ts:215</t>
        </is>
      </c>
    </row>
    <row r="24">
      <c r="A24" s="17" t="inlineStr">
        <is>
          <t>B14</t>
        </is>
      </c>
      <c r="B24" s="17" t="inlineStr">
        <is>
          <t>tokens &lt;= max_input_tokens（上限に収まった）</t>
        </is>
      </c>
      <c r="C24" s="17" t="inlineStr">
        <is>
          <t>promptBuilder.ts:243</t>
        </is>
      </c>
    </row>
    <row r="25">
      <c r="A25" s="17" t="inlineStr">
        <is>
          <t>B15</t>
        </is>
      </c>
      <c r="B25" s="17" t="inlineStr">
        <is>
          <t>refs.length &gt; 0（参照する投稿を外す）</t>
        </is>
      </c>
      <c r="C25" s="17" t="inlineStr">
        <is>
          <t>promptBuilder.ts:246</t>
        </is>
      </c>
    </row>
    <row r="26">
      <c r="A26" s="17" t="inlineStr">
        <is>
          <t>B16</t>
        </is>
      </c>
      <c r="B26" s="17" t="inlineStr">
        <is>
          <t>summary &amp;&amp; summary.content.length &gt; 0（会話の要約を切る）</t>
        </is>
      </c>
      <c r="C26" s="17" t="inlineStr">
        <is>
          <t>promptBuilder.ts:252</t>
        </is>
      </c>
    </row>
    <row r="27">
      <c r="A27" s="17" t="inlineStr">
        <is>
          <t>B17</t>
        </is>
      </c>
      <c r="B27" s="17" t="inlineStr">
        <is>
          <t>content.length &gt; 0（切った要約が残る。偽なら要約を除く）</t>
        </is>
      </c>
      <c r="C27" s="17" t="inlineStr">
        <is>
          <t>promptBuilder.ts:257</t>
        </is>
      </c>
    </row>
    <row r="28">
      <c r="A28" s="17" t="inlineStr">
        <is>
          <t>B18</t>
        </is>
      </c>
      <c r="B28" s="17" t="inlineStr">
        <is>
          <t>Math.max(0.6, ratio)（ratio が 0.6 を超える）</t>
        </is>
      </c>
      <c r="C28" s="17" t="inlineStr">
        <is>
          <t>tokenEstimator.ts:23</t>
        </is>
      </c>
    </row>
    <row r="29">
      <c r="A29" s="17" t="inlineStr">
        <is>
          <t>B19</t>
        </is>
      </c>
      <c r="B29" s="17" t="inlineStr">
        <is>
          <t>row.chars &gt; 0 &amp;&amp; row.promptTokens &gt; 0（使える行）</t>
        </is>
      </c>
      <c r="C29" s="17" t="inlineStr">
        <is>
          <t>tokenEstimator.ts:47</t>
        </is>
      </c>
    </row>
    <row r="30">
      <c r="A30" s="17" t="inlineStr">
        <is>
          <t>B20</t>
        </is>
      </c>
      <c r="B30" s="17" t="inlineStr">
        <is>
          <t>rows.length &lt; 20（既定の比を使う）</t>
        </is>
      </c>
      <c r="C30" s="17" t="inlineStr">
        <is>
          <t>tokenEstimator.ts:48</t>
        </is>
      </c>
    </row>
    <row r="32">
      <c r="A32" s="14" t="inlineStr">
        <is>
          <t>確認事項・潜在バグ</t>
        </is>
      </c>
    </row>
    <row r="33" ht="30" customHeight="1">
      <c r="A33" s="18" t="inlineStr">
        <is>
          <t>・確認事項 1：候補は buildPrompt の前に、外す前の参照する投稿で抽選する（設計書 1章・4章の順序どおり）。上限のために参照する投稿をすべて外すと、候補に reply・like が残ったまま、タイムラインが「（まだ投稿はありません）」になる（TC-UT_PRM-031）。LLM が reply・like を選ぶと P 番号が無く、検証で不正な形式になり再生成に回る。候補から外すか、このままでよいかを確認したい。</t>
        </is>
      </c>
    </row>
    <row r="34" ht="30" customHeight="1">
      <c r="A34" s="18" t="inlineStr">
        <is>
          <t>・確認事項 2：区切りの無害化は &lt;/timeline&gt; だけを置き換える（設計書 11章どおり、TC-UT_PRM-011）。&lt;/timeline &gt;・&lt;/ timeline&gt; のような揺れや、記憶（会話の要約は他の住人の投稿の先頭 40 字を含む）は system に整えずに入る。NFR-S-012 の「他の住人の投稿は &lt;timeline&gt; の中だけ」と、5.1 の「記憶は system」の関係を、設計として確認したい。会話の要約の作り方は NOUS-103（memoryUpdater）の観点でも見る。</t>
        </is>
      </c>
    </row>
    <row r="35" ht="30" customHeight="1">
      <c r="A35" s="18" t="inlineStr">
        <is>
          <t>・確認事項 3：テンプレートは版ごとにプロセスの中で1回だけ読む（TC-UT_PRM-017）。同じ版のファイルを直したときは再起動が要る。設計書 10章の「新しい版のフォルダを作る」運用なら問題ないが、運用の手順に一言あるとよい。</t>
        </is>
      </c>
    </row>
  </sheetData>
  <mergeCells count="3">
    <mergeCell ref="A35:C35"/>
    <mergeCell ref="A33:C33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2026-10-23T07:14:28Z</dcterms:created>
  <dcterms:modified xsi:type="dcterms:W3CDTF">2026-10-23T07:14:28Z</dcterms:modified>
</cp:coreProperties>
</file>