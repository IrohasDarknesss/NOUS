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'観点表'!$A$4:$Q$16</definedName>
    <definedName name="_xlnm.Print_Titles" localSheetId="0">'観点表'!$4:$4</definedName>
    <definedName name="_xlnm._FilterDatabase" localSheetId="2" hidden="1">'テストデータ'!$A$4:$F$18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ページ送りのカーソル（lib/cursor.ts）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TC-NOUS56_DEV-01</t>
        </is>
      </c>
      <c r="C5" s="5" t="inlineStr">
        <is>
          <t>encodeCursor / decodeCursor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文字列の配列を符号化して復号すると元に戻る（2要素・空配列・日本語と記号）</t>
        </is>
      </c>
      <c r="G5" s="5" t="inlineStr">
        <is>
          <t>前提：なし
入力：["7200","01JB…P01"]、["2026-10-21T10:00:00.000Z","01JB…A01"]、[]、["日本語","a+b/c="]</t>
        </is>
      </c>
      <c r="H5" s="5" t="inlineStr">
        <is>
          <t>符号化した文字列は Base64URL の字だけ。復号すると元の配列と等しい</t>
        </is>
      </c>
      <c r="I5" s="5" t="inlineStr">
        <is>
          <t>B1-F, B2-F, B3-F, B4-F, B5-F</t>
        </is>
      </c>
      <c r="J5" s="5" t="inlineStr">
        <is>
          <t>なし</t>
        </is>
      </c>
      <c r="K5" s="5" t="inlineStr"/>
      <c r="L5" s="5" t="inlineStr"/>
      <c r="M5" s="5" t="inlineStr">
        <is>
          <t>TC-NOUS56_DEV-01 encodeCursor と decodeCursor で文字列の配列を往復できる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既存テスト：実装時のテスト（NOUS-56）</t>
        </is>
      </c>
    </row>
    <row r="6">
      <c r="A6" s="4" t="n">
        <v>2</v>
      </c>
      <c r="B6" s="4" t="inlineStr">
        <is>
          <t>TC-NOUS56_DEV-02</t>
        </is>
      </c>
      <c r="C6" s="5" t="inlineStr">
        <is>
          <t>decodeCursor</t>
        </is>
      </c>
      <c r="D6" s="4" t="inlineStr">
        <is>
          <t>異常系</t>
        </is>
      </c>
      <c r="E6" s="4" t="inlineStr">
        <is>
          <t>開発者テスト</t>
        </is>
      </c>
      <c r="F6" s="5" t="inlineStr">
        <is>
          <t>不正なカーソルは 400 VALIDATION_ERROR（fields.cursor）になる</t>
        </is>
      </c>
      <c r="G6" s="5" t="inlineStr">
        <is>
          <t>前提：なし
入力：""、"bad+base64/="、JSON でない、オブジェクト、数値を含む配列</t>
        </is>
      </c>
      <c r="H6" s="5" t="inlineStr">
        <is>
          <t>AppError、code VALIDATION_ERROR、status 400、fields.cursor が空でない</t>
        </is>
      </c>
      <c r="I6" s="5" t="inlineStr">
        <is>
          <t>B1-T, B2-T, B3-T, B4-T, B5-T</t>
        </is>
      </c>
      <c r="J6" s="5" t="inlineStr">
        <is>
          <t>なし</t>
        </is>
      </c>
      <c r="K6" s="5" t="inlineStr"/>
      <c r="L6" s="5" t="inlineStr"/>
      <c r="M6" s="5" t="inlineStr">
        <is>
          <t>TC-NOUS56_DEV-02 decodeCursor は不正な Base64URL・不正な JSON・文字列の配列でない値で 400 VALIDATION_ERROR（fields.cursor）を投げる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既存テスト：実装時のテスト（NOUS-56）
複数の無効クラスを1件にまとめているため、どの分岐で落ちたかは UT_LIB-005〜010 で1件ずつ確かめる</t>
        </is>
      </c>
    </row>
    <row r="7">
      <c r="A7" s="4" t="n">
        <v>3</v>
      </c>
      <c r="B7" s="4" t="inlineStr">
        <is>
          <t>TC-UT_LIB-001</t>
        </is>
      </c>
      <c r="C7" s="5" t="inlineStr">
        <is>
          <t>encodeCursor</t>
        </is>
      </c>
      <c r="D7" s="4" t="inlineStr">
        <is>
          <t>正常系</t>
        </is>
      </c>
      <c r="E7" s="4" t="inlineStr">
        <is>
          <t>同値分割</t>
        </is>
      </c>
      <c r="F7" s="5" t="inlineStr">
        <is>
          <t>JSON.stringify した文字列を、パディングなしの Base64URL にする（設計書の手順どおりの値になる）</t>
        </is>
      </c>
      <c r="G7" s="5" t="inlineStr">
        <is>
          <t>前提：なし
入力：values = ["a"]</t>
        </is>
      </c>
      <c r="H7" s="5" t="inlineStr">
        <is>
          <t>"WyJhIl0"（'["a"]' の Base64URL。末尾に = を付けない）</t>
        </is>
      </c>
      <c r="I7" s="5" t="inlineStr"/>
      <c r="J7" s="5" t="inlineStr">
        <is>
          <t>なし</t>
        </is>
      </c>
      <c r="K7" s="5" t="inlineStr">
        <is>
          <t>{"values": ["a"]}</t>
        </is>
      </c>
      <c r="L7" s="5" t="inlineStr"/>
      <c r="M7" s="5" t="inlineStr">
        <is>
          <t>TC-UT_LIB-001 encodeCursor は JSON をパディングなしの Base64URL にする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既存テスト：なし（DEV-01 は往復だけで、符号化の値そのものは見ていない）</t>
        </is>
      </c>
    </row>
    <row r="8">
      <c r="A8" s="4" t="n">
        <v>4</v>
      </c>
      <c r="B8" s="4" t="inlineStr">
        <is>
          <t>TC-UT_LIB-002</t>
        </is>
      </c>
      <c r="C8" s="5" t="inlineStr">
        <is>
          <t>encodeCursor / decodeCursor</t>
        </is>
      </c>
      <c r="D8" s="4" t="inlineStr">
        <is>
          <t>正常系</t>
        </is>
      </c>
      <c r="E8" s="4" t="inlineStr">
        <is>
          <t>境界値</t>
        </is>
      </c>
      <c r="F8" s="5" t="inlineStr">
        <is>
          <t>要素が空文字だけの配列（文字列の長さの下限）も往復できる</t>
        </is>
      </c>
      <c r="G8" s="5" t="inlineStr">
        <is>
          <t>前提：なし
入力：values = [""]</t>
        </is>
      </c>
      <c r="H8" s="5" t="inlineStr">
        <is>
          <t>符号化は "WyIiXQ"、復号すると [""]</t>
        </is>
      </c>
      <c r="I8" s="5" t="inlineStr">
        <is>
          <t>B1-F, B2-F, B3-F, B4-F, B5-F</t>
        </is>
      </c>
      <c r="J8" s="5" t="inlineStr">
        <is>
          <t>なし</t>
        </is>
      </c>
      <c r="K8" s="5" t="inlineStr">
        <is>
          <t>{"values": [""]}</t>
        </is>
      </c>
      <c r="L8" s="5" t="inlineStr"/>
      <c r="M8" s="5" t="inlineStr">
        <is>
          <t>TC-UT_LIB-002 空文字だけの配列も往復できる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既存テスト：なし（DEV-01 は空配列 [] まで）</t>
        </is>
      </c>
    </row>
    <row r="9">
      <c r="A9" s="4" t="n">
        <v>5</v>
      </c>
      <c r="B9" s="4" t="inlineStr">
        <is>
          <t>TC-UT_LIB-003</t>
        </is>
      </c>
      <c r="C9" s="5" t="inlineStr">
        <is>
          <t>encodeCursor / decodeCursor</t>
        </is>
      </c>
      <c r="D9" s="4" t="inlineStr">
        <is>
          <t>正常系</t>
        </is>
      </c>
      <c r="E9" s="4" t="inlineStr">
        <is>
          <t>同値分割</t>
        </is>
      </c>
      <c r="F9" s="5" t="inlineStr">
        <is>
          <t>JSON でエスケープが必要な字（"・\・改行）と、サロゲートペアの絵文字・U+2028 を含んでも往復できる</t>
        </is>
      </c>
      <c r="G9" s="5" t="inlineStr">
        <is>
          <t>前提：なし
入力：values = ["say \"hi\"", "a\\b", "1行目\n2行目", "\u{1F600}", "\u2028"]</t>
        </is>
      </c>
      <c r="H9" s="5" t="inlineStr">
        <is>
          <t>復号すると元の配列と等しい</t>
        </is>
      </c>
      <c r="I9" s="5" t="inlineStr">
        <is>
          <t>B1-F, B2-F, B3-F, B4-F, B5-F</t>
        </is>
      </c>
      <c r="J9" s="5" t="inlineStr">
        <is>
          <t>なし</t>
        </is>
      </c>
      <c r="K9" s="5" t="inlineStr"/>
      <c r="L9" s="5" t="inlineStr"/>
      <c r="M9" s="5" t="inlineStr">
        <is>
          <t>TC-UT_LIB-003 エスケープが要る字と絵文字を含んでも往復できる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既存テスト：なし</t>
        </is>
      </c>
    </row>
    <row r="10">
      <c r="A10" s="4" t="n">
        <v>6</v>
      </c>
      <c r="B10" s="4" t="inlineStr">
        <is>
          <t>TC-UT_LIB-004</t>
        </is>
      </c>
      <c r="C10" s="5" t="inlineStr">
        <is>
          <t>decodeCursor</t>
        </is>
      </c>
      <c r="D10" s="4" t="inlineStr">
        <is>
          <t>異常系</t>
        </is>
      </c>
      <c r="E10" s="4" t="inlineStr">
        <is>
          <t>境界値</t>
        </is>
      </c>
      <c r="F10" s="5" t="inlineStr">
        <is>
          <t>cursor が undefined（クエリの省略を呼び出し側が取りこぼした場合）でも、TypeError ではなく 400 になる</t>
        </is>
      </c>
      <c r="G10" s="5" t="inlineStr">
        <is>
          <t>前提：TypeScript の型を外して呼ぶ（as unknown as string）
入力：cursor = undefined</t>
        </is>
      </c>
      <c r="H10" s="5" t="inlineStr">
        <is>
          <t>AppError、code VALIDATION_ERROR、status 400</t>
        </is>
      </c>
      <c r="I10" s="5" t="inlineStr">
        <is>
          <t>B1-T</t>
        </is>
      </c>
      <c r="J10" s="5" t="inlineStr">
        <is>
          <t>なし</t>
        </is>
      </c>
      <c r="K10" s="5" t="inlineStr"/>
      <c r="L10" s="5" t="inlineStr"/>
      <c r="M10" s="5" t="inlineStr">
        <is>
          <t>TC-UT_LIB-004 cursor が undefined でも 400 VALIDATION_ERROR になる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既存テスト：なし（DEV-02 は空文字だけ）</t>
        </is>
      </c>
    </row>
    <row r="11">
      <c r="A11" s="4" t="n">
        <v>7</v>
      </c>
      <c r="B11" s="4" t="inlineStr">
        <is>
          <t>TC-UT_LIB-005</t>
        </is>
      </c>
      <c r="C11" s="5" t="inlineStr">
        <is>
          <t>decodeCursor</t>
        </is>
      </c>
      <c r="D11" s="4" t="inlineStr">
        <is>
          <t>異常系</t>
        </is>
      </c>
      <c r="E11" s="4" t="inlineStr">
        <is>
          <t>境界値</t>
        </is>
      </c>
      <c r="F11" s="5" t="inlineStr">
        <is>
          <t>末尾にパディング（=）の付いた Base64URL は受け付けない（encodeCursor はパディングを付けない）</t>
        </is>
      </c>
      <c r="G11" s="5" t="inlineStr">
        <is>
          <t>前提：なし
入力：cursor = "WyJhIl0="</t>
        </is>
      </c>
      <c r="H11" s="5" t="inlineStr">
        <is>
          <t>AppError、code VALIDATION_ERROR、status 400</t>
        </is>
      </c>
      <c r="I11" s="5" t="inlineStr">
        <is>
          <t>B1-F, B2-T</t>
        </is>
      </c>
      <c r="J11" s="5" t="inlineStr">
        <is>
          <t>なし</t>
        </is>
      </c>
      <c r="K11" s="5" t="inlineStr"/>
      <c r="L11" s="5" t="inlineStr"/>
      <c r="M11" s="5" t="inlineStr">
        <is>
          <t>TC-UT_LIB-005 パディング付きのカーソルは 400 VALIDATION_ERROR になる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既存テスト：一部 TC-NOUS56_DEV-02（"bad+base64/=" は + と / でも落ちるため、= 単独では確かめていない）
設計書はパディングの扱いを書いていない。カーソルは encodeCursor の出力をそのまま返してもらう前提のため、拒否を期待値とした（確認事項 1）</t>
        </is>
      </c>
    </row>
    <row r="12">
      <c r="A12" s="4" t="n">
        <v>8</v>
      </c>
      <c r="B12" s="4" t="inlineStr">
        <is>
          <t>TC-UT_LIB-006</t>
        </is>
      </c>
      <c r="C12" s="5" t="inlineStr">
        <is>
          <t>decodeCursor</t>
        </is>
      </c>
      <c r="D12" s="4" t="inlineStr">
        <is>
          <t>異常系</t>
        </is>
      </c>
      <c r="E12" s="4" t="inlineStr">
        <is>
          <t>同値分割</t>
        </is>
      </c>
      <c r="F12" s="5" t="inlineStr">
        <is>
          <t>空白・改行を含むカーソルは受け付けない</t>
        </is>
      </c>
      <c r="G12" s="5" t="inlineStr">
        <is>
          <t>前提：なし
入力：cursor = "WyJh Il0"、"WyJhIl0\n"</t>
        </is>
      </c>
      <c r="H12" s="5" t="inlineStr">
        <is>
          <t>どちらも AppError、code VALIDATION_ERROR、status 400</t>
        </is>
      </c>
      <c r="I12" s="5" t="inlineStr">
        <is>
          <t>B1-F, B2-T</t>
        </is>
      </c>
      <c r="J12" s="5" t="inlineStr">
        <is>
          <t>なし</t>
        </is>
      </c>
      <c r="K12" s="5" t="inlineStr"/>
      <c r="L12" s="5" t="inlineStr"/>
      <c r="M12" s="5" t="inlineStr">
        <is>
          <t>TC-UT_LIB-006 空白・改行を含むカーソルは 400 VALIDATION_ERROR になる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既存テスト：なし</t>
        </is>
      </c>
    </row>
    <row r="13">
      <c r="A13" s="4" t="n">
        <v>9</v>
      </c>
      <c r="B13" s="4" t="inlineStr">
        <is>
          <t>TC-UT_LIB-007</t>
        </is>
      </c>
      <c r="C13" s="5" t="inlineStr">
        <is>
          <t>decodeCursor</t>
        </is>
      </c>
      <c r="D13" s="4" t="inlineStr">
        <is>
          <t>異常系</t>
        </is>
      </c>
      <c r="E13" s="4" t="inlineStr">
        <is>
          <t>境界値</t>
        </is>
      </c>
      <c r="F13" s="5" t="inlineStr">
        <is>
          <t>Base64URL の字だけだが、長さが 4n+1 で復号すると空になるカーソルは JSON として読めず 400 になる</t>
        </is>
      </c>
      <c r="G13" s="5" t="inlineStr">
        <is>
          <t>前提：なし
入力：cursor = "a"</t>
        </is>
      </c>
      <c r="H13" s="5" t="inlineStr">
        <is>
          <t>AppError、code VALIDATION_ERROR、status 400</t>
        </is>
      </c>
      <c r="I13" s="5" t="inlineStr">
        <is>
          <t>B1-F, B2-F, B3-T</t>
        </is>
      </c>
      <c r="J13" s="5" t="inlineStr">
        <is>
          <t>なし</t>
        </is>
      </c>
      <c r="K13" s="5" t="inlineStr"/>
      <c r="L13" s="5" t="inlineStr"/>
      <c r="M13" s="5" t="inlineStr">
        <is>
          <t>TC-UT_LIB-007 復号すると空になる 1 字のカーソルは 400 VALIDATION_ERROR になる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既存テスト：なし</t>
        </is>
      </c>
    </row>
    <row r="14">
      <c r="A14" s="4" t="n">
        <v>10</v>
      </c>
      <c r="B14" s="4" t="inlineStr">
        <is>
          <t>TC-UT_LIB-008</t>
        </is>
      </c>
      <c r="C14" s="5" t="inlineStr">
        <is>
          <t>decodeCursor</t>
        </is>
      </c>
      <c r="D14" s="4" t="inlineStr">
        <is>
          <t>異常系</t>
        </is>
      </c>
      <c r="E14" s="4" t="inlineStr">
        <is>
          <t>同値分割</t>
        </is>
      </c>
      <c r="F14" s="5" t="inlineStr">
        <is>
          <t>JSON の null（配列でない値のうち、typeof が object のもの）は 400 になる</t>
        </is>
      </c>
      <c r="G14" s="5" t="inlineStr">
        <is>
          <t>前提：なし
入力：cursor = "bnVsbA"（'null' の Base64URL）</t>
        </is>
      </c>
      <c r="H14" s="5" t="inlineStr">
        <is>
          <t>AppError、code VALIDATION_ERROR、status 400</t>
        </is>
      </c>
      <c r="I14" s="5" t="inlineStr">
        <is>
          <t>B1-F, B2-F, B3-F, B4-T</t>
        </is>
      </c>
      <c r="J14" s="5" t="inlineStr">
        <is>
          <t>なし</t>
        </is>
      </c>
      <c r="K14" s="5" t="inlineStr"/>
      <c r="L14" s="5" t="inlineStr"/>
      <c r="M14" s="5" t="inlineStr">
        <is>
          <t>TC-UT_LIB-008 JSON の null は 400 VALIDATION_ERROR になる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既存テスト：なし（DEV-02 はオブジェクトだけ）</t>
        </is>
      </c>
    </row>
    <row r="15">
      <c r="A15" s="4" t="n">
        <v>11</v>
      </c>
      <c r="B15" s="4" t="inlineStr">
        <is>
          <t>TC-UT_LIB-009</t>
        </is>
      </c>
      <c r="C15" s="5" t="inlineStr">
        <is>
          <t>decodeCursor</t>
        </is>
      </c>
      <c r="D15" s="4" t="inlineStr">
        <is>
          <t>異常系</t>
        </is>
      </c>
      <c r="E15" s="4" t="inlineStr">
        <is>
          <t>同値分割</t>
        </is>
      </c>
      <c r="F15" s="5" t="inlineStr">
        <is>
          <t>配列の要素に文字列でないもの（入れ子の配列・null）があれば 400 になる</t>
        </is>
      </c>
      <c r="G15" s="5" t="inlineStr">
        <is>
          <t>前提：なし
入力：cursor = '[["a"]]' の Base64URL、'["a",null]' の Base64URL</t>
        </is>
      </c>
      <c r="H15" s="5" t="inlineStr">
        <is>
          <t>どちらも AppError、code VALIDATION_ERROR、status 400</t>
        </is>
      </c>
      <c r="I15" s="5" t="inlineStr">
        <is>
          <t>B1-F, B2-F, B3-F, B4-F, B5-T</t>
        </is>
      </c>
      <c r="J15" s="5" t="inlineStr">
        <is>
          <t>なし</t>
        </is>
      </c>
      <c r="K15" s="5" t="inlineStr"/>
      <c r="L15" s="5" t="inlineStr"/>
      <c r="M15" s="5" t="inlineStr">
        <is>
          <t>TC-UT_LIB-009 文字列でない要素を含む配列は 400 VALIDATION_ERROR になる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既存テスト：一部 TC-NOUS56_DEV-02（数値の要素だけ）</t>
        </is>
      </c>
    </row>
    <row r="16">
      <c r="A16" s="4" t="n">
        <v>12</v>
      </c>
      <c r="B16" s="4" t="inlineStr">
        <is>
          <t>TC-UT_LIB-010</t>
        </is>
      </c>
      <c r="C16" s="5" t="inlineStr">
        <is>
          <t>decodeCursor</t>
        </is>
      </c>
      <c r="D16" s="4" t="inlineStr">
        <is>
          <t>異常系</t>
        </is>
      </c>
      <c r="E16" s="4" t="inlineStr">
        <is>
          <t>エラー処理</t>
        </is>
      </c>
      <c r="F16" s="5" t="inlineStr">
        <is>
          <t>どの分岐で落ちても、画面に出す項目のエラー（fields.cursor）が同じ文言になる</t>
        </is>
      </c>
      <c r="G16" s="5" t="inlineStr">
        <is>
          <t>前提：なし
入力：B1・B2・B3・B4・B5 で落ちる代表値を1つずつ（""、"WyJhIl0="、"a"、"bnVsbA"、'[1]' の Base64URL）</t>
        </is>
      </c>
      <c r="H16" s="5" t="inlineStr">
        <is>
          <t>どれも fields.cursor が "カーソルが正しくありません"、message は VALIDATION_ERROR の既定の文言</t>
        </is>
      </c>
      <c r="I16" s="5" t="inlineStr">
        <is>
          <t>B1-T, B2-T, B3-T, B4-T, B5-T</t>
        </is>
      </c>
      <c r="J16" s="5" t="inlineStr">
        <is>
          <t>なし</t>
        </is>
      </c>
      <c r="K16" s="5" t="inlineStr"/>
      <c r="L16" s="5" t="inlineStr"/>
      <c r="M16" s="5" t="inlineStr">
        <is>
          <t>TC-UT_LIB-010 どの分岐で落ちても fields.cursor は同じ文言になる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既存テスト：一部 TC-NOUS56_DEV-02（fields.cursor が空でないことだけ）
文言は実装の値。設計書は fields.cursor を返すことまでを決めている</t>
        </is>
      </c>
    </row>
  </sheetData>
  <autoFilter ref="A4:Q16"/>
  <conditionalFormatting sqref="A5:Q66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66" showDropDown="0" showInputMessage="0" showErrorMessage="0" allowBlank="1" type="list">
      <formula1>"未実施,OK,NG,保留,対象外"</formula1>
    </dataValidation>
    <dataValidation sqref="D5:D66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COUNTA(観点表!$B$5:$B$66)</f>
        <v/>
      </c>
    </row>
    <row r="6">
      <c r="A6" s="10" t="inlineStr">
        <is>
          <t>正常系</t>
        </is>
      </c>
      <c r="B6" s="10">
        <f>COUNTIF(観点表!$D$5:$D$66,"正常系")</f>
        <v/>
      </c>
    </row>
    <row r="7">
      <c r="A7" s="10" t="inlineStr">
        <is>
          <t>異常系</t>
        </is>
      </c>
      <c r="B7" s="10">
        <f>COUNTIF(観点表!$D$5:$D$66,"異常系")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COUNTIF(観点表!$E$5:$E$66,"エラー処理")</f>
        <v/>
      </c>
    </row>
    <row r="11">
      <c r="A11" s="10" t="inlineStr">
        <is>
          <t>同値分割</t>
        </is>
      </c>
      <c r="B11" s="10">
        <f>COUNTIF(観点表!$E$5:$E$66,"同値分割")</f>
        <v/>
      </c>
    </row>
    <row r="12">
      <c r="A12" s="10" t="inlineStr">
        <is>
          <t>境界値</t>
        </is>
      </c>
      <c r="B12" s="10">
        <f>COUNTIF(観点表!$E$5:$E$66,"境界値")</f>
        <v/>
      </c>
    </row>
    <row r="13">
      <c r="A13" s="10" t="inlineStr">
        <is>
          <t>開発者テスト</t>
        </is>
      </c>
      <c r="B13" s="10">
        <f>COUNTIF(観点表!$E$5:$E$66,"開発者テスト")</f>
        <v/>
      </c>
    </row>
    <row r="15">
      <c r="A15" s="8" t="inlineStr">
        <is>
          <t>テストデータ</t>
        </is>
      </c>
      <c r="B15" s="9" t="n"/>
      <c r="C15" s="9" t="n"/>
    </row>
    <row r="16">
      <c r="A16" s="10" t="inlineStr">
        <is>
          <t>作成済み</t>
        </is>
      </c>
      <c r="B16" s="10">
        <f>COUNTIF(観点表!$K$5:$K$66,"?*")</f>
        <v/>
      </c>
    </row>
    <row r="17">
      <c r="A17" s="10" t="inlineStr">
        <is>
          <t>未作成</t>
        </is>
      </c>
      <c r="B17" s="10">
        <f>B5-B16</f>
        <v/>
      </c>
    </row>
    <row r="19">
      <c r="A19" s="8" t="inlineStr">
        <is>
          <t>実施状況</t>
        </is>
      </c>
      <c r="B19" s="9" t="n"/>
      <c r="C19" s="9" t="n"/>
    </row>
    <row r="20">
      <c r="A20" s="10" t="inlineStr">
        <is>
          <t>未実施</t>
        </is>
      </c>
      <c r="B20" s="10">
        <f>COUNTIF(観点表!$N$5:$N$66,"未実施")</f>
        <v/>
      </c>
    </row>
    <row r="21">
      <c r="A21" s="10" t="inlineStr">
        <is>
          <t>OK</t>
        </is>
      </c>
      <c r="B21" s="10">
        <f>COUNTIF(観点表!$N$5:$N$66,"OK")</f>
        <v/>
      </c>
    </row>
    <row r="22">
      <c r="A22" s="10" t="inlineStr">
        <is>
          <t>NG</t>
        </is>
      </c>
      <c r="B22" s="10">
        <f>COUNTIF(観点表!$N$5:$N$66,"NG")</f>
        <v/>
      </c>
    </row>
    <row r="23">
      <c r="A23" s="10" t="inlineStr">
        <is>
          <t>保留</t>
        </is>
      </c>
      <c r="B23" s="10">
        <f>COUNTIF(観点表!$N$5:$N$66,"保留")</f>
        <v/>
      </c>
    </row>
    <row r="24">
      <c r="A24" s="10" t="inlineStr">
        <is>
          <t>対象外</t>
        </is>
      </c>
      <c r="B24" s="10">
        <f>COUNTIF(観点表!$N$5:$N$66,"対象外")</f>
        <v/>
      </c>
    </row>
    <row r="25">
      <c r="A25" s="10" t="inlineStr">
        <is>
          <t>消化率（未実施以外 / 総数）</t>
        </is>
      </c>
      <c r="B25" s="11">
        <f>IF(B5=0,0,(B5-B20)/B5)</f>
        <v/>
      </c>
    </row>
    <row r="26">
      <c r="A26" s="10" t="inlineStr">
        <is>
          <t>合格率（OK / (総数-対象外)）</t>
        </is>
      </c>
      <c r="B26" s="11">
        <f>IF(B5-B24=0,0,B21/(B5-B24))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TC-NOUS56_DEV-01</t>
        </is>
      </c>
      <c r="B5" s="13" t="inlineStr">
        <is>
          <t>文字列の配列を符号化して復号すると元に戻る（2要素・空配列・日本語と記号）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TC-NOUS56_DEV-02</t>
        </is>
      </c>
      <c r="B6" s="13" t="inlineStr">
        <is>
          <t>不正なカーソルは 400 VALIDATION_ERROR（fields.cursor）になる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4" t="inlineStr">
        <is>
          <t>TC-UT_LIB-001</t>
        </is>
      </c>
      <c r="B7" s="14" t="inlineStr">
        <is>
          <t>JSON.stringify した文字列を、パディングなしの Base64URL にする（設計書の手順どおりの値になる）</t>
        </is>
      </c>
      <c r="C7" s="14" t="inlineStr">
        <is>
          <t>入力</t>
        </is>
      </c>
      <c r="D7" s="14" t="inlineStr">
        <is>
          <t>values</t>
        </is>
      </c>
      <c r="E7" s="14" t="inlineStr">
        <is>
          <t>["a"]</t>
        </is>
      </c>
      <c r="F7" s="14" t="inlineStr"/>
    </row>
    <row r="8">
      <c r="A8" s="14" t="inlineStr">
        <is>
          <t>TC-UT_LIB-001</t>
        </is>
      </c>
      <c r="B8" s="14" t="inlineStr">
        <is>
          <t>JSON.stringify した文字列を、パディングなしの Base64URL にする（設計書の手順どおりの値になる）</t>
        </is>
      </c>
      <c r="C8" s="14" t="inlineStr">
        <is>
          <t>期待値</t>
        </is>
      </c>
      <c r="D8" s="14" t="inlineStr">
        <is>
          <t>(戻り値・結果)</t>
        </is>
      </c>
      <c r="E8" s="14" t="inlineStr">
        <is>
          <t>WyJhIl0</t>
        </is>
      </c>
      <c r="F8" s="14" t="inlineStr"/>
    </row>
    <row r="9">
      <c r="A9" s="14" t="inlineStr">
        <is>
          <t>TC-UT_LIB-002</t>
        </is>
      </c>
      <c r="B9" s="14" t="inlineStr">
        <is>
          <t>要素が空文字だけの配列（文字列の長さの下限）も往復できる</t>
        </is>
      </c>
      <c r="C9" s="14" t="inlineStr">
        <is>
          <t>入力</t>
        </is>
      </c>
      <c r="D9" s="14" t="inlineStr">
        <is>
          <t>values</t>
        </is>
      </c>
      <c r="E9" s="14" t="inlineStr">
        <is>
          <t>[""]</t>
        </is>
      </c>
      <c r="F9" s="14" t="inlineStr"/>
    </row>
    <row r="10">
      <c r="A10" s="14" t="inlineStr">
        <is>
          <t>TC-UT_LIB-002</t>
        </is>
      </c>
      <c r="B10" s="14" t="inlineStr">
        <is>
          <t>要素が空文字だけの配列（文字列の長さの下限）も往復できる</t>
        </is>
      </c>
      <c r="C10" s="14" t="inlineStr">
        <is>
          <t>期待値</t>
        </is>
      </c>
      <c r="D10" s="14" t="inlineStr">
        <is>
          <t>(戻り値・結果)</t>
        </is>
      </c>
      <c r="E10" s="14" t="inlineStr">
        <is>
          <t>{"encoded": "WyIiXQ", "decoded": [""]}</t>
        </is>
      </c>
      <c r="F10" s="14" t="inlineStr"/>
    </row>
    <row r="11">
      <c r="A11" s="13" t="inlineStr">
        <is>
          <t>TC-UT_LIB-003</t>
        </is>
      </c>
      <c r="B11" s="13" t="inlineStr">
        <is>
          <t>JSON でエスケープが必要な字（"・\・改行）と、サロゲートペアの絵文字・U+2028 を含んでも往復できる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TC-UT_LIB-004</t>
        </is>
      </c>
      <c r="B12" s="13" t="inlineStr">
        <is>
          <t>cursor が undefined（クエリの省略を呼び出し側が取りこぼした場合）でも、TypeError ではなく 400 になる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TC-UT_LIB-005</t>
        </is>
      </c>
      <c r="B13" s="13" t="inlineStr">
        <is>
          <t>末尾にパディング（=）の付いた Base64URL は受け付けない（encodeCursor はパディングを付けない）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TC-UT_LIB-006</t>
        </is>
      </c>
      <c r="B14" s="13" t="inlineStr">
        <is>
          <t>空白・改行を含むカーソルは受け付けない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TC-UT_LIB-007</t>
        </is>
      </c>
      <c r="B15" s="13" t="inlineStr">
        <is>
          <t>Base64URL の字だけだが、長さが 4n+1 で復号すると空になるカーソルは JSON として読めず 400 になる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TC-UT_LIB-008</t>
        </is>
      </c>
      <c r="B16" s="13" t="inlineStr">
        <is>
          <t>JSON の null（配列でない値のうち、typeof が object のもの）は 400 になる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TC-UT_LIB-009</t>
        </is>
      </c>
      <c r="B17" s="13" t="inlineStr">
        <is>
          <t>配列の要素に文字列でないもの（入れ子の配列・null）があれば 400 になる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TC-UT_LIB-010</t>
        </is>
      </c>
      <c r="B18" s="13" t="inlineStr">
        <is>
          <t>どの分岐で落ちても、画面に出す項目のエラー（fields.cursor）が同じ文言になる</t>
        </is>
      </c>
      <c r="C18" s="13" t="inlineStr">
        <is>
          <t>未作成</t>
        </is>
      </c>
      <c r="D18" s="13" t="inlineStr"/>
      <c r="E18" s="13" t="inlineStr"/>
      <c r="F18" s="13" t="inlineStr"/>
    </row>
  </sheetData>
  <autoFilter ref="A4:F18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5" t="inlineStr">
        <is>
          <t>タイトル</t>
        </is>
      </c>
      <c r="B3" s="16" t="inlineStr">
        <is>
          <t>ページ送りのカーソル（lib/cursor.ts）</t>
        </is>
      </c>
    </row>
    <row r="4">
      <c r="A4" s="15" t="inlineStr">
        <is>
          <t>対象ファイル</t>
        </is>
      </c>
      <c r="B4" s="16" t="inlineStr">
        <is>
          <t>apps/server/src/lib/cursor.ts</t>
        </is>
      </c>
    </row>
    <row r="5">
      <c r="A5" s="15" t="inlineStr">
        <is>
          <t>言語 / フレームワーク</t>
        </is>
      </c>
      <c r="B5" s="16" t="inlineStr">
        <is>
          <t>TypeScript / Vitest 2.1.9（environment: node）</t>
        </is>
      </c>
    </row>
    <row r="6">
      <c r="A6" s="15" t="inlineStr">
        <is>
          <t>テストファイル</t>
        </is>
      </c>
      <c r="B6" s="16" t="inlineStr">
        <is>
          <t>apps/server/src/lib/cursor.test.ts（実装時、NOUS-56）, apps/server/src/lib/cursor.ut.test.ts（単体テストで追加）</t>
        </is>
      </c>
    </row>
    <row r="7">
      <c r="A7" s="15" t="inlineStr">
        <is>
          <t>外部依存</t>
        </is>
      </c>
      <c r="B7" s="16" t="inlineStr">
        <is>
          <t>なし（Buffer と JSON だけを使う純粋関数）</t>
        </is>
      </c>
    </row>
    <row r="8">
      <c r="A8" s="15" t="inlineStr">
        <is>
          <t>作成日</t>
        </is>
      </c>
      <c r="B8" s="16" t="inlineStr">
        <is>
          <t>2026-10-23</t>
        </is>
      </c>
    </row>
    <row r="10">
      <c r="A10" s="17" t="inlineStr">
        <is>
          <t>分岐ID</t>
        </is>
      </c>
      <c r="B10" s="17" t="inlineStr">
        <is>
          <t>条件</t>
        </is>
      </c>
      <c r="C10" s="17" t="inlineStr">
        <is>
          <t>場所</t>
        </is>
      </c>
    </row>
    <row r="11">
      <c r="A11" s="14" t="inlineStr">
        <is>
          <t>B1</t>
        </is>
      </c>
      <c r="B11" s="14" t="inlineStr">
        <is>
          <t>!cursor（空文字・undefined）</t>
        </is>
      </c>
      <c r="C11" s="14" t="inlineStr">
        <is>
          <t>cursor.ts:16</t>
        </is>
      </c>
    </row>
    <row r="12">
      <c r="A12" s="14" t="inlineStr">
        <is>
          <t>B2</t>
        </is>
      </c>
      <c r="B12" s="14" t="inlineStr">
        <is>
          <t>!BASE64URL_PATTERN.test(cursor)（Base64URL の字以外を含む）</t>
        </is>
      </c>
      <c r="C12" s="14" t="inlineStr">
        <is>
          <t>cursor.ts:16</t>
        </is>
      </c>
    </row>
    <row r="13">
      <c r="A13" s="14" t="inlineStr">
        <is>
          <t>B3</t>
        </is>
      </c>
      <c r="B13" s="14" t="inlineStr">
        <is>
          <t>Base64URL の復号・JSON.parse で例外</t>
        </is>
      </c>
      <c r="C13" s="14" t="inlineStr">
        <is>
          <t>cursor.ts:20-24</t>
        </is>
      </c>
    </row>
    <row r="14">
      <c r="A14" s="14" t="inlineStr">
        <is>
          <t>B4</t>
        </is>
      </c>
      <c r="B14" s="14" t="inlineStr">
        <is>
          <t>!Array.isArray(parsed)</t>
        </is>
      </c>
      <c r="C14" s="14" t="inlineStr">
        <is>
          <t>cursor.ts:26</t>
        </is>
      </c>
    </row>
    <row r="15">
      <c r="A15" s="14" t="inlineStr">
        <is>
          <t>B5</t>
        </is>
      </c>
      <c r="B15" s="14" t="inlineStr">
        <is>
          <t>配列に文字列でない要素がある（every の偽）</t>
        </is>
      </c>
      <c r="C15" s="14" t="inlineStr">
        <is>
          <t>cursor.ts:26</t>
        </is>
      </c>
    </row>
    <row r="17">
      <c r="A17" s="15" t="inlineStr">
        <is>
          <t>確認事項・潜在バグ</t>
        </is>
      </c>
    </row>
    <row r="18" ht="30" customHeight="1">
      <c r="A18" s="18" t="inlineStr">
        <is>
          <t>・確認事項 1：設計書（admin_auth 4章）はパディング付きの Base64URL の扱いを決めていない。encodeCursor の出力だけが渡る前提で、拒否を期待値にした（TC-UT_LIB-005）。</t>
        </is>
      </c>
    </row>
    <row r="19" ht="30" customHeight="1">
      <c r="A19" s="18" t="inlineStr">
        <is>
          <t>・確認事項 2：decodeCursor と、呼び出し側の Zod（auditRoutes の cursor: z.string()）にカーソルの長さの上限がない。長い文字列でも復号と JSON.parse を行う。観察 API も同じ関数を使うため、上限を設けるかは観察サーバーの観点（NOUS-105）とあわせて確認する。バグの疑いではなく確認事項として扱う。</t>
        </is>
      </c>
    </row>
  </sheetData>
  <mergeCells count="2">
    <mergeCell ref="A18:C18"/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2026-10-23T07:03:30Z</dcterms:created>
  <dcterms:modified xsi:type="dcterms:W3CDTF">2026-10-23T07:03:30Z</dcterms:modified>
</cp:coreProperties>
</file>