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'観点表'!$A$4:$Q$37</definedName>
    <definedName name="_xlnm.Print_Titles" localSheetId="0">'観点表'!$4:$4</definedName>
    <definedName name="_xlnm._FilterDatabase" localSheetId="2" hidden="1">'テストデータ'!$A$4:$F$37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管理画面の枠と共通部品（apps/admin/src の layout・shared）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TC-NOUS50_DEV-18</t>
        </is>
      </c>
      <c r="C5" s="5" t="inlineStr">
        <is>
          <t>formatWorldTime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世界内時間を「第 N 日 HH:MM」にする</t>
        </is>
      </c>
      <c r="G5" s="5" t="inlineStr">
        <is>
          <t>前提：なし
入力：0、86,399、86,400、7,260</t>
        </is>
      </c>
      <c r="H5" s="5" t="inlineStr">
        <is>
          <t>第 1 日 00:00、第 1 日 23:59、第 2 日 00:00、第 1 日 02:01</t>
        </is>
      </c>
      <c r="I5" s="5" t="inlineStr">
        <is>
          <t>B1-F</t>
        </is>
      </c>
      <c r="J5" s="5" t="inlineStr">
        <is>
          <t>なし</t>
        </is>
      </c>
      <c r="K5" s="5" t="inlineStr"/>
      <c r="L5" s="5" t="inlineStr"/>
      <c r="M5" s="5" t="inlineStr">
        <is>
          <t>TC-NOUS50_DEV-18 世界内時間を「第 N 日 HH:MM」にする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既存テスト：実装時のテスト（NOUS-50）</t>
        </is>
      </c>
    </row>
    <row r="6">
      <c r="A6" s="4" t="n">
        <v>2</v>
      </c>
      <c r="B6" s="4" t="inlineStr">
        <is>
          <t>TC-NOUS50_DEV-19</t>
        </is>
      </c>
      <c r="C6" s="5" t="inlineStr">
        <is>
          <t>formatStopReason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停止理由を日本語にする</t>
        </is>
      </c>
      <c r="G6" s="5" t="inlineStr">
        <is>
          <t>前提：なし
入力：5 つの理由と null</t>
        </is>
      </c>
      <c r="H6" s="5" t="inlineStr">
        <is>
          <t>各日本語、null は空</t>
        </is>
      </c>
      <c r="I6" s="5" t="inlineStr">
        <is>
          <t>B2-T, B2-F, B3-F</t>
        </is>
      </c>
      <c r="J6" s="5" t="inlineStr">
        <is>
          <t>なし</t>
        </is>
      </c>
      <c r="K6" s="5" t="inlineStr"/>
      <c r="L6" s="5" t="inlineStr"/>
      <c r="M6" s="5" t="inlineStr">
        <is>
          <t>TC-NOUS50_DEV-19 停止理由を日本語にする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既存テスト：実装時のテスト（NOUS-50）</t>
        </is>
      </c>
    </row>
    <row r="7">
      <c r="A7" s="4" t="n">
        <v>3</v>
      </c>
      <c r="B7" s="4" t="inlineStr">
        <is>
          <t>TC-NOUS50_DEV-20</t>
        </is>
      </c>
      <c r="C7" s="5" t="inlineStr">
        <is>
          <t>WorldStateBadge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状態の色と、上限停止のときは理由を出す</t>
        </is>
      </c>
      <c r="G7" s="5" t="inlineStr">
        <is>
          <t>前提：なし
入力：limit_stopped・runs_limit</t>
        </is>
      </c>
      <c r="H7" s="5" t="inlineStr">
        <is>
          <t>「上限停止（生成の回数の上限）」、背景 #EA580C</t>
        </is>
      </c>
      <c r="I7" s="5" t="inlineStr">
        <is>
          <t>B4-T</t>
        </is>
      </c>
      <c r="J7" s="5" t="inlineStr">
        <is>
          <t>なし</t>
        </is>
      </c>
      <c r="K7" s="5" t="inlineStr"/>
      <c r="L7" s="5" t="inlineStr"/>
      <c r="M7" s="5" t="inlineStr">
        <is>
          <t>TC-NOUS50_DEV-20 WorldStateBadge は状態の色と、上限停止のときは理由を出す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既存テスト：実装時のテスト（NOUS-50）</t>
        </is>
      </c>
    </row>
    <row r="8">
      <c r="A8" s="4" t="n">
        <v>4</v>
      </c>
      <c r="B8" s="4" t="inlineStr">
        <is>
          <t>TC-NOUS50_DEV-21</t>
        </is>
      </c>
      <c r="C8" s="5" t="inlineStr">
        <is>
          <t>ErrorBanner / FieldError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message がなければ何も出さない</t>
        </is>
      </c>
      <c r="G8" s="5" t="inlineStr">
        <is>
          <t>前提：なし
入力：ErrorBanner null、FieldError 引数なし、その後 ErrorBanner に文言</t>
        </is>
      </c>
      <c r="H8" s="5" t="inlineStr">
        <is>
          <t>何も出さない、文言の alert</t>
        </is>
      </c>
      <c r="I8" s="5" t="inlineStr">
        <is>
          <t>B21-T, B21-F, B22-F, B23-T</t>
        </is>
      </c>
      <c r="J8" s="5" t="inlineStr">
        <is>
          <t>なし</t>
        </is>
      </c>
      <c r="K8" s="5" t="inlineStr"/>
      <c r="L8" s="5" t="inlineStr"/>
      <c r="M8" s="5" t="inlineStr">
        <is>
          <t>TC-NOUS50_DEV-21 ErrorBanner・FieldError は message がなければ何も出さない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既存テスト：実装時のテスト（NOUS-50）</t>
        </is>
      </c>
    </row>
    <row r="9">
      <c r="A9" s="4" t="n">
        <v>5</v>
      </c>
      <c r="B9" s="4" t="inlineStr">
        <is>
          <t>TC-NOUS50_DEV-22</t>
        </is>
      </c>
      <c r="C9" s="5" t="inlineStr">
        <is>
          <t>ConfirmDialog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確定とキャンセルを呼び分け、送信中は押せない</t>
        </is>
      </c>
      <c r="G9" s="5" t="inlineStr">
        <is>
          <t>前提：なし
入力：確定・キャンセル</t>
        </is>
      </c>
      <c r="H9" s="5" t="inlineStr">
        <is>
          <t>onConfirm・onCancel を呼び分け、送信中は disabled</t>
        </is>
      </c>
      <c r="I9" s="5" t="inlineStr"/>
      <c r="J9" s="5" t="inlineStr">
        <is>
          <t>なし</t>
        </is>
      </c>
      <c r="K9" s="5" t="inlineStr"/>
      <c r="L9" s="5" t="inlineStr"/>
      <c r="M9" s="5" t="inlineStr">
        <is>
          <t>TC-NOUS50_DEV-22 ConfirmDialog は確定とキャンセルを呼び分け、送信中は押せない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既存テスト：実装時のテスト（NOUS-50）</t>
        </is>
      </c>
    </row>
    <row r="10">
      <c r="A10" s="4" t="n">
        <v>6</v>
      </c>
      <c r="B10" s="4" t="inlineStr">
        <is>
          <t>TC-NOUS50_DEV-23</t>
        </is>
      </c>
      <c r="C10" s="5" t="inlineStr">
        <is>
          <t>ToastProvider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トーストは 4 秒で消える</t>
        </is>
      </c>
      <c r="G10" s="5" t="inlineStr">
        <is>
          <t>前提：vi.useFakeTimers
入力：showToast</t>
        </is>
      </c>
      <c r="H10" s="5" t="inlineStr">
        <is>
          <t>4 秒後に消える</t>
        </is>
      </c>
      <c r="I10" s="5" t="inlineStr"/>
      <c r="J10" s="5" t="inlineStr">
        <is>
          <t>vi.useFakeTimers</t>
        </is>
      </c>
      <c r="K10" s="5" t="inlineStr"/>
      <c r="L10" s="5" t="inlineStr"/>
      <c r="M10" s="5" t="inlineStr">
        <is>
          <t>TC-NOUS50_DEV-23 トーストは 4 秒で消える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既存テスト：実装時のテスト（NOUS-50）</t>
        </is>
      </c>
    </row>
    <row r="11">
      <c r="A11" s="4" t="n">
        <v>7</v>
      </c>
      <c r="B11" s="4" t="inlineStr">
        <is>
          <t>TC-NOUS50_DEV-24</t>
        </is>
      </c>
      <c r="C11" s="5" t="inlineStr">
        <is>
          <t>DataTable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0 件で emptyMessage、行を押すと onRowClick</t>
        </is>
      </c>
      <c r="G11" s="5" t="inlineStr">
        <is>
          <t>前提：なし
入力：rows 0 件と 1 件</t>
        </is>
      </c>
      <c r="H11" s="5" t="inlineStr">
        <is>
          <t>emptyMessage、onRowClick が呼ばれる</t>
        </is>
      </c>
      <c r="I11" s="5" t="inlineStr">
        <is>
          <t>B27-T, B27-F, B28-T</t>
        </is>
      </c>
      <c r="J11" s="5" t="inlineStr">
        <is>
          <t>なし</t>
        </is>
      </c>
      <c r="K11" s="5" t="inlineStr"/>
      <c r="L11" s="5" t="inlineStr"/>
      <c r="M11" s="5" t="inlineStr">
        <is>
          <t>TC-NOUS50_DEV-24 DataTable は 0 件で emptyMessage、行を押すと onRowClick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既存テスト：実装時のテスト（NOUS-50）</t>
        </is>
      </c>
    </row>
    <row r="12">
      <c r="A12" s="4" t="n">
        <v>8</v>
      </c>
      <c r="B12" s="4" t="inlineStr">
        <is>
          <t>TC-NOUS50_DEV-25</t>
        </is>
      </c>
      <c r="C12" s="5" t="inlineStr">
        <is>
          <t>TextField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文字数を出し、error を入力欄の下に出す</t>
        </is>
      </c>
      <c r="G12" s="5" t="inlineStr">
        <is>
          <t>前提：なし
入力：value・maxLength・error</t>
        </is>
      </c>
      <c r="H12" s="5" t="inlineStr">
        <is>
          <t>「n/max」と error の文言</t>
        </is>
      </c>
      <c r="I12" s="5" t="inlineStr">
        <is>
          <t>B24-F, B25-F, B26-F, B29-T, B23-F</t>
        </is>
      </c>
      <c r="J12" s="5" t="inlineStr">
        <is>
          <t>なし</t>
        </is>
      </c>
      <c r="K12" s="5" t="inlineStr"/>
      <c r="L12" s="5" t="inlineStr"/>
      <c r="M12" s="5" t="inlineStr">
        <is>
          <t>TC-NOUS50_DEV-25 TextField は文字数を出し、error を入力欄の下に出す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既存テスト：実装時のテスト（NOUS-50）</t>
        </is>
      </c>
    </row>
    <row r="13">
      <c r="A13" s="4" t="n">
        <v>9</v>
      </c>
      <c r="B13" s="4" t="inlineStr">
        <is>
          <t>TC-NOUS50_DEV-26</t>
        </is>
      </c>
      <c r="C13" s="5" t="inlineStr">
        <is>
          <t>useApiErrorHandler</t>
        </is>
      </c>
      <c r="D13" s="4" t="inlineStr">
        <is>
          <t>異常系</t>
        </is>
      </c>
      <c r="E13" s="4" t="inlineStr">
        <is>
          <t>開発者テスト</t>
        </is>
      </c>
      <c r="F13" s="5" t="inlineStr">
        <is>
          <t>401 は様式①（ログインの有効期限）で、OK の後に /login</t>
        </is>
      </c>
      <c r="G13" s="5" t="inlineStr">
        <is>
          <t>前提：SessionProvider・ErrorProvider
入力：ApiError(401)</t>
        </is>
      </c>
      <c r="H13" s="5" t="inlineStr">
        <is>
          <t>modal { 有効期限の文言, redirectTo /login }</t>
        </is>
      </c>
      <c r="I13" s="5" t="inlineStr">
        <is>
          <t>B8-T, B9-T</t>
        </is>
      </c>
      <c r="J13" s="5" t="inlineStr">
        <is>
          <t>fetch を mockFetch で差し替え</t>
        </is>
      </c>
      <c r="K13" s="5" t="inlineStr"/>
      <c r="L13" s="5" t="inlineStr"/>
      <c r="M13" s="5" t="inlineStr">
        <is>
          <t>TC-NOUS50_DEV-26 401 は様式①（ログインの有効期限）で、OK の後に /login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既存テスト：実装時のテスト（NOUS-50）</t>
        </is>
      </c>
    </row>
    <row r="14">
      <c r="A14" s="4" t="n">
        <v>10</v>
      </c>
      <c r="B14" s="4" t="inlineStr">
        <is>
          <t>TC-NOUS50_DEV-27</t>
        </is>
      </c>
      <c r="C14" s="5" t="inlineStr">
        <is>
          <t>useApiErrorHandler</t>
        </is>
      </c>
      <c r="D14" s="4" t="inlineStr">
        <is>
          <t>異常系</t>
        </is>
      </c>
      <c r="E14" s="4" t="inlineStr">
        <is>
          <t>開発者テスト</t>
        </is>
      </c>
      <c r="F14" s="5" t="inlineStr">
        <is>
          <t>409 は様式②に画面の文言を出し、指定のクエリを再取得する</t>
        </is>
      </c>
      <c r="G14" s="5" t="inlineStr">
        <is>
          <t>前提：同上
入力：ApiError(409)、conflictMessage は文字列、invalidateKeys</t>
        </is>
      </c>
      <c r="H14" s="5" t="inlineStr">
        <is>
          <t>banner に画面の文言、invalidateQueries</t>
        </is>
      </c>
      <c r="I14" s="5" t="inlineStr">
        <is>
          <t>B9-F, B10-F, B11-T, B12-F, B13-F</t>
        </is>
      </c>
      <c r="J14" s="5" t="inlineStr">
        <is>
          <t>fetch を mockFetch で差し替え</t>
        </is>
      </c>
      <c r="K14" s="5" t="inlineStr"/>
      <c r="L14" s="5" t="inlineStr"/>
      <c r="M14" s="5" t="inlineStr">
        <is>
          <t>TC-NOUS50_DEV-27 409 は様式②に画面の文言を出し、指定のクエリを再取得する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既存テスト：実装時のテスト（NOUS-50）</t>
        </is>
      </c>
    </row>
    <row r="15">
      <c r="A15" s="4" t="n">
        <v>11</v>
      </c>
      <c r="B15" s="4" t="inlineStr">
        <is>
          <t>TC-NOUS50_DEV-28</t>
        </is>
      </c>
      <c r="C15" s="5" t="inlineStr">
        <is>
          <t>useApiErrorHandler</t>
        </is>
      </c>
      <c r="D15" s="4" t="inlineStr">
        <is>
          <t>異常系</t>
        </is>
      </c>
      <c r="E15" s="4" t="inlineStr">
        <is>
          <t>開発者テスト</t>
        </is>
      </c>
      <c r="F15" s="5" t="inlineStr">
        <is>
          <t>400 は fields を返し、fields がなければ _form に message</t>
        </is>
      </c>
      <c r="G15" s="5" t="inlineStr">
        <is>
          <t>前提：同上
入力：ApiError(400) fields あり・なし</t>
        </is>
      </c>
      <c r="H15" s="5" t="inlineStr">
        <is>
          <t>fields、{ _form: message }</t>
        </is>
      </c>
      <c r="I15" s="5" t="inlineStr">
        <is>
          <t>B11-F, B14-T, B15-T, B15-F</t>
        </is>
      </c>
      <c r="J15" s="5" t="inlineStr">
        <is>
          <t>fetch を mockFetch で差し替え</t>
        </is>
      </c>
      <c r="K15" s="5" t="inlineStr"/>
      <c r="L15" s="5" t="inlineStr"/>
      <c r="M15" s="5" t="inlineStr">
        <is>
          <t>TC-NOUS50_DEV-28 400 は fields を返し、fields がなければ _form に message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既存テスト：実装時のテスト（NOUS-50）</t>
        </is>
      </c>
    </row>
    <row r="16">
      <c r="A16" s="4" t="n">
        <v>12</v>
      </c>
      <c r="B16" s="4" t="inlineStr">
        <is>
          <t>TC-NOUS50_DEV-29</t>
        </is>
      </c>
      <c r="C16" s="5" t="inlineStr">
        <is>
          <t>useApiErrorHandler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500 と通信の失敗は様式①</t>
        </is>
      </c>
      <c r="G16" s="5" t="inlineStr">
        <is>
          <t>前提：同上
入力：ApiError(500)、NetworkError</t>
        </is>
      </c>
      <c r="H16" s="5" t="inlineStr">
        <is>
          <t>modal 操作に失敗しました…</t>
        </is>
      </c>
      <c r="I16" s="5" t="inlineStr">
        <is>
          <t>B14-F, B16-T, B8-F, B17-T</t>
        </is>
      </c>
      <c r="J16" s="5" t="inlineStr">
        <is>
          <t>fetch を mockFetch で差し替え</t>
        </is>
      </c>
      <c r="K16" s="5" t="inlineStr"/>
      <c r="L16" s="5" t="inlineStr"/>
      <c r="M16" s="5" t="inlineStr">
        <is>
          <t>TC-NOUS50_DEV-29 500 と通信の失敗は様式①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既存テスト：実装時のテスト（NOUS-50）</t>
        </is>
      </c>
    </row>
    <row r="17">
      <c r="A17" s="4" t="n">
        <v>13</v>
      </c>
      <c r="B17" s="4" t="inlineStr">
        <is>
          <t>TC-NOUS50_DEV-30</t>
        </is>
      </c>
      <c r="C17" s="5" t="inlineStr">
        <is>
          <t>useApiErrorHandler</t>
        </is>
      </c>
      <c r="D17" s="4" t="inlineStr">
        <is>
          <t>異常系</t>
        </is>
      </c>
      <c r="E17" s="4" t="inlineStr">
        <is>
          <t>開発者テスト</t>
        </is>
      </c>
      <c r="F17" s="5" t="inlineStr">
        <is>
          <t>403 CSRF_INVALID はセッションを取り直してから様式②「操作をやり直してください」</t>
        </is>
      </c>
      <c r="G17" s="5" t="inlineStr">
        <is>
          <t>前提：同上
入力：ApiError(403, CSRF_INVALID)</t>
        </is>
      </c>
      <c r="H17" s="5" t="inlineStr">
        <is>
          <t>GET session の後に banner</t>
        </is>
      </c>
      <c r="I17" s="5" t="inlineStr">
        <is>
          <t>B10-T</t>
        </is>
      </c>
      <c r="J17" s="5" t="inlineStr">
        <is>
          <t>fetch を mockFetch で差し替え</t>
        </is>
      </c>
      <c r="K17" s="5" t="inlineStr"/>
      <c r="L17" s="5" t="inlineStr"/>
      <c r="M17" s="5" t="inlineStr">
        <is>
          <t>TC-NOUS50_DEV-30 403 CSRF_INVALID はセッションを取り直してから様式②「操作をやり直してください」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既存テスト：実装時のテスト（NOUS-50）</t>
        </is>
      </c>
    </row>
    <row r="18">
      <c r="A18" s="4" t="n">
        <v>14</v>
      </c>
      <c r="B18" s="4" t="inlineStr">
        <is>
          <t>TC-UT_AWEB-021</t>
        </is>
      </c>
      <c r="C18" s="5" t="inlineStr">
        <is>
          <t>formatWorldTime</t>
        </is>
      </c>
      <c r="D18" s="4" t="inlineStr">
        <is>
          <t>異常系</t>
        </is>
      </c>
      <c r="E18" s="4" t="inlineStr">
        <is>
          <t>境界値</t>
        </is>
      </c>
      <c r="F18" s="5" t="inlineStr">
        <is>
          <t>世界内時間は負なら 0 として扱い、秒の端数と 1 分未満は切り捨てる</t>
        </is>
      </c>
      <c r="G18" s="5" t="inlineStr">
        <is>
          <t>前提：なし
入力：-5、59.9、3,599、3,600</t>
        </is>
      </c>
      <c r="H18" s="5" t="inlineStr">
        <is>
          <t>第 1 日 00:00、第 1 日 00:00、第 1 日 00:59、第 1 日 01:00</t>
        </is>
      </c>
      <c r="I18" s="5" t="inlineStr">
        <is>
          <t>B1-T, B1-F</t>
        </is>
      </c>
      <c r="J18" s="5" t="inlineStr">
        <is>
          <t>なし</t>
        </is>
      </c>
      <c r="K18" s="5" t="inlineStr"/>
      <c r="L18" s="5" t="inlineStr"/>
      <c r="M18" s="5" t="inlineStr">
        <is>
          <t>TC-UT_AWEB-021 世界内時間は負なら 0 として扱い、秒の端数と 1 分未満は切り捨てる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既存テスト：一部 TC-NOUS50_DEV-18（0 以上の整数だけ）</t>
        </is>
      </c>
    </row>
    <row r="19">
      <c r="A19" s="4" t="n">
        <v>15</v>
      </c>
      <c r="B19" s="4" t="inlineStr">
        <is>
          <t>TC-UT_AWEB-022</t>
        </is>
      </c>
      <c r="C19" s="5" t="inlineStr">
        <is>
          <t>formatStopReason</t>
        </is>
      </c>
      <c r="D19" s="4" t="inlineStr">
        <is>
          <t>異常系</t>
        </is>
      </c>
      <c r="E19" s="4" t="inlineStr">
        <is>
          <t>同値分割</t>
        </is>
      </c>
      <c r="F19" s="5" t="inlineStr">
        <is>
          <t>知らない理由をそのまま返し、undefined は空にする</t>
        </is>
      </c>
      <c r="G19" s="5" t="inlineStr">
        <is>
          <t>前提：なし
入力："maintenance"、undefined</t>
        </is>
      </c>
      <c r="H19" s="5" t="inlineStr">
        <is>
          <t>"maintenance"、""</t>
        </is>
      </c>
      <c r="I19" s="5" t="inlineStr">
        <is>
          <t>B3-T, B2-T</t>
        </is>
      </c>
      <c r="J19" s="5" t="inlineStr">
        <is>
          <t>なし</t>
        </is>
      </c>
      <c r="K19" s="5" t="inlineStr"/>
      <c r="L19" s="5" t="inlineStr"/>
      <c r="M19" s="5" t="inlineStr">
        <is>
          <t>TC-UT_AWEB-022 formatStopReason は知らない理由をそのまま返し、undefined は空にする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既存テスト：一部 TC-NOUS50_DEV-19（既知の 5 つと null）
知らない理由の扱いは設計書に記載なし。実装の値</t>
        </is>
      </c>
    </row>
    <row r="20">
      <c r="A20" s="4" t="n">
        <v>16</v>
      </c>
      <c r="B20" s="4" t="inlineStr">
        <is>
          <t>TC-UT_AWEB-023</t>
        </is>
      </c>
      <c r="C20" s="5" t="inlineStr">
        <is>
          <t>WorldStateBadge</t>
        </is>
      </c>
      <c r="D20" s="4" t="inlineStr">
        <is>
          <t>正常系</t>
        </is>
      </c>
      <c r="E20" s="4" t="inlineStr">
        <is>
          <t>分岐網羅</t>
        </is>
      </c>
      <c r="F20" s="5" t="inlineStr">
        <is>
          <t>上限停止以外では停止理由を添えない</t>
        </is>
      </c>
      <c r="G20" s="5" t="inlineStr">
        <is>
          <t>前提：なし
入力：paused・manual_pause、emergency_stopped・emergency</t>
        </is>
      </c>
      <c r="H20" s="5" t="inlineStr">
        <is>
          <t>「一時停止」「緊急停止」だけで（）を付けない</t>
        </is>
      </c>
      <c r="I20" s="5" t="inlineStr">
        <is>
          <t>B4-F</t>
        </is>
      </c>
      <c r="J20" s="5" t="inlineStr">
        <is>
          <t>なし</t>
        </is>
      </c>
      <c r="K20" s="5" t="inlineStr"/>
      <c r="L20" s="5" t="inlineStr"/>
      <c r="M20" s="5" t="inlineStr">
        <is>
          <t>TC-UT_AWEB-023 WorldStateBadge は上限停止以外では停止理由を添えない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TC-NOUS50_DEV-20（上限停止だけ）</t>
        </is>
      </c>
    </row>
    <row r="21">
      <c r="A21" s="4" t="n">
        <v>17</v>
      </c>
      <c r="B21" s="4" t="inlineStr">
        <is>
          <t>TC-UT_AWEB-024</t>
        </is>
      </c>
      <c r="C21" s="5" t="inlineStr">
        <is>
          <t>AdminSideMenu</t>
        </is>
      </c>
      <c r="D21" s="4" t="inlineStr">
        <is>
          <t>正常系</t>
        </is>
      </c>
      <c r="E21" s="4" t="inlineStr">
        <is>
          <t>同値分割</t>
        </is>
      </c>
      <c r="F21" s="5" t="inlineStr">
        <is>
          <t>/agents で「エージェント」だけを現在の画面にし、「実行制御」（/）は強調しない</t>
        </is>
      </c>
      <c r="G21" s="5" t="inlineStr">
        <is>
          <t>前提：セッション 200、world 200
入力：/agents を開く</t>
        </is>
      </c>
      <c r="H21" s="5" t="inlineStr">
        <is>
          <t>/agents のリンクに aria-current=page、/ のリンクには付けない</t>
        </is>
      </c>
      <c r="I21" s="5" t="inlineStr">
        <is>
          <t>B7-T, B7-F</t>
        </is>
      </c>
      <c r="J21" s="5" t="inlineStr">
        <is>
          <t>fetch を mockFetch で差し替え、renderApp（createMemoryRouter と QueryClient）</t>
        </is>
      </c>
      <c r="K21" s="5" t="inlineStr"/>
      <c r="L21" s="5" t="inlineStr"/>
      <c r="M21" s="5" t="inlineStr">
        <is>
          <t>TC-UT_AWEB-024 サイドメニューは /agents で「エージェント」だけを現在の画面にし、「実行制御」（/）は強調しない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既存テスト：一部 TC-NOUS50_DEV-17（/settings で、/ の end を見ていない）</t>
        </is>
      </c>
    </row>
    <row r="22">
      <c r="A22" s="4" t="n">
        <v>18</v>
      </c>
      <c r="B22" s="4" t="inlineStr">
        <is>
          <t>TC-UT_AWEB-025</t>
        </is>
      </c>
      <c r="C22" s="5" t="inlineStr">
        <is>
          <t>AdminHeader</t>
        </is>
      </c>
      <c r="D22" s="4" t="inlineStr">
        <is>
          <t>正常系</t>
        </is>
      </c>
      <c r="E22" s="4" t="inlineStr">
        <is>
          <t>分岐網羅</t>
        </is>
      </c>
      <c r="F22" s="5" t="inlineStr">
        <is>
          <t>世界の状態の取得中に「状態を取得しています…」を出し、ログインした管理者の表示名を出す</t>
        </is>
      </c>
      <c r="G22" s="5" t="inlineStr">
        <is>
          <t>前提：セッション 200、GET world は返らない
入力：/ を開く</t>
        </is>
      </c>
      <c r="H22" s="5" t="inlineStr">
        <is>
          <t>「状態を取得しています…」と「Kaine Yamashiro」</t>
        </is>
      </c>
      <c r="I22" s="5" t="inlineStr">
        <is>
          <t>B5-F</t>
        </is>
      </c>
      <c r="J22" s="5" t="inlineStr">
        <is>
          <t>fetch を vi.stubGlobal（world は返らない Promise）、renderApp</t>
        </is>
      </c>
      <c r="K22" s="5" t="inlineStr"/>
      <c r="L22" s="5" t="inlineStr"/>
      <c r="M22" s="5" t="inlineStr">
        <is>
          <t>TC-UT_AWEB-025 ヘッダーは世界の状態の取得中に「状態を取得しています…」を出し、ログインした管理者の表示名を出す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既存テスト：なし（DEV-15 は取得済みのときだけ）</t>
        </is>
      </c>
    </row>
    <row r="23">
      <c r="A23" s="4" t="n">
        <v>19</v>
      </c>
      <c r="B23" s="4" t="inlineStr">
        <is>
          <t>TC-UT_AWEB-026</t>
        </is>
      </c>
      <c r="C23" s="5" t="inlineStr">
        <is>
          <t>AdminLayout / useApiErrorHandler</t>
        </is>
      </c>
      <c r="D23" s="4" t="inlineStr">
        <is>
          <t>異常系</t>
        </is>
      </c>
      <c r="E23" s="4" t="inlineStr">
        <is>
          <t>状態遷移</t>
        </is>
      </c>
      <c r="F23" s="5" t="inlineStr">
        <is>
          <t>画面の API が 401 なら様式①を出し、OK でセッションを捨てて /login の画面に移る</t>
        </is>
      </c>
      <c r="G23" s="5" t="inlineStr">
        <is>
          <t>前提：セッション 200、GET settings 401
入力：/settings を開き、OK を押す</t>
        </is>
      </c>
      <c r="H23" s="5" t="inlineStr">
        <is>
          <t>有効期限の文言のモーダル、OK の後に /login で P201 を表示</t>
        </is>
      </c>
      <c r="I23" s="5" t="inlineStr">
        <is>
          <t>B5-T, B6-T, B8-T, B9-T, B19-F, B20-T</t>
        </is>
      </c>
      <c r="J23" s="5" t="inlineStr">
        <is>
          <t>fetch を mockFetch で差し替え、renderApp（createMemoryRouter と QueryClient）</t>
        </is>
      </c>
      <c r="K23" s="5" t="inlineStr"/>
      <c r="L23" s="5" t="inlineStr"/>
      <c r="M23" s="5" t="inlineStr">
        <is>
          <t>TC-UT_AWEB-026 画面の API が 401 なら様式①を出し、OK でセッションを捨てて /login の画面に移る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既存テスト：一部 TC-NOUS50_DEV-26（modal の状態だけで、移動とセッションの破棄は見ていない）</t>
        </is>
      </c>
    </row>
    <row r="24">
      <c r="A24" s="4" t="n">
        <v>20</v>
      </c>
      <c r="B24" s="4" t="inlineStr">
        <is>
          <t>TC-UT_AWEB-027</t>
        </is>
      </c>
      <c r="C24" s="5" t="inlineStr">
        <is>
          <t>useApiErrorHandler</t>
        </is>
      </c>
      <c r="D24" s="4" t="inlineStr">
        <is>
          <t>異常系</t>
        </is>
      </c>
      <c r="E24" s="4" t="inlineStr">
        <is>
          <t>分岐網羅</t>
        </is>
      </c>
      <c r="F24" s="5" t="inlineStr">
        <is>
          <t>409 で conflictMessage が関数ならエラーから文言を作り、指定がなければサーバーの message を様式②に出す</t>
        </is>
      </c>
      <c r="G24" s="5" t="inlineStr">
        <is>
          <t>前提：SessionProvider・ErrorProvider
入力：ApiError(409, NO_AGENTS) と関数、ApiError(409, STATE_CONFLICT) と ctx なし</t>
        </is>
      </c>
      <c r="H24" s="5" t="inlineStr">
        <is>
          <t>「画面:NO_AGENTS」、その後「server-conflict」、invalidateQueries は呼ばない</t>
        </is>
      </c>
      <c r="I24" s="5" t="inlineStr">
        <is>
          <t>B11-T, B12-T, B13-T</t>
        </is>
      </c>
      <c r="J24" s="5" t="inlineStr">
        <is>
          <t>fetch を mockFetch で差し替え</t>
        </is>
      </c>
      <c r="K24" s="5" t="inlineStr"/>
      <c r="L24" s="5" t="inlineStr"/>
      <c r="M24" s="5" t="inlineStr">
        <is>
          <t>TC-UT_AWEB-027 409 で conflictMessage が関数ならエラーから文言を作り、指定がなければサーバーの message を様式②に出す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既存テスト：一部 TC-NOUS50_DEV-27（文字列の文言だけ）</t>
        </is>
      </c>
    </row>
    <row r="25">
      <c r="A25" s="4" t="n">
        <v>21</v>
      </c>
      <c r="B25" s="4" t="inlineStr">
        <is>
          <t>TC-UT_AWEB-028</t>
        </is>
      </c>
      <c r="C25" s="5" t="inlineStr">
        <is>
          <t>useApiErrorHandler</t>
        </is>
      </c>
      <c r="D25" s="4" t="inlineStr">
        <is>
          <t>異常系</t>
        </is>
      </c>
      <c r="E25" s="4" t="inlineStr">
        <is>
          <t>同値分割</t>
        </is>
      </c>
      <c r="F25" s="5" t="inlineStr">
        <is>
          <t>画面で扱わない 4xx（404・429）はサーバーの message を様式②に出す</t>
        </is>
      </c>
      <c r="G25" s="5" t="inlineStr">
        <is>
          <t>前提：同上
入力：ApiError(404)、ApiError(429)</t>
        </is>
      </c>
      <c r="H25" s="5" t="inlineStr">
        <is>
          <t>banner に server-404・server-429、modal は出さない</t>
        </is>
      </c>
      <c r="I25" s="5" t="inlineStr">
        <is>
          <t>B9-F, B10-F, B11-F, B14-F, B16-F</t>
        </is>
      </c>
      <c r="J25" s="5" t="inlineStr">
        <is>
          <t>fetch を mockFetch で差し替え</t>
        </is>
      </c>
      <c r="K25" s="5" t="inlineStr"/>
      <c r="L25" s="5" t="inlineStr"/>
      <c r="M25" s="5" t="inlineStr">
        <is>
          <t>TC-UT_AWEB-028 画面で扱わない 4xx（404・429）はサーバーの message を様式②に出す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
設計書 4章に 404・429 の記載なし。実装の値</t>
        </is>
      </c>
    </row>
    <row r="26">
      <c r="A26" s="4" t="n">
        <v>22</v>
      </c>
      <c r="B26" s="4" t="inlineStr">
        <is>
          <t>TC-UT_AWEB-029</t>
        </is>
      </c>
      <c r="C26" s="5" t="inlineStr">
        <is>
          <t>useApiErrorHandler</t>
        </is>
      </c>
      <c r="D26" s="4" t="inlineStr">
        <is>
          <t>異常系</t>
        </is>
      </c>
      <c r="E26" s="4" t="inlineStr">
        <is>
          <t>分岐網羅</t>
        </is>
      </c>
      <c r="F26" s="5" t="inlineStr">
        <is>
          <t>AbortError は何も出さず、ApiError・NetworkError 以外の例外は様式①にする</t>
        </is>
      </c>
      <c r="G26" s="5" t="inlineStr">
        <is>
          <t>前提：同上
入力：DOMException(AbortError)、Error</t>
        </is>
      </c>
      <c r="H26" s="5" t="inlineStr">
        <is>
          <t>AbortError は banner・modal とも null、Error は modal 操作に失敗しました…</t>
        </is>
      </c>
      <c r="I26" s="5" t="inlineStr">
        <is>
          <t>B8-F, B17-F, B18-T, B18-F</t>
        </is>
      </c>
      <c r="J26" s="5" t="inlineStr">
        <is>
          <t>fetch を mockFetch で差し替え</t>
        </is>
      </c>
      <c r="K26" s="5" t="inlineStr"/>
      <c r="L26" s="5" t="inlineStr"/>
      <c r="M26" s="5" t="inlineStr">
        <is>
          <t>TC-UT_AWEB-029 AbortError は何も出さず、ApiError・NetworkError 以外の例外は様式①にする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</t>
        </is>
      </c>
    </row>
    <row r="27">
      <c r="A27" s="4" t="n">
        <v>23</v>
      </c>
      <c r="B27" s="4" t="inlineStr">
        <is>
          <t>TC-UT_AWEB-030</t>
        </is>
      </c>
      <c r="C27" s="5" t="inlineStr">
        <is>
          <t>useApiErrorHandler</t>
        </is>
      </c>
      <c r="D27" s="4" t="inlineStr">
        <is>
          <t>異常系</t>
        </is>
      </c>
      <c r="E27" s="4" t="inlineStr">
        <is>
          <t>境界値</t>
        </is>
      </c>
      <c r="F27" s="5" t="inlineStr">
        <is>
          <t>400 で fields が空のオブジェクトなら、_form に message を入れて返す</t>
        </is>
      </c>
      <c r="G27" s="5" t="inlineStr">
        <is>
          <t>前提：同上
入力：ApiError(400, VALIDATION_ERROR, "入力の内容を確認してください", {})</t>
        </is>
      </c>
      <c r="H27" s="5" t="inlineStr">
        <is>
          <t>{ _form: "入力の内容を確認してください" }</t>
        </is>
      </c>
      <c r="I27" s="5" t="inlineStr">
        <is>
          <t>B14-T, B15-F</t>
        </is>
      </c>
      <c r="J27" s="5" t="inlineStr">
        <is>
          <t>fetch を mockFetch で差し替え</t>
        </is>
      </c>
      <c r="K27" s="5" t="inlineStr"/>
      <c r="L27" s="5" t="inlineStr"/>
      <c r="M27" s="5" t="inlineStr">
        <is>
          <t>TC-UT_AWEB-030 400 で fields が空のオブジェクトなら、_form に message を入れて返す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TC-NOUS50_DEV-28（fields が undefined のとき）</t>
        </is>
      </c>
    </row>
    <row r="28">
      <c r="A28" s="4" t="n">
        <v>24</v>
      </c>
      <c r="B28" s="4" t="inlineStr">
        <is>
          <t>TC-UT_AWEB-031</t>
        </is>
      </c>
      <c r="C28" s="5" t="inlineStr">
        <is>
          <t>useErrorState</t>
        </is>
      </c>
      <c r="D28" s="4" t="inlineStr">
        <is>
          <t>正常系</t>
        </is>
      </c>
      <c r="E28" s="4" t="inlineStr">
        <is>
          <t>同値分割</t>
        </is>
      </c>
      <c r="F28" s="5" t="inlineStr">
        <is>
          <t>ErrorProvider の外では、様式の表示の関数を呼んでも何もせず例外にしない</t>
        </is>
      </c>
      <c r="G28" s="5" t="inlineStr">
        <is>
          <t>前提：なし（Provider の外）
入力：showBanner・showModal</t>
        </is>
      </c>
      <c r="H28" s="5" t="inlineStr">
        <is>
          <t>例外にならない、banner は null</t>
        </is>
      </c>
      <c r="I28" s="5" t="inlineStr"/>
      <c r="J28" s="5" t="inlineStr">
        <is>
          <t>なし</t>
        </is>
      </c>
      <c r="K28" s="5" t="inlineStr"/>
      <c r="L28" s="5" t="inlineStr"/>
      <c r="M28" s="5" t="inlineStr">
        <is>
          <t>TC-UT_AWEB-031 ErrorProvider の外では、様式の表示の関数を呼んでも何もせず例外にしない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
LoginPage は AdminLayout の外で使うため</t>
        </is>
      </c>
    </row>
    <row r="29">
      <c r="A29" s="4" t="n">
        <v>25</v>
      </c>
      <c r="B29" s="4" t="inlineStr">
        <is>
          <t>TC-UT_AWEB-032</t>
        </is>
      </c>
      <c r="C29" s="5" t="inlineStr">
        <is>
          <t>ErrorModal</t>
        </is>
      </c>
      <c r="D29" s="4" t="inlineStr">
        <is>
          <t>正常系</t>
        </is>
      </c>
      <c r="E29" s="4" t="inlineStr">
        <is>
          <t>分岐網羅</t>
        </is>
      </c>
      <c r="F29" s="5" t="inlineStr">
        <is>
          <t>redirectTo がなければ OK で閉じるだけで移動しない</t>
        </is>
      </c>
      <c r="G29" s="5" t="inlineStr">
        <is>
          <t>前提：/settings
入力：message あり、redirectTo なし、OK</t>
        </is>
      </c>
      <c r="H29" s="5" t="inlineStr">
        <is>
          <t>onClose 1 回、/login に移らない</t>
        </is>
      </c>
      <c r="I29" s="5" t="inlineStr">
        <is>
          <t>B19-F, B20-F</t>
        </is>
      </c>
      <c r="J29" s="5" t="inlineStr">
        <is>
          <t>MemoryRouter</t>
        </is>
      </c>
      <c r="K29" s="5" t="inlineStr"/>
      <c r="L29" s="5" t="inlineStr"/>
      <c r="M29" s="5" t="inlineStr">
        <is>
          <t>TC-UT_AWEB-032 ErrorModal は redirectTo がなければ OK で閉じるだけで移動しない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TC-NOUS50_DEV-26（redirectTo ありの状態だけ）</t>
        </is>
      </c>
    </row>
    <row r="30">
      <c r="A30" s="4" t="n">
        <v>26</v>
      </c>
      <c r="B30" s="4" t="inlineStr">
        <is>
          <t>TC-UT_AWEB-033</t>
        </is>
      </c>
      <c r="C30" s="5" t="inlineStr">
        <is>
          <t>ErrorBanner</t>
        </is>
      </c>
      <c r="D30" s="4" t="inlineStr">
        <is>
          <t>正常系</t>
        </is>
      </c>
      <c r="E30" s="4" t="inlineStr">
        <is>
          <t>分岐網羅</t>
        </is>
      </c>
      <c r="F30" s="5" t="inlineStr">
        <is>
          <t>onClose があれば閉じるボタンを出して呼び、なければボタンを出さない</t>
        </is>
      </c>
      <c r="G30" s="5" t="inlineStr">
        <is>
          <t>前提：なし
入力：onClose あり → なし</t>
        </is>
      </c>
      <c r="H30" s="5" t="inlineStr">
        <is>
          <t>1 回呼ぶ、なしではボタンなし</t>
        </is>
      </c>
      <c r="I30" s="5" t="inlineStr">
        <is>
          <t>B22-T, B22-F</t>
        </is>
      </c>
      <c r="J30" s="5" t="inlineStr">
        <is>
          <t>なし</t>
        </is>
      </c>
      <c r="K30" s="5" t="inlineStr"/>
      <c r="L30" s="5" t="inlineStr"/>
      <c r="M30" s="5" t="inlineStr">
        <is>
          <t>TC-UT_AWEB-033 ErrorBanner は onClose があれば閉じるボタンを出して呼び、なければボタンを出さない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既存テスト：一部 TC-NOUS50_DEV-21（onClose なしだけ）</t>
        </is>
      </c>
    </row>
    <row r="31">
      <c r="A31" s="4" t="n">
        <v>27</v>
      </c>
      <c r="B31" s="4" t="inlineStr">
        <is>
          <t>TC-UT_AWEB-034</t>
        </is>
      </c>
      <c r="C31" s="5" t="inlineStr">
        <is>
          <t>ToastProvider</t>
        </is>
      </c>
      <c r="D31" s="4" t="inlineStr">
        <is>
          <t>正常系</t>
        </is>
      </c>
      <c r="E31" s="4" t="inlineStr">
        <is>
          <t>境界値</t>
        </is>
      </c>
      <c r="F31" s="5" t="inlineStr">
        <is>
          <t>トーストを 2 秒ずらして 2 つ出すと、それぞれ 4 秒で別々に消える</t>
        </is>
      </c>
      <c r="G31" s="5" t="inlineStr">
        <is>
          <t>前提：vi.useFakeTimers
入力：0 秒に 1つ目、2 秒に 2つ目、4 秒と 6 秒で確かめる</t>
        </is>
      </c>
      <c r="H31" s="5" t="inlineStr">
        <is>
          <t>4 秒で 2つ目だけ残り、6 秒で 0 件</t>
        </is>
      </c>
      <c r="I31" s="5" t="inlineStr"/>
      <c r="J31" s="5" t="inlineStr">
        <is>
          <t>vi.useFakeTimers</t>
        </is>
      </c>
      <c r="K31" s="5" t="inlineStr"/>
      <c r="L31" s="5" t="inlineStr"/>
      <c r="M31" s="5" t="inlineStr">
        <is>
          <t>TC-UT_AWEB-034 トーストを 2 秒ずらして 2 つ出すと、それぞれ 4 秒で別々に消える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既存テスト：一部 TC-NOUS50_DEV-23（1 つだけ）</t>
        </is>
      </c>
    </row>
    <row r="32">
      <c r="A32" s="4" t="n">
        <v>28</v>
      </c>
      <c r="B32" s="4" t="inlineStr">
        <is>
          <t>TC-UT_AWEB-035</t>
        </is>
      </c>
      <c r="C32" s="5" t="inlineStr">
        <is>
          <t>NumberField</t>
        </is>
      </c>
      <c r="D32" s="4" t="inlineStr">
        <is>
          <t>正常系</t>
        </is>
      </c>
      <c r="E32" s="4" t="inlineStr">
        <is>
          <t>同値分割</t>
        </is>
      </c>
      <c r="F32" s="5" t="inlineStr">
        <is>
          <t>範囲と単位を出し、入力値を文字列のまま返し、error のときは aria-invalid を付ける</t>
        </is>
      </c>
      <c r="G32" s="5" t="inlineStr">
        <is>
          <t>前提：なし
入力：label 周期（分）、15〜120、unit 分、error あり、"7" を入力</t>
        </is>
      </c>
      <c r="H32" s="5" t="inlineStr">
        <is>
          <t>「15〜120」「分」、onChange("7")、aria-invalid=true</t>
        </is>
      </c>
      <c r="I32" s="5" t="inlineStr">
        <is>
          <t>B29-T</t>
        </is>
      </c>
      <c r="J32" s="5" t="inlineStr">
        <is>
          <t>なし</t>
        </is>
      </c>
      <c r="K32" s="5" t="inlineStr"/>
      <c r="L32" s="5" t="inlineStr"/>
      <c r="M32" s="5" t="inlineStr">
        <is>
          <t>TC-UT_AWEB-035 NumberField は範囲と単位を出し、入力値を文字列のまま返し、error のときは aria-invalid を付ける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</t>
        </is>
      </c>
    </row>
    <row r="33">
      <c r="A33" s="4" t="n">
        <v>29</v>
      </c>
      <c r="B33" s="4" t="inlineStr">
        <is>
          <t>TC-UT_AWEB-036</t>
        </is>
      </c>
      <c r="C33" s="5" t="inlineStr">
        <is>
          <t>TextField</t>
        </is>
      </c>
      <c r="D33" s="4" t="inlineStr">
        <is>
          <t>正常系</t>
        </is>
      </c>
      <c r="E33" s="4" t="inlineStr">
        <is>
          <t>境界値</t>
        </is>
      </c>
      <c r="F33" s="5" t="inlineStr">
        <is>
          <t>文字数をコードポイントで数え、上限を超えた数も出し、hideCount なら数を出さない</t>
        </is>
      </c>
      <c r="G33" s="5" t="inlineStr">
        <is>
          <t>前提：なし
入力：value "😀a"、maxLength 1、hideCount なし → あり</t>
        </is>
      </c>
      <c r="H33" s="5" t="inlineStr">
        <is>
          <t>「2/1」、hideCount では出さない</t>
        </is>
      </c>
      <c r="I33" s="5" t="inlineStr">
        <is>
          <t>B24-T, B24-F, B25-T, B29-F</t>
        </is>
      </c>
      <c r="J33" s="5" t="inlineStr">
        <is>
          <t>なし</t>
        </is>
      </c>
      <c r="K33" s="5" t="inlineStr"/>
      <c r="L33" s="5" t="inlineStr"/>
      <c r="M33" s="5" t="inlineStr">
        <is>
          <t>TC-UT_AWEB-036 TextField は文字数をコードポイントで数え、上限を超えた数も出し、hideCount なら数を出さない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TC-NOUS50_DEV-25（上限の中の ASCII だけ）</t>
        </is>
      </c>
    </row>
    <row r="34">
      <c r="A34" s="4" t="n">
        <v>30</v>
      </c>
      <c r="B34" s="4" t="inlineStr">
        <is>
          <t>TC-UT_AWEB-037</t>
        </is>
      </c>
      <c r="C34" s="5" t="inlineStr">
        <is>
          <t>SelectField</t>
        </is>
      </c>
      <c r="D34" s="4" t="inlineStr">
        <is>
          <t>正常系</t>
        </is>
      </c>
      <c r="E34" s="4" t="inlineStr">
        <is>
          <t>同値分割</t>
        </is>
      </c>
      <c r="F34" s="5" t="inlineStr">
        <is>
          <t>選択肢を出し、選んだ値を onChange に渡す</t>
        </is>
      </c>
      <c r="G34" s="5" t="inlineStr">
        <is>
          <t>前提：なし
入力：options A・B、b を選ぶ</t>
        </is>
      </c>
      <c r="H34" s="5" t="inlineStr">
        <is>
          <t>option は [A, B]、onChange("b")</t>
        </is>
      </c>
      <c r="I34" s="5" t="inlineStr"/>
      <c r="J34" s="5" t="inlineStr">
        <is>
          <t>なし</t>
        </is>
      </c>
      <c r="K34" s="5" t="inlineStr"/>
      <c r="L34" s="5" t="inlineStr"/>
      <c r="M34" s="5" t="inlineStr">
        <is>
          <t>TC-UT_AWEB-037 SelectField は選択肢を出し、選んだ値を onChange に渡す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</t>
        </is>
      </c>
    </row>
    <row r="35">
      <c r="A35" s="4" t="n">
        <v>31</v>
      </c>
      <c r="B35" s="4" t="inlineStr">
        <is>
          <t>TC-UT_AWEB-038</t>
        </is>
      </c>
      <c r="C35" s="5" t="inlineStr">
        <is>
          <t>AdminLayout</t>
        </is>
      </c>
      <c r="D35" s="4" t="inlineStr">
        <is>
          <t>異常系</t>
        </is>
      </c>
      <c r="E35" s="4" t="inlineStr">
        <is>
          <t>分岐網羅</t>
        </is>
      </c>
      <c r="F35" s="5" t="inlineStr">
        <is>
          <t>移動先のない様式①（500）は、OK で閉じてもセッションを捨てず、同じ画面に残る</t>
        </is>
      </c>
      <c r="G35" s="5" t="inlineStr">
        <is>
          <t>前提：セッション 200、GET settings 500
入力：/settings を開き、OK を押す</t>
        </is>
      </c>
      <c r="H35" s="5" t="inlineStr">
        <is>
          <t>モーダルが消え、/settings のまま、ログアウトのボタン（ヘッダー）がある</t>
        </is>
      </c>
      <c r="I35" s="5" t="inlineStr">
        <is>
          <t>B6-F, B20-F, B19-T</t>
        </is>
      </c>
      <c r="J35" s="5" t="inlineStr">
        <is>
          <t>fetch を mockFetch で差し替え、renderApp（createMemoryRouter と QueryClient）</t>
        </is>
      </c>
      <c r="K35" s="5" t="inlineStr"/>
      <c r="L35" s="5" t="inlineStr"/>
      <c r="M35" s="5" t="inlineStr">
        <is>
          <t>TC-UT_AWEB-038 移動先のない様式①（500）は、OK で閉じてもセッションを捨てず、同じ画面に残る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</t>
        </is>
      </c>
    </row>
    <row r="36">
      <c r="A36" s="4" t="n">
        <v>32</v>
      </c>
      <c r="B36" s="4" t="inlineStr">
        <is>
          <t>TC-UT_AWEB-039</t>
        </is>
      </c>
      <c r="C36" s="5" t="inlineStr">
        <is>
          <t>TextField</t>
        </is>
      </c>
      <c r="D36" s="4" t="inlineStr">
        <is>
          <t>正常系</t>
        </is>
      </c>
      <c r="E36" s="4" t="inlineStr">
        <is>
          <t>分岐網羅</t>
        </is>
      </c>
      <c r="F36" s="5" t="inlineStr">
        <is>
          <t>multiline なら textarea を rows の行数で出す</t>
        </is>
      </c>
      <c r="G36" s="5" t="inlineStr">
        <is>
          <t>前提：なし
入力：multiline、rows 5</t>
        </is>
      </c>
      <c r="H36" s="5" t="inlineStr">
        <is>
          <t>TEXTAREA、rows=5</t>
        </is>
      </c>
      <c r="I36" s="5" t="inlineStr">
        <is>
          <t>B26-T</t>
        </is>
      </c>
      <c r="J36" s="5" t="inlineStr">
        <is>
          <t>なし</t>
        </is>
      </c>
      <c r="K36" s="5" t="inlineStr"/>
      <c r="L36" s="5" t="inlineStr"/>
      <c r="M36" s="5" t="inlineStr">
        <is>
          <t>TC-UT_AWEB-039 TextField は multiline なら textarea を rows の行数で出す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</t>
        </is>
      </c>
    </row>
    <row r="37">
      <c r="A37" s="4" t="n">
        <v>33</v>
      </c>
      <c r="B37" s="4" t="inlineStr">
        <is>
          <t>TC-UT_AWEB-040</t>
        </is>
      </c>
      <c r="C37" s="5" t="inlineStr">
        <is>
          <t>DataTable</t>
        </is>
      </c>
      <c r="D37" s="4" t="inlineStr">
        <is>
          <t>正常系</t>
        </is>
      </c>
      <c r="E37" s="4" t="inlineStr">
        <is>
          <t>分岐網羅</t>
        </is>
      </c>
      <c r="F37" s="5" t="inlineStr">
        <is>
          <t>onRowClick がなければ行を押せる見た目にせず、押しても何も起きない</t>
        </is>
      </c>
      <c r="G37" s="5" t="inlineStr">
        <is>
          <t>前提：なし
入力：rows 1 件、onRowClick なし、行を押す</t>
        </is>
      </c>
      <c r="H37" s="5" t="inlineStr">
        <is>
          <t>行の cursor は空、例外なし</t>
        </is>
      </c>
      <c r="I37" s="5" t="inlineStr">
        <is>
          <t>B28-F</t>
        </is>
      </c>
      <c r="J37" s="5" t="inlineStr">
        <is>
          <t>なし</t>
        </is>
      </c>
      <c r="K37" s="5" t="inlineStr"/>
      <c r="L37" s="5" t="inlineStr"/>
      <c r="M37" s="5" t="inlineStr">
        <is>
          <t>TC-UT_AWEB-040 DataTable は onRowClick がなければ行を押せる見た目にせず、押しても何も起きない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既存テスト：一部 TC-NOUS50_DEV-24（onRowClick ありだけ）</t>
        </is>
      </c>
    </row>
  </sheetData>
  <autoFilter ref="A4:Q37"/>
  <conditionalFormatting sqref="A5:Q87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7" showDropDown="0" showInputMessage="0" showErrorMessage="0" allowBlank="1" type="list">
      <formula1>"未実施,OK,NG,保留,対象外"</formula1>
    </dataValidation>
    <dataValidation sqref="D5:D87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COUNTA(観点表!$B$5:$B$87)</f>
        <v/>
      </c>
    </row>
    <row r="6">
      <c r="A6" s="10" t="inlineStr">
        <is>
          <t>正常系</t>
        </is>
      </c>
      <c r="B6" s="10">
        <f>COUNTIF(観点表!$D$5:$D$87,"正常系")</f>
        <v/>
      </c>
    </row>
    <row r="7">
      <c r="A7" s="10" t="inlineStr">
        <is>
          <t>異常系</t>
        </is>
      </c>
      <c r="B7" s="10">
        <f>COUNTIF(観点表!$D$5:$D$87,"異常系")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分岐網羅</t>
        </is>
      </c>
      <c r="B10" s="10">
        <f>COUNTIF(観点表!$E$5:$E$87,"分岐網羅")</f>
        <v/>
      </c>
    </row>
    <row r="11">
      <c r="A11" s="10" t="inlineStr">
        <is>
          <t>同値分割</t>
        </is>
      </c>
      <c r="B11" s="10">
        <f>COUNTIF(観点表!$E$5:$E$87,"同値分割")</f>
        <v/>
      </c>
    </row>
    <row r="12">
      <c r="A12" s="10" t="inlineStr">
        <is>
          <t>境界値</t>
        </is>
      </c>
      <c r="B12" s="10">
        <f>COUNTIF(観点表!$E$5:$E$87,"境界値")</f>
        <v/>
      </c>
    </row>
    <row r="13">
      <c r="A13" s="10" t="inlineStr">
        <is>
          <t>状態遷移</t>
        </is>
      </c>
      <c r="B13" s="10">
        <f>COUNTIF(観点表!$E$5:$E$87,"状態遷移")</f>
        <v/>
      </c>
    </row>
    <row r="14">
      <c r="A14" s="10" t="inlineStr">
        <is>
          <t>開発者テスト</t>
        </is>
      </c>
      <c r="B14" s="10">
        <f>COUNTIF(観点表!$E$5:$E$87,"開発者テスト")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COUNTIF(観点表!$K$5:$K$87,"?*")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COUNTIF(観点表!$N$5:$N$87,"未実施")</f>
        <v/>
      </c>
    </row>
    <row r="22">
      <c r="A22" s="10" t="inlineStr">
        <is>
          <t>OK</t>
        </is>
      </c>
      <c r="B22" s="10">
        <f>COUNTIF(観点表!$N$5:$N$87,"OK")</f>
        <v/>
      </c>
    </row>
    <row r="23">
      <c r="A23" s="10" t="inlineStr">
        <is>
          <t>NG</t>
        </is>
      </c>
      <c r="B23" s="10">
        <f>COUNTIF(観点表!$N$5:$N$87,"NG")</f>
        <v/>
      </c>
    </row>
    <row r="24">
      <c r="A24" s="10" t="inlineStr">
        <is>
          <t>保留</t>
        </is>
      </c>
      <c r="B24" s="10">
        <f>COUNTIF(観点表!$N$5:$N$87,"保留")</f>
        <v/>
      </c>
    </row>
    <row r="25">
      <c r="A25" s="10" t="inlineStr">
        <is>
          <t>対象外</t>
        </is>
      </c>
      <c r="B25" s="10">
        <f>COUNTIF(観点表!$N$5:$N$87,"対象外")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TC-NOUS50_DEV-18</t>
        </is>
      </c>
      <c r="B5" s="13" t="inlineStr">
        <is>
          <t>世界内時間を「第 N 日 HH:MM」にする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TC-NOUS50_DEV-19</t>
        </is>
      </c>
      <c r="B6" s="13" t="inlineStr">
        <is>
          <t>停止理由を日本語にする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TC-NOUS50_DEV-20</t>
        </is>
      </c>
      <c r="B7" s="13" t="inlineStr">
        <is>
          <t>状態の色と、上限停止のときは理由を出す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TC-NOUS50_DEV-21</t>
        </is>
      </c>
      <c r="B8" s="13" t="inlineStr">
        <is>
          <t>message がなければ何も出さない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TC-NOUS50_DEV-22</t>
        </is>
      </c>
      <c r="B9" s="13" t="inlineStr">
        <is>
          <t>確定とキャンセルを呼び分け、送信中は押せない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TC-NOUS50_DEV-23</t>
        </is>
      </c>
      <c r="B10" s="13" t="inlineStr">
        <is>
          <t>トーストは 4 秒で消える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TC-NOUS50_DEV-24</t>
        </is>
      </c>
      <c r="B11" s="13" t="inlineStr">
        <is>
          <t>0 件で emptyMessage、行を押すと onRowClick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TC-NOUS50_DEV-25</t>
        </is>
      </c>
      <c r="B12" s="13" t="inlineStr">
        <is>
          <t>文字数を出し、error を入力欄の下に出す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TC-NOUS50_DEV-26</t>
        </is>
      </c>
      <c r="B13" s="13" t="inlineStr">
        <is>
          <t>401 は様式①（ログインの有効期限）で、OK の後に /login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TC-NOUS50_DEV-27</t>
        </is>
      </c>
      <c r="B14" s="13" t="inlineStr">
        <is>
          <t>409 は様式②に画面の文言を出し、指定のクエリを再取得する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TC-NOUS50_DEV-28</t>
        </is>
      </c>
      <c r="B15" s="13" t="inlineStr">
        <is>
          <t>400 は fields を返し、fields がなければ _form に message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TC-NOUS50_DEV-29</t>
        </is>
      </c>
      <c r="B16" s="13" t="inlineStr">
        <is>
          <t>500 と通信の失敗は様式①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TC-NOUS50_DEV-30</t>
        </is>
      </c>
      <c r="B17" s="13" t="inlineStr">
        <is>
          <t>403 CSRF_INVALID はセッションを取り直してから様式②「操作をやり直してください」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TC-UT_AWEB-021</t>
        </is>
      </c>
      <c r="B18" s="13" t="inlineStr">
        <is>
          <t>世界内時間は負なら 0 として扱い、秒の端数と 1 分未満は切り捨てる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TC-UT_AWEB-022</t>
        </is>
      </c>
      <c r="B19" s="13" t="inlineStr">
        <is>
          <t>知らない理由をそのまま返し、undefined は空にする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TC-UT_AWEB-023</t>
        </is>
      </c>
      <c r="B20" s="13" t="inlineStr">
        <is>
          <t>上限停止以外では停止理由を添えない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TC-UT_AWEB-024</t>
        </is>
      </c>
      <c r="B21" s="13" t="inlineStr">
        <is>
          <t>/agents で「エージェント」だけを現在の画面にし、「実行制御」（/）は強調しない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TC-UT_AWEB-025</t>
        </is>
      </c>
      <c r="B22" s="13" t="inlineStr">
        <is>
          <t>世界の状態の取得中に「状態を取得しています…」を出し、ログインした管理者の表示名を出す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TC-UT_AWEB-026</t>
        </is>
      </c>
      <c r="B23" s="13" t="inlineStr">
        <is>
          <t>画面の API が 401 なら様式①を出し、OK でセッションを捨てて /login の画面に移る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TC-UT_AWEB-027</t>
        </is>
      </c>
      <c r="B24" s="13" t="inlineStr">
        <is>
          <t>409 で conflictMessage が関数ならエラーから文言を作り、指定がなければサーバーの message を様式②に出す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TC-UT_AWEB-028</t>
        </is>
      </c>
      <c r="B25" s="13" t="inlineStr">
        <is>
          <t>画面で扱わない 4xx（404・429）はサーバーの message を様式②に出す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TC-UT_AWEB-029</t>
        </is>
      </c>
      <c r="B26" s="13" t="inlineStr">
        <is>
          <t>AbortError は何も出さず、ApiError・NetworkError 以外の例外は様式①にする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TC-UT_AWEB-030</t>
        </is>
      </c>
      <c r="B27" s="13" t="inlineStr">
        <is>
          <t>400 で fields が空のオブジェクトなら、_form に message を入れて返す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TC-UT_AWEB-031</t>
        </is>
      </c>
      <c r="B28" s="13" t="inlineStr">
        <is>
          <t>ErrorProvider の外では、様式の表示の関数を呼んでも何もせず例外にしない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TC-UT_AWEB-032</t>
        </is>
      </c>
      <c r="B29" s="13" t="inlineStr">
        <is>
          <t>redirectTo がなければ OK で閉じるだけで移動しない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TC-UT_AWEB-033</t>
        </is>
      </c>
      <c r="B30" s="13" t="inlineStr">
        <is>
          <t>onClose があれば閉じるボタンを出して呼び、なければボタンを出さない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TC-UT_AWEB-034</t>
        </is>
      </c>
      <c r="B31" s="13" t="inlineStr">
        <is>
          <t>トーストを 2 秒ずらして 2 つ出すと、それぞれ 4 秒で別々に消える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TC-UT_AWEB-035</t>
        </is>
      </c>
      <c r="B32" s="13" t="inlineStr">
        <is>
          <t>範囲と単位を出し、入力値を文字列のまま返し、error のときは aria-invalid を付ける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TC-UT_AWEB-036</t>
        </is>
      </c>
      <c r="B33" s="13" t="inlineStr">
        <is>
          <t>文字数をコードポイントで数え、上限を超えた数も出し、hideCount なら数を出さない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TC-UT_AWEB-037</t>
        </is>
      </c>
      <c r="B34" s="13" t="inlineStr">
        <is>
          <t>選択肢を出し、選んだ値を onChange に渡す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TC-UT_AWEB-038</t>
        </is>
      </c>
      <c r="B35" s="13" t="inlineStr">
        <is>
          <t>移動先のない様式①（500）は、OK で閉じてもセッションを捨てず、同じ画面に残る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TC-UT_AWEB-039</t>
        </is>
      </c>
      <c r="B36" s="13" t="inlineStr">
        <is>
          <t>multiline なら textarea を rows の行数で出す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TC-UT_AWEB-040</t>
        </is>
      </c>
      <c r="B37" s="13" t="inlineStr">
        <is>
          <t>onRowClick がなければ行を押せる見た目にせず、押しても何も起きない</t>
        </is>
      </c>
      <c r="C37" s="13" t="inlineStr">
        <is>
          <t>未作成</t>
        </is>
      </c>
      <c r="D37" s="13" t="inlineStr"/>
      <c r="E37" s="13" t="inlineStr"/>
      <c r="F37" s="13" t="inlineStr"/>
    </row>
  </sheetData>
  <autoFilter ref="A4:F3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管理画面の枠と共通部品（apps/admin/src の layout・shared）</t>
        </is>
      </c>
    </row>
    <row r="4">
      <c r="A4" s="14" t="inlineStr">
        <is>
          <t>対象ファイル</t>
        </is>
      </c>
      <c r="B4" s="15" t="inlineStr">
        <is>
          <t>apps/admin/src/layout/AdminLayout.tsx, apps/admin/src/layout/AdminHeader.tsx, apps/admin/src/layout/AdminSideMenu.tsx, apps/admin/src/layout/WorldStateBadge.tsx, apps/admin/src/layout/worldTime.ts, apps/admin/src/shared/useApiErrorHandler.ts, apps/admin/src/shared/ErrorContext.tsx, apps/admin/src/shared/ErrorModal.tsx, apps/admin/src/shared/ErrorBanner.tsx, apps/admin/src/shared/FieldError.tsx, apps/admin/src/shared/ConfirmDialog.tsx, apps/admin/src/shared/Toast.tsx, apps/admin/src/shared/Modal.tsx, apps/admin/src/shared/NumberField.tsx, apps/admin/src/shared/TextField.tsx, apps/admin/src/shared/SelectField.tsx, apps/admin/src/shared/DataTable.tsx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apps/admin/src/layout/layout.test.tsx（実装時、NOUS-50）, apps/admin/src/shared/shared.test.tsx（実装時、NOUS-50）, apps/admin/src/layout/layout.ut.test.tsx（単体テストで追加）, apps/admin/src/shared/shared.ut.test.tsx（単体テストで追加）</t>
        </is>
      </c>
    </row>
    <row r="7">
      <c r="A7" s="14" t="inlineStr">
        <is>
          <t>外部依存</t>
        </is>
      </c>
      <c r="B7" s="15" t="inlineStr">
        <is>
          <t>fetch（mockFetch）, TanStack Query, React Router, setTimeout（Toast。vi.useFakeTimers）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formatWorldTime：負の秒を 0 にする（Math.max）</t>
        </is>
      </c>
      <c r="C11" s="17" t="inlineStr">
        <is>
          <t>layout/worldTime.ts:3</t>
        </is>
      </c>
    </row>
    <row r="12">
      <c r="A12" s="17" t="inlineStr">
        <is>
          <t>B2</t>
        </is>
      </c>
      <c r="B12" s="17" t="inlineStr">
        <is>
          <t>formatStopReason：stopReason がない</t>
        </is>
      </c>
      <c r="C12" s="17" t="inlineStr">
        <is>
          <t>layout/WorldStateBadge.tsx:23</t>
        </is>
      </c>
    </row>
    <row r="13">
      <c r="A13" s="17" t="inlineStr">
        <is>
          <t>B3</t>
        </is>
      </c>
      <c r="B13" s="17" t="inlineStr">
        <is>
          <t>formatStopReason：知らない理由（?? stopReason）</t>
        </is>
      </c>
      <c r="C13" s="17" t="inlineStr">
        <is>
          <t>layout/WorldStateBadge.tsx:24</t>
        </is>
      </c>
    </row>
    <row r="14">
      <c r="A14" s="17" t="inlineStr">
        <is>
          <t>B4</t>
        </is>
      </c>
      <c r="B14" s="17" t="inlineStr">
        <is>
          <t>WorldStateBadge：上限停止なら理由を添える</t>
        </is>
      </c>
      <c r="C14" s="17" t="inlineStr">
        <is>
          <t>layout/WorldStateBadge.tsx:33</t>
        </is>
      </c>
    </row>
    <row r="15">
      <c r="A15" s="17" t="inlineStr">
        <is>
          <t>B5</t>
        </is>
      </c>
      <c r="B15" s="17" t="inlineStr">
        <is>
          <t>AdminHeader：世界の状態を取得済み</t>
        </is>
      </c>
      <c r="C15" s="17" t="inlineStr">
        <is>
          <t>layout/AdminHeader.tsx:29</t>
        </is>
      </c>
    </row>
    <row r="16">
      <c r="A16" s="17" t="inlineStr">
        <is>
          <t>B6</t>
        </is>
      </c>
      <c r="B16" s="17" t="inlineStr">
        <is>
          <t>AdminLayout：閉じた様式①の移動先が /login（セッションを捨てる）</t>
        </is>
      </c>
      <c r="C16" s="17" t="inlineStr">
        <is>
          <t>layout/AdminLayout.tsx:19</t>
        </is>
      </c>
    </row>
    <row r="17">
      <c r="A17" s="17" t="inlineStr">
        <is>
          <t>B7</t>
        </is>
      </c>
      <c r="B17" s="17" t="inlineStr">
        <is>
          <t>AdminSideMenu：現在の画面（isActive）</t>
        </is>
      </c>
      <c r="C17" s="17" t="inlineStr">
        <is>
          <t>layout/AdminSideMenu.tsx:31-34</t>
        </is>
      </c>
    </row>
    <row r="18">
      <c r="A18" s="17" t="inlineStr">
        <is>
          <t>B8</t>
        </is>
      </c>
      <c r="B18" s="17" t="inlineStr">
        <is>
          <t>useApiErrorHandler：ApiError</t>
        </is>
      </c>
      <c r="C18" s="17" t="inlineStr">
        <is>
          <t>shared/useApiErrorHandler.ts:33</t>
        </is>
      </c>
    </row>
    <row r="19">
      <c r="A19" s="17" t="inlineStr">
        <is>
          <t>B9</t>
        </is>
      </c>
      <c r="B19" s="17" t="inlineStr">
        <is>
          <t>useApiErrorHandler：401</t>
        </is>
      </c>
      <c r="C19" s="17" t="inlineStr">
        <is>
          <t>shared/useApiErrorHandler.ts:34</t>
        </is>
      </c>
    </row>
    <row r="20">
      <c r="A20" s="17" t="inlineStr">
        <is>
          <t>B10</t>
        </is>
      </c>
      <c r="B20" s="17" t="inlineStr">
        <is>
          <t>useApiErrorHandler：403 かつ CSRF_INVALID</t>
        </is>
      </c>
      <c r="C20" s="17" t="inlineStr">
        <is>
          <t>shared/useApiErrorHandler.ts:38</t>
        </is>
      </c>
    </row>
    <row r="21">
      <c r="A21" s="17" t="inlineStr">
        <is>
          <t>B11</t>
        </is>
      </c>
      <c r="B21" s="17" t="inlineStr">
        <is>
          <t>useApiErrorHandler：409</t>
        </is>
      </c>
      <c r="C21" s="17" t="inlineStr">
        <is>
          <t>shared/useApiErrorHandler.ts:42</t>
        </is>
      </c>
    </row>
    <row r="22">
      <c r="A22" s="17" t="inlineStr">
        <is>
          <t>B12</t>
        </is>
      </c>
      <c r="B22" s="17" t="inlineStr">
        <is>
          <t>useApiErrorHandler：conflictMessage が関数</t>
        </is>
      </c>
      <c r="C22" s="17" t="inlineStr">
        <is>
          <t>shared/useApiErrorHandler.ts:44-45</t>
        </is>
      </c>
    </row>
    <row r="23">
      <c r="A23" s="17" t="inlineStr">
        <is>
          <t>B13</t>
        </is>
      </c>
      <c r="B23" s="17" t="inlineStr">
        <is>
          <t>useApiErrorHandler：conflictMessage がない（?? error.message）</t>
        </is>
      </c>
      <c r="C23" s="17" t="inlineStr">
        <is>
          <t>shared/useApiErrorHandler.ts:46</t>
        </is>
      </c>
    </row>
    <row r="24">
      <c r="A24" s="17" t="inlineStr">
        <is>
          <t>B14</t>
        </is>
      </c>
      <c r="B24" s="17" t="inlineStr">
        <is>
          <t>useApiErrorHandler：400</t>
        </is>
      </c>
      <c r="C24" s="17" t="inlineStr">
        <is>
          <t>shared/useApiErrorHandler.ts:51</t>
        </is>
      </c>
    </row>
    <row r="25">
      <c r="A25" s="17" t="inlineStr">
        <is>
          <t>B15</t>
        </is>
      </c>
      <c r="B25" s="17" t="inlineStr">
        <is>
          <t>useApiErrorHandler：fields に項目がある</t>
        </is>
      </c>
      <c r="C25" s="17" t="inlineStr">
        <is>
          <t>shared/useApiErrorHandler.ts:52-53</t>
        </is>
      </c>
    </row>
    <row r="26">
      <c r="A26" s="17" t="inlineStr">
        <is>
          <t>B16</t>
        </is>
      </c>
      <c r="B26" s="17" t="inlineStr">
        <is>
          <t>useApiErrorHandler：500 以上</t>
        </is>
      </c>
      <c r="C26" s="17" t="inlineStr">
        <is>
          <t>shared/useApiErrorHandler.ts:56</t>
        </is>
      </c>
    </row>
    <row r="27">
      <c r="A27" s="17" t="inlineStr">
        <is>
          <t>B17</t>
        </is>
      </c>
      <c r="B27" s="17" t="inlineStr">
        <is>
          <t>useApiErrorHandler：NetworkError</t>
        </is>
      </c>
      <c r="C27" s="17" t="inlineStr">
        <is>
          <t>shared/useApiErrorHandler.ts:64</t>
        </is>
      </c>
    </row>
    <row r="28">
      <c r="A28" s="17" t="inlineStr">
        <is>
          <t>B18</t>
        </is>
      </c>
      <c r="B28" s="17" t="inlineStr">
        <is>
          <t>useApiErrorHandler：AbortError</t>
        </is>
      </c>
      <c r="C28" s="17" t="inlineStr">
        <is>
          <t>shared/useApiErrorHandler.ts:68</t>
        </is>
      </c>
    </row>
    <row r="29">
      <c r="A29" s="17" t="inlineStr">
        <is>
          <t>B19</t>
        </is>
      </c>
      <c r="B29" s="17" t="inlineStr">
        <is>
          <t>ErrorModal：message がない（出さない）</t>
        </is>
      </c>
      <c r="C29" s="17" t="inlineStr">
        <is>
          <t>shared/ErrorModal.tsx:13</t>
        </is>
      </c>
    </row>
    <row r="30">
      <c r="A30" s="17" t="inlineStr">
        <is>
          <t>B20</t>
        </is>
      </c>
      <c r="B30" s="17" t="inlineStr">
        <is>
          <t>ErrorModal：redirectTo がある</t>
        </is>
      </c>
      <c r="C30" s="17" t="inlineStr">
        <is>
          <t>shared/ErrorModal.tsx:17</t>
        </is>
      </c>
    </row>
    <row r="31">
      <c r="A31" s="17" t="inlineStr">
        <is>
          <t>B21</t>
        </is>
      </c>
      <c r="B31" s="17" t="inlineStr">
        <is>
          <t>ErrorBanner：message がない（出さない）</t>
        </is>
      </c>
      <c r="C31" s="17" t="inlineStr">
        <is>
          <t>shared/ErrorBanner.tsx:10</t>
        </is>
      </c>
    </row>
    <row r="32">
      <c r="A32" s="17" t="inlineStr">
        <is>
          <t>B22</t>
        </is>
      </c>
      <c r="B32" s="17" t="inlineStr">
        <is>
          <t>ErrorBanner：onClose がある（閉じるボタン）</t>
        </is>
      </c>
      <c r="C32" s="17" t="inlineStr">
        <is>
          <t>shared/ErrorBanner.tsx:24</t>
        </is>
      </c>
    </row>
    <row r="33">
      <c r="A33" s="17" t="inlineStr">
        <is>
          <t>B23</t>
        </is>
      </c>
      <c r="B33" s="17" t="inlineStr">
        <is>
          <t>FieldError：message がない（出さない）</t>
        </is>
      </c>
      <c r="C33" s="17" t="inlineStr">
        <is>
          <t>shared/FieldError.tsx:10</t>
        </is>
      </c>
    </row>
    <row r="34">
      <c r="A34" s="17" t="inlineStr">
        <is>
          <t>B24</t>
        </is>
      </c>
      <c r="B34" s="17" t="inlineStr">
        <is>
          <t>TextField：hideCount</t>
        </is>
      </c>
      <c r="C34" s="17" t="inlineStr">
        <is>
          <t>shared/TextField.tsx:56</t>
        </is>
      </c>
    </row>
    <row r="35">
      <c r="A35" s="17" t="inlineStr">
        <is>
          <t>B25</t>
        </is>
      </c>
      <c r="B35" s="17" t="inlineStr">
        <is>
          <t>TextField：文字数が maxLength を超える</t>
        </is>
      </c>
      <c r="C35" s="17" t="inlineStr">
        <is>
          <t>shared/TextField.tsx:57</t>
        </is>
      </c>
    </row>
    <row r="36">
      <c r="A36" s="17" t="inlineStr">
        <is>
          <t>B26</t>
        </is>
      </c>
      <c r="B36" s="17" t="inlineStr">
        <is>
          <t>TextField：multiline</t>
        </is>
      </c>
      <c r="C36" s="17" t="inlineStr">
        <is>
          <t>shared/TextField.tsx:62</t>
        </is>
      </c>
    </row>
    <row r="37">
      <c r="A37" s="17" t="inlineStr">
        <is>
          <t>B27</t>
        </is>
      </c>
      <c r="B37" s="17" t="inlineStr">
        <is>
          <t>DataTable：行が 0 件</t>
        </is>
      </c>
      <c r="C37" s="17" t="inlineStr">
        <is>
          <t>shared/DataTable.tsx:46</t>
        </is>
      </c>
    </row>
    <row r="38">
      <c r="A38" s="17" t="inlineStr">
        <is>
          <t>B28</t>
        </is>
      </c>
      <c r="B38" s="17" t="inlineStr">
        <is>
          <t>DataTable：onRowClick がある</t>
        </is>
      </c>
      <c r="C38" s="17" t="inlineStr">
        <is>
          <t>shared/DataTable.tsx:56-57</t>
        </is>
      </c>
    </row>
    <row r="39">
      <c r="A39" s="17" t="inlineStr">
        <is>
          <t>B29</t>
        </is>
      </c>
      <c r="B39" s="17" t="inlineStr">
        <is>
          <t>NumberField・TextField：error がある（aria-invalid）</t>
        </is>
      </c>
      <c r="C39" s="17" t="inlineStr">
        <is>
          <t>shared/NumberField.tsx:36、shared/TextField.tsx:44</t>
        </is>
      </c>
    </row>
    <row r="41">
      <c r="A41" s="14" t="inlineStr">
        <is>
          <t>確認事項・潜在バグ</t>
        </is>
      </c>
    </row>
    <row r="42" ht="30" customHeight="1">
      <c r="A42" s="18" t="inlineStr">
        <is>
          <t>・確認事項 1：ConfirmDialog の送信中の再送の防止（ConfirmDialog.tsx:27 の if (submitting) return）は、送信中はボタンを disabled にするため画面の操作では通らない。TC-NOUS50_DEV-22 で、送信中にボタンが押せないことだけを確かめている。分岐の一覧からは外した</t>
        </is>
      </c>
    </row>
    <row r="43" ht="30" customHeight="1">
      <c r="A43" s="18" t="inlineStr">
        <is>
          <t>・確認事項 2：色・余白・danger のボタンの色などの見た目は、README 6.5 のとおり単体テストの対象にしない（ST の UI レビューで見る）</t>
        </is>
      </c>
    </row>
  </sheetData>
  <mergeCells count="2">
    <mergeCell ref="A42:C42"/>
    <mergeCell ref="A43:C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2026-10-26T06:10:18Z</dcterms:created>
  <dcterms:modified xsi:type="dcterms:W3CDTF">2026-10-26T06:10:18Z</dcterms:modified>
</cp:coreProperties>
</file>