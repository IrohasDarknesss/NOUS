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'観点表'!$A$4:$Q$34</definedName>
    <definedName name="_xlnm.Print_Titles" localSheetId="0">'観点表'!$4:$4</definedName>
    <definedName name="_xlnm._FilterDatabase" localSheetId="2" hidden="1">'テストデータ'!$A$4:$F$34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P205 実行設定（apps/admin/src/pages/RunSettingsPage.tsx・pages/runSettings）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TC-NOUS69_DEV-16</t>
        </is>
      </c>
      <c r="C5" s="5" t="inlineStr">
        <is>
          <t>computeEstimate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通常の入力で 1巡の回数・Neurons・1日の回数と Neurons・周期の下限を計算し overLimit=false を返す</t>
        </is>
      </c>
      <c r="G5" s="5" t="inlineStr">
        <is>
          <t>前提：なし
入力：周期 20・活動量 100・上限 9,500、平均 15.8・10 体・0.6</t>
        </is>
      </c>
      <c r="H5" s="5" t="inlineStr">
        <is>
          <t>6 回・95・72 巡・432 回・6,826・15 分・false</t>
        </is>
      </c>
      <c r="I5" s="5" t="inlineStr">
        <is>
          <t>B19-T, B20-T, B21-F, B22-F</t>
        </is>
      </c>
      <c r="J5" s="5" t="inlineStr">
        <is>
          <t>なし</t>
        </is>
      </c>
      <c r="K5" s="5" t="inlineStr"/>
      <c r="L5" s="5" t="inlineStr"/>
      <c r="M5" s="5" t="inlineStr">
        <is>
          <t>TC-NOUS69_DEV-16 computeEstimate は通常の入力で 1巡の回数・Neurons・1日の回数と Neurons・周期の下限を計算し overLimit=false を返す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既存テスト：実装時のテスト（NOUS-69）</t>
        </is>
      </c>
    </row>
    <row r="6">
      <c r="A6" s="4" t="n">
        <v>2</v>
      </c>
      <c r="B6" s="4" t="inlineStr">
        <is>
          <t>TC-NOUS69_DEV-17</t>
        </is>
      </c>
      <c r="C6" s="5" t="inlineStr">
        <is>
          <t>computeEstimate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1日の見込み Neurons が日次上限を超えるとき overLimit=true を返す</t>
        </is>
      </c>
      <c r="G6" s="5" t="inlineStr">
        <is>
          <t>前提：なし
入力：周期 15・上限 5,000</t>
        </is>
      </c>
      <c r="H6" s="5" t="inlineStr">
        <is>
          <t>9,101、true</t>
        </is>
      </c>
      <c r="I6" s="5" t="inlineStr">
        <is>
          <t>B22-T</t>
        </is>
      </c>
      <c r="J6" s="5" t="inlineStr">
        <is>
          <t>なし</t>
        </is>
      </c>
      <c r="K6" s="5" t="inlineStr"/>
      <c r="L6" s="5" t="inlineStr"/>
      <c r="M6" s="5" t="inlineStr">
        <is>
          <t>TC-NOUS69_DEV-17 computeEstimate は 1日の見込み Neurons が日次上限を超えるとき overLimit=true を返す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既存テスト：実装時のテスト（NOUS-69）</t>
        </is>
      </c>
    </row>
    <row r="7">
      <c r="A7" s="4" t="n">
        <v>3</v>
      </c>
      <c r="B7" s="4" t="inlineStr">
        <is>
          <t>TC-NOUS69_DEV-18</t>
        </is>
      </c>
      <c r="C7" s="5" t="inlineStr">
        <is>
          <t>computeEstimate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日次上限と 1巡の Neurons から周期の下限（ceil）を逆算する</t>
        </is>
      </c>
      <c r="G7" s="5" t="inlineStr">
        <is>
          <t>前提：なし
入力：周期 30・活動量 50・上限 3,000、平均 20・10 体・0.5</t>
        </is>
      </c>
      <c r="H7" s="5" t="inlineStr">
        <is>
          <t>1巡 50、下限 24 分</t>
        </is>
      </c>
      <c r="I7" s="5" t="inlineStr">
        <is>
          <t>B20-T</t>
        </is>
      </c>
      <c r="J7" s="5" t="inlineStr">
        <is>
          <t>なし</t>
        </is>
      </c>
      <c r="K7" s="5" t="inlineStr"/>
      <c r="L7" s="5" t="inlineStr"/>
      <c r="M7" s="5" t="inlineStr">
        <is>
          <t>TC-NOUS69_DEV-18 computeEstimate は日次上限と 1巡の Neurons から周期の下限（ceil）を逆算する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既存テスト：実装時のテスト（NOUS-69）</t>
        </is>
      </c>
    </row>
    <row r="8">
      <c r="A8" s="4" t="n">
        <v>4</v>
      </c>
      <c r="B8" s="4" t="inlineStr">
        <is>
          <t>TC-NOUS69_DEV-19</t>
        </is>
      </c>
      <c r="C8" s="5" t="inlineStr">
        <is>
          <t>computeEstimate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周期 0・体数 0・上限 0 でも 0 除算を起こさず有限の値を返す</t>
        </is>
      </c>
      <c r="G8" s="5" t="inlineStr">
        <is>
          <t>前提：なし
入力：すべて 0</t>
        </is>
      </c>
      <c r="H8" s="5" t="inlineStr">
        <is>
          <t>0・0・0・false</t>
        </is>
      </c>
      <c r="I8" s="5" t="inlineStr">
        <is>
          <t>B19-F, B20-F</t>
        </is>
      </c>
      <c r="J8" s="5" t="inlineStr">
        <is>
          <t>なし</t>
        </is>
      </c>
      <c r="K8" s="5" t="inlineStr"/>
      <c r="L8" s="5" t="inlineStr"/>
      <c r="M8" s="5" t="inlineStr">
        <is>
          <t>TC-NOUS69_DEV-19 computeEstimate は周期 0・体数 0・上限 0 でも 0 除算を起こさず有限の値を返す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既存テスト：実装時のテスト（NOUS-69）
疑い：周期の下限 0 を期待しているが、サーバーと同じ式なら 15（疑い 1）</t>
        </is>
      </c>
    </row>
    <row r="9">
      <c r="A9" s="4" t="n">
        <v>5</v>
      </c>
      <c r="B9" s="4" t="inlineStr">
        <is>
          <t>TC-NOUS69_DEV-20</t>
        </is>
      </c>
      <c r="C9" s="5" t="inlineStr">
        <is>
          <t>validateSettingsField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全 9 項目の境界値と整数判定を行う</t>
        </is>
      </c>
      <c r="G9" s="5" t="inlineStr">
        <is>
          <t>前提：なし
入力：各項目の min-1・min・max・max+1、"20.5"、""</t>
        </is>
      </c>
      <c r="H9" s="5" t="inlineStr">
        <is>
          <t>範囲外は「{min}〜{max} の整数で入力してください」、範囲内は null</t>
        </is>
      </c>
      <c r="I9" s="5" t="inlineStr">
        <is>
          <t>B1-T, B1-F, B2-T, B4-T, B4-F</t>
        </is>
      </c>
      <c r="J9" s="5" t="inlineStr">
        <is>
          <t>なし</t>
        </is>
      </c>
      <c r="K9" s="5" t="inlineStr"/>
      <c r="L9" s="5" t="inlineStr"/>
      <c r="M9" s="5" t="inlineStr">
        <is>
          <t>TC-NOUS69_DEV-20 validateSettingsField は全 9 項目の境界値と整数判定を行う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既存テスト：実装時のテスト（NOUS-69）</t>
        </is>
      </c>
    </row>
    <row r="10">
      <c r="A10" s="4" t="n">
        <v>6</v>
      </c>
      <c r="B10" s="4" t="inlineStr">
        <is>
          <t>TC-NOUS69_DEV-21</t>
        </is>
      </c>
      <c r="C10" s="5" t="inlineStr">
        <is>
          <t>RunSettingsPage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入力値の変更で見込みを再計算し、上限超過で LimitWarning を表示し、元に戻すで初期値に復帰する</t>
        </is>
      </c>
      <c r="G10" s="5" t="inlineStr">
        <is>
          <t>前提：settings 200（取得が終わるまでは読み込み中）
入力：Neurons の日次上限を 5,000 → 元に戻す</t>
        </is>
      </c>
      <c r="H10" s="5" t="inlineStr">
        <is>
          <t>注意を表示し、元に戻すで 9,500 と注意なし</t>
        </is>
      </c>
      <c r="I10" s="5" t="inlineStr">
        <is>
          <t>B6-T, B7-T, B11-T, B12-F, B17-T, B17-F, B23-T, B23-F</t>
        </is>
      </c>
      <c r="J10" s="5" t="inlineStr">
        <is>
          <t>fetch を mockFetch で差し替え、renderApp（createMemoryRouter と QueryClient）</t>
        </is>
      </c>
      <c r="K10" s="5" t="inlineStr"/>
      <c r="L10" s="5" t="inlineStr"/>
      <c r="M10" s="5" t="inlineStr">
        <is>
          <t>TC-NOUS69_DEV-21 P205 入力値の変更で見込みを再計算し、上限超過で LimitWarning を表示し、元に戻すで初期値に復帰する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既存テスト：実装時のテスト（NOUS-69）</t>
        </is>
      </c>
    </row>
    <row r="11">
      <c r="A11" s="4" t="n">
        <v>7</v>
      </c>
      <c r="B11" s="4" t="inlineStr">
        <is>
          <t>TC-NOUS69_DEV-22</t>
        </is>
      </c>
      <c r="C11" s="5" t="inlineStr">
        <is>
          <t>RunSettingsPage（保存）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保存成功で PUT を送りトーストを表示し、stateChanged があれば追記する</t>
        </is>
      </c>
      <c r="G11" s="5" t="inlineStr">
        <is>
          <t>前提：settings 200、PUT 200（stateChanged あり）
入力：周期 30 で保存</t>
        </is>
      </c>
      <c r="H11" s="5" t="inlineStr">
        <is>
          <t>PUT、「保存しました。周期と活動量は次の巡から反映します。上限停止が解けました」</t>
        </is>
      </c>
      <c r="I11" s="5" t="inlineStr">
        <is>
          <t>B13-F, B14-T</t>
        </is>
      </c>
      <c r="J11" s="5" t="inlineStr">
        <is>
          <t>fetch を mockFetch で差し替え、renderApp（createMemoryRouter と QueryClient）</t>
        </is>
      </c>
      <c r="K11" s="5" t="inlineStr"/>
      <c r="L11" s="5" t="inlineStr"/>
      <c r="M11" s="5" t="inlineStr">
        <is>
          <t>TC-NOUS69_DEV-22 P205 保存成功で PUT /admin/api/settings を送りトーストを表示し、stateChanged があれば追記する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既存テスト：実装時のテスト（NOUS-69）</t>
        </is>
      </c>
    </row>
    <row r="12">
      <c r="A12" s="4" t="n">
        <v>8</v>
      </c>
      <c r="B12" s="4" t="inlineStr">
        <is>
          <t>TC-NOUS69_DEV-23</t>
        </is>
      </c>
      <c r="C12" s="5" t="inlineStr">
        <is>
          <t>RunSettingsPage（保存）</t>
        </is>
      </c>
      <c r="D12" s="4" t="inlineStr">
        <is>
          <t>異常系</t>
        </is>
      </c>
      <c r="E12" s="4" t="inlineStr">
        <is>
          <t>開発者テスト</t>
        </is>
      </c>
      <c r="F12" s="5" t="inlineStr">
        <is>
          <t>保存時の 400 VALIDATION_ERROR でサーバーの fields の文言を各入力欄の下に表示する</t>
        </is>
      </c>
      <c r="G12" s="5" t="inlineStr">
        <is>
          <t>前提：settings 200、PUT 400（fields）
入力：保存</t>
        </is>
      </c>
      <c r="H12" s="5" t="inlineStr">
        <is>
          <t>各欄の下に fields の文言</t>
        </is>
      </c>
      <c r="I12" s="5" t="inlineStr">
        <is>
          <t>B15-F, B16-T</t>
        </is>
      </c>
      <c r="J12" s="5" t="inlineStr">
        <is>
          <t>fetch を mockFetch で差し替え、renderApp（createMemoryRouter と QueryClient）</t>
        </is>
      </c>
      <c r="K12" s="5" t="inlineStr"/>
      <c r="L12" s="5" t="inlineStr"/>
      <c r="M12" s="5" t="inlineStr">
        <is>
          <t>TC-NOUS69_DEV-23 P205 保存時の 400 VALIDATION_ERROR でサーバーの fields のエラー文言を各入力欄の下に表示する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既存テスト：実装時のテスト（NOUS-69）</t>
        </is>
      </c>
    </row>
    <row r="13">
      <c r="A13" s="4" t="n">
        <v>9</v>
      </c>
      <c r="B13" s="4" t="inlineStr">
        <is>
          <t>TC-NOUS69_DEV-24</t>
        </is>
      </c>
      <c r="C13" s="5" t="inlineStr">
        <is>
          <t>useUnsavedGuard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未保存の変更がある状態で画面移動すると ConfirmDialog を表示する</t>
        </is>
      </c>
      <c r="G13" s="5" t="inlineStr">
        <is>
          <t>前提：settings 200
入力：値を変えてサイドメニューで移動</t>
        </is>
      </c>
      <c r="H13" s="5" t="inlineStr">
        <is>
          <t>「変更が保存されていません。移動しますか」</t>
        </is>
      </c>
      <c r="I13" s="5" t="inlineStr">
        <is>
          <t>B5-F, B18-T</t>
        </is>
      </c>
      <c r="J13" s="5" t="inlineStr">
        <is>
          <t>fetch を mockFetch で差し替え、renderApp（createMemoryRouter と QueryClient）</t>
        </is>
      </c>
      <c r="K13" s="5" t="inlineStr"/>
      <c r="L13" s="5" t="inlineStr"/>
      <c r="M13" s="5" t="inlineStr">
        <is>
          <t>TC-NOUS69_DEV-24 P205 未保存の変更がある状態で画面移動すると ConfirmDialog を表示する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既存テスト：実装時のテスト（NOUS-69）</t>
        </is>
      </c>
    </row>
    <row r="14">
      <c r="A14" s="4" t="n">
        <v>10</v>
      </c>
      <c r="B14" s="4" t="inlineStr">
        <is>
          <t>TC-UT_P205-001</t>
        </is>
      </c>
      <c r="C14" s="5" t="inlineStr">
        <is>
          <t>computeEstimate</t>
        </is>
      </c>
      <c r="D14" s="4" t="inlineStr">
        <is>
          <t>正常系</t>
        </is>
      </c>
      <c r="E14" s="4" t="inlineStr">
        <is>
          <t>境界値</t>
        </is>
      </c>
      <c r="F14" s="5" t="inlineStr">
        <is>
          <t>計算した周期の下限が 15 分を下回るときは、サーバーの estimateDaily と同じく 15 分にする</t>
        </is>
      </c>
      <c r="G14" s="5" t="inlineStr">
        <is>
          <t>前提：なし
入力：周期 20・活動量 10・上限 9,500、平均 15.8・10 体・0.6</t>
        </is>
      </c>
      <c r="H14" s="5" t="inlineStr">
        <is>
          <t>dailyRuns 43、dailyNeurons 683、周期の下限 15</t>
        </is>
      </c>
      <c r="I14" s="5" t="inlineStr">
        <is>
          <t>B20-T</t>
        </is>
      </c>
      <c r="J14" s="5" t="inlineStr">
        <is>
          <t>なし</t>
        </is>
      </c>
      <c r="K14" s="5" t="inlineStr"/>
      <c r="L14" s="5" t="inlineStr"/>
      <c r="M14" s="5" t="inlineStr">
        <is>
          <t>TC-UT_P205-001 計算した周期の下限が 15 分を下回るときは、サーバーの estimateDaily と同じく 15 分にする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既存テスト：なし（DEV は下限がちょうど 15 以上になる入力だけ）
疑い：実装は 2（ceil(1440÷(9500÷9.48))）を返す。疑い 1
サーバーの値は TC-UT_WLD-043（NOUS-97）と同じ入力</t>
        </is>
      </c>
    </row>
    <row r="15">
      <c r="A15" s="4" t="n">
        <v>11</v>
      </c>
      <c r="B15" s="4" t="inlineStr">
        <is>
          <t>TC-UT_P205-002</t>
        </is>
      </c>
      <c r="C15" s="5" t="inlineStr">
        <is>
          <t>computeEstimate</t>
        </is>
      </c>
      <c r="D15" s="4" t="inlineStr">
        <is>
          <t>異常系</t>
        </is>
      </c>
      <c r="E15" s="4" t="inlineStr">
        <is>
          <t>分岐網羅</t>
        </is>
      </c>
      <c r="F15" s="5" t="inlineStr">
        <is>
          <t>1巡の Neurons が 0（稼働中のエージェントが 0 体）のときは、サーバーの estimateDaily と同じく周期の下限を 15 分にする</t>
        </is>
      </c>
      <c r="G15" s="5" t="inlineStr">
        <is>
          <t>前提：なし
入力：体数 0・参加 0、ほかは既定</t>
        </is>
      </c>
      <c r="H15" s="5" t="inlineStr">
        <is>
          <t>dailyRuns 0、周期の下限 15</t>
        </is>
      </c>
      <c r="I15" s="5" t="inlineStr">
        <is>
          <t>B20-F</t>
        </is>
      </c>
      <c r="J15" s="5" t="inlineStr">
        <is>
          <t>なし</t>
        </is>
      </c>
      <c r="K15" s="5" t="inlineStr"/>
      <c r="L15" s="5" t="inlineStr"/>
      <c r="M15" s="5" t="inlineStr">
        <is>
          <t>TC-UT_P205-002 1巡の Neurons が 0（稼働中のエージェントが 0 体）のときは、サーバーの estimateDaily と同じく周期の下限を 15 分にする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TC-NOUS69_DEV-19（0 を期待している）
疑い：実装は 0 を返す。疑い 1
サーバーは TC-NOUS58_DEV-02 で 15</t>
        </is>
      </c>
    </row>
    <row r="16">
      <c r="A16" s="4" t="n">
        <v>12</v>
      </c>
      <c r="B16" s="4" t="inlineStr">
        <is>
          <t>TC-UT_P205-003</t>
        </is>
      </c>
      <c r="C16" s="5" t="inlineStr">
        <is>
          <t>computeEstimate</t>
        </is>
      </c>
      <c r="D16" s="4" t="inlineStr">
        <is>
          <t>正常系</t>
        </is>
      </c>
      <c r="E16" s="4" t="inlineStr">
        <is>
          <t>同値分割</t>
        </is>
      </c>
      <c r="F16" s="5" t="inlineStr">
        <is>
          <t>見込みの元（SettingsEstimateBasis）をまとめて渡しても、数値を別々に渡したときと同じ結果にする</t>
        </is>
      </c>
      <c r="G16" s="5" t="inlineStr">
        <is>
          <t>前提：なし
入力：{ avgNeuronsPerRun 15.8, activeAgents 10, avgParticipation 0.6 }</t>
        </is>
      </c>
      <c r="H16" s="5" t="inlineStr">
        <is>
          <t>数値で渡したときと同じ</t>
        </is>
      </c>
      <c r="I16" s="5" t="inlineStr">
        <is>
          <t>B21-T</t>
        </is>
      </c>
      <c r="J16" s="5" t="inlineStr">
        <is>
          <t>なし</t>
        </is>
      </c>
      <c r="K16" s="5" t="inlineStr"/>
      <c r="L16" s="5" t="inlineStr"/>
      <c r="M16" s="5" t="inlineStr">
        <is>
          <t>TC-UT_P205-003 見込みの元（SettingsEstimateBasis）をまとめて渡しても、数値を別々に渡したときと同じ結果にする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</t>
        </is>
      </c>
    </row>
    <row r="17">
      <c r="A17" s="4" t="n">
        <v>13</v>
      </c>
      <c r="B17" s="4" t="inlineStr">
        <is>
          <t>TC-UT_P205-004</t>
        </is>
      </c>
      <c r="C17" s="5" t="inlineStr">
        <is>
          <t>computeEstimate</t>
        </is>
      </c>
      <c r="D17" s="4" t="inlineStr">
        <is>
          <t>異常系</t>
        </is>
      </c>
      <c r="E17" s="4" t="inlineStr">
        <is>
          <t>同値分割</t>
        </is>
      </c>
      <c r="F17" s="5" t="inlineStr">
        <is>
          <t>入力欄の文字列はそのまま数値として計算し、周期が空なら 1日の巡を 0 として 0 除算にしない</t>
        </is>
      </c>
      <c r="G17" s="5" t="inlineStr">
        <is>
          <t>前提：なし
入力："20"・"100"・"9500"、周期 ""</t>
        </is>
      </c>
      <c r="H17" s="5" t="inlineStr">
        <is>
          <t>文字列は数値と同じ 432・6,826、空の周期は 0・0・0・false</t>
        </is>
      </c>
      <c r="I17" s="5" t="inlineStr">
        <is>
          <t>B19-T, B19-F</t>
        </is>
      </c>
      <c r="J17" s="5" t="inlineStr">
        <is>
          <t>なし</t>
        </is>
      </c>
      <c r="K17" s="5" t="inlineStr"/>
      <c r="L17" s="5" t="inlineStr"/>
      <c r="M17" s="5" t="inlineStr">
        <is>
          <t>TC-UT_P205-004 入力欄の文字列はそのまま数値として計算し、周期が空なら 1日の巡を 0 として 0 除算にしない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TC-NOUS69_DEV-19（数値の 0 だけ）</t>
        </is>
      </c>
    </row>
    <row r="18">
      <c r="A18" s="4" t="n">
        <v>14</v>
      </c>
      <c r="B18" s="4" t="inlineStr">
        <is>
          <t>TC-UT_P205-005</t>
        </is>
      </c>
      <c r="C18" s="5" t="inlineStr">
        <is>
          <t>computeEstimate</t>
        </is>
      </c>
      <c r="D18" s="4" t="inlineStr">
        <is>
          <t>正常系</t>
        </is>
      </c>
      <c r="E18" s="4" t="inlineStr">
        <is>
          <t>境界値</t>
        </is>
      </c>
      <c r="F18" s="5" t="inlineStr">
        <is>
          <t>1日の見込みの Neurons が上限ちょうどなら超えないとし、上限を 1 下回ると超えるとする</t>
        </is>
      </c>
      <c r="G18" s="5" t="inlineStr">
        <is>
          <t>前提：なし
入力：周期 20・活動量 100、平均 10・1 体・1、上限 720 と 719</t>
        </is>
      </c>
      <c r="H18" s="5" t="inlineStr">
        <is>
          <t>dailyNeurons 720、上限 720 で false、719 で true</t>
        </is>
      </c>
      <c r="I18" s="5" t="inlineStr">
        <is>
          <t>B22-T, B22-F</t>
        </is>
      </c>
      <c r="J18" s="5" t="inlineStr">
        <is>
          <t>なし</t>
        </is>
      </c>
      <c r="K18" s="5" t="inlineStr"/>
      <c r="L18" s="5" t="inlineStr"/>
      <c r="M18" s="5" t="inlineStr">
        <is>
          <t>TC-UT_P205-005 1日の見込みの Neurons が上限ちょうどなら超えないとし、上限を 1 下回ると超えるとする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TC-NOUS69_DEV-16・17（境界から離れた値）
「1日の Neurons &gt; Neurons の上限」（FE 詳細設計 4章）</t>
        </is>
      </c>
    </row>
    <row r="19">
      <c r="A19" s="4" t="n">
        <v>15</v>
      </c>
      <c r="B19" s="4" t="inlineStr">
        <is>
          <t>TC-UT_P205-006</t>
        </is>
      </c>
      <c r="C19" s="5" t="inlineStr">
        <is>
          <t>validateSettingsField</t>
        </is>
      </c>
      <c r="D19" s="4" t="inlineStr">
        <is>
          <t>異常系</t>
        </is>
      </c>
      <c r="E19" s="4" t="inlineStr">
        <is>
          <t>同値分割</t>
        </is>
      </c>
      <c r="F19" s="5" t="inlineStr">
        <is>
          <t>入力の文字列は前後の空白を除いて 10 進の整数だけを受け、指数・符号・小数点の表記は範囲外の文言にする</t>
        </is>
      </c>
      <c r="G19" s="5" t="inlineStr">
        <is>
          <t>前提：なし
入力：" 20 "、"020"、"1e2"、"+20"、"20.0"（周期）</t>
        </is>
      </c>
      <c r="H19" s="5" t="inlineStr">
        <is>
          <t>null、null、範囲外の文言 ×3</t>
        </is>
      </c>
      <c r="I19" s="5" t="inlineStr">
        <is>
          <t>B1-T, B2-T, B2-F, B3-F</t>
        </is>
      </c>
      <c r="J19" s="5" t="inlineStr">
        <is>
          <t>なし</t>
        </is>
      </c>
      <c r="K19" s="5" t="inlineStr"/>
      <c r="L19" s="5" t="inlineStr"/>
      <c r="M19" s="5" t="inlineStr">
        <is>
          <t>TC-UT_P205-006 入力の文字列は前後の空白を除いて 10 進の整数だけを受け、指数・符号・小数点の表記は範囲外の文言にする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既存テスト：一部 TC-NOUS69_DEV-20（"20.5" と空だけ）
「整数」の文字列の表記の扱いは設計書に記載なし。実装の値</t>
        </is>
      </c>
    </row>
    <row r="20">
      <c r="A20" s="4" t="n">
        <v>16</v>
      </c>
      <c r="B20" s="4" t="inlineStr">
        <is>
          <t>TC-UT_P205-007</t>
        </is>
      </c>
      <c r="C20" s="5" t="inlineStr">
        <is>
          <t>onFieldChange</t>
        </is>
      </c>
      <c r="D20" s="4" t="inlineStr">
        <is>
          <t>異常系</t>
        </is>
      </c>
      <c r="E20" s="4" t="inlineStr">
        <is>
          <t>状態遷移</t>
        </is>
      </c>
      <c r="F20" s="5" t="inlineStr">
        <is>
          <t>範囲外を入力するとすぐ入力欄の下に文言を出し、範囲内に直すと消す</t>
        </is>
      </c>
      <c r="G20" s="5" t="inlineStr">
        <is>
          <t>前提：settings 200
入力：活動量を 5 → 50</t>
        </is>
      </c>
      <c r="H20" s="5" t="inlineStr">
        <is>
          <t>5 で「10〜100 の整数で入力してください」、50 で消える</t>
        </is>
      </c>
      <c r="I20" s="5" t="inlineStr">
        <is>
          <t>B11-T, B12-T, B12-F, B3-T</t>
        </is>
      </c>
      <c r="J20" s="5" t="inlineStr">
        <is>
          <t>fetch を mockFetch で差し替え、renderApp（createMemoryRouter と QueryClient）</t>
        </is>
      </c>
      <c r="K20" s="5" t="inlineStr"/>
      <c r="L20" s="5" t="inlineStr"/>
      <c r="M20" s="5" t="inlineStr">
        <is>
          <t>TC-UT_P205-007 範囲外を入力するとすぐ入力欄の下に文言を出し、範囲内に直すと消す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
P205 E02</t>
        </is>
      </c>
    </row>
    <row r="21">
      <c r="A21" s="4" t="n">
        <v>17</v>
      </c>
      <c r="B21" s="4" t="inlineStr">
        <is>
          <t>TC-UT_P205-008</t>
        </is>
      </c>
      <c r="C21" s="5" t="inlineStr">
        <is>
          <t>saveSettings</t>
        </is>
      </c>
      <c r="D21" s="4" t="inlineStr">
        <is>
          <t>異常系</t>
        </is>
      </c>
      <c r="E21" s="4" t="inlineStr">
        <is>
          <t>分岐網羅</t>
        </is>
      </c>
      <c r="F21" s="5" t="inlineStr">
        <is>
          <t>検証に通らない項目があるときに保存を押すと、PUT を送らずに文言を出したままにする</t>
        </is>
      </c>
      <c r="G21" s="5" t="inlineStr">
        <is>
          <t>前提：settings 200
入力：並列数 4 で保存</t>
        </is>
      </c>
      <c r="H21" s="5" t="inlineStr">
        <is>
          <t>PUT 0 回、「1〜3 の整数で入力してください」</t>
        </is>
      </c>
      <c r="I21" s="5" t="inlineStr">
        <is>
          <t>B13-T</t>
        </is>
      </c>
      <c r="J21" s="5" t="inlineStr">
        <is>
          <t>fetch を mockFetch で差し替え、renderApp（createMemoryRouter と QueryClient）</t>
        </is>
      </c>
      <c r="K21" s="5" t="inlineStr"/>
      <c r="L21" s="5" t="inlineStr"/>
      <c r="M21" s="5" t="inlineStr">
        <is>
          <t>TC-UT_P205-008 検証に通らない項目があるときに保存を押すと、PUT を送らずに文言を出したままにする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
P205 E03「全項目が検証に通る」</t>
        </is>
      </c>
    </row>
    <row r="22">
      <c r="A22" s="4" t="n">
        <v>18</v>
      </c>
      <c r="B22" s="4" t="inlineStr">
        <is>
          <t>TC-UT_P205-009</t>
        </is>
      </c>
      <c r="C22" s="5" t="inlineStr">
        <is>
          <t>RunSettingsPage（H16・H17）</t>
        </is>
      </c>
      <c r="D22" s="4" t="inlineStr">
        <is>
          <t>正常系</t>
        </is>
      </c>
      <c r="E22" s="4" t="inlineStr">
        <is>
          <t>状態遷移</t>
        </is>
      </c>
      <c r="F22" s="5" t="inlineStr">
        <is>
          <t>変更がないときは保存と元に戻すを押せず、値を変えると押せるようにする</t>
        </is>
      </c>
      <c r="G22" s="5" t="inlineStr">
        <is>
          <t>前提：settings 200
入力：開いた直後、周期を 30 にした後</t>
        </is>
      </c>
      <c r="H22" s="5" t="inlineStr">
        <is>
          <t>直後は両方 disabled、変更後は両方 enabled</t>
        </is>
      </c>
      <c r="I22" s="5" t="inlineStr">
        <is>
          <t>B5-T</t>
        </is>
      </c>
      <c r="J22" s="5" t="inlineStr">
        <is>
          <t>fetch を mockFetch で差し替え、renderApp（createMemoryRouter と QueryClient）</t>
        </is>
      </c>
      <c r="K22" s="5" t="inlineStr"/>
      <c r="L22" s="5" t="inlineStr"/>
      <c r="M22" s="5" t="inlineStr">
        <is>
          <t>TC-UT_P205-009 変更がないときは保存と元に戻すを押せず、値を変えると押せるようにする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
P205 H16・H17「変更があるとき有効」</t>
        </is>
      </c>
    </row>
    <row r="23">
      <c r="A23" s="4" t="n">
        <v>19</v>
      </c>
      <c r="B23" s="4" t="inlineStr">
        <is>
          <t>TC-UT_P205-010</t>
        </is>
      </c>
      <c r="C23" s="5" t="inlineStr">
        <is>
          <t>onFieldChange / saveSettings</t>
        </is>
      </c>
      <c r="D23" s="4" t="inlineStr">
        <is>
          <t>正常系</t>
        </is>
      </c>
      <c r="E23" s="4" t="inlineStr">
        <is>
          <t>同値分割</t>
        </is>
      </c>
      <c r="F23" s="5" t="inlineStr">
        <is>
          <t>モデルとプロンプトの版を変えると、保存の PUT の本文にその値を入れる</t>
        </is>
      </c>
      <c r="G23" s="5" t="inlineStr">
        <is>
          <t>前提：settings 200、PUT 200
入力：モデル qwen、版 v2 で保存</t>
        </is>
      </c>
      <c r="H23" s="5" t="inlineStr">
        <is>
          <t>PUT の本文に modelId・promptVersion と cycleMinutes 20</t>
        </is>
      </c>
      <c r="I23" s="5" t="inlineStr">
        <is>
          <t>B11-F</t>
        </is>
      </c>
      <c r="J23" s="5" t="inlineStr">
        <is>
          <t>fetch を mockFetch で差し替え、renderApp（createMemoryRouter と QueryClient）</t>
        </is>
      </c>
      <c r="K23" s="5" t="inlineStr"/>
      <c r="L23" s="5" t="inlineStr"/>
      <c r="M23" s="5" t="inlineStr">
        <is>
          <t>TC-UT_P205-010 モデルとプロンプトの版を変えると、保存の PUT の本文にその値を入れる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</t>
        </is>
      </c>
    </row>
    <row r="24">
      <c r="A24" s="4" t="n">
        <v>20</v>
      </c>
      <c r="B24" s="4" t="inlineStr">
        <is>
          <t>TC-UT_P205-011</t>
        </is>
      </c>
      <c r="C24" s="5" t="inlineStr">
        <is>
          <t>saveSettings</t>
        </is>
      </c>
      <c r="D24" s="4" t="inlineStr">
        <is>
          <t>異常系</t>
        </is>
      </c>
      <c r="E24" s="4" t="inlineStr">
        <is>
          <t>エラー処理</t>
        </is>
      </c>
      <c r="F24" s="5" t="inlineStr">
        <is>
          <t>保存が 500 なら様式①「保存に失敗しました。時間をおいて再度お試しください」を出し、入力は残す</t>
        </is>
      </c>
      <c r="G24" s="5" t="inlineStr">
        <is>
          <t>前提：settings 200、PUT 500
入力：周期 30 で保存</t>
        </is>
      </c>
      <c r="H24" s="5" t="inlineStr">
        <is>
          <t>様式① の文言、周期は 30 のまま</t>
        </is>
      </c>
      <c r="I24" s="5" t="inlineStr">
        <is>
          <t>B15-T</t>
        </is>
      </c>
      <c r="J24" s="5" t="inlineStr">
        <is>
          <t>fetch を mockFetch で差し替え、renderApp（createMemoryRouter と QueryClient）</t>
        </is>
      </c>
      <c r="K24" s="5" t="inlineStr"/>
      <c r="L24" s="5" t="inlineStr"/>
      <c r="M24" s="5" t="inlineStr">
        <is>
          <t>TC-UT_P205-011 保存が 500 なら様式①「保存に失敗しました。時間をおいて再度お試しください」を出し、入力は残す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
P205 6章</t>
        </is>
      </c>
    </row>
    <row r="25">
      <c r="A25" s="4" t="n">
        <v>21</v>
      </c>
      <c r="B25" s="4" t="inlineStr">
        <is>
          <t>TC-UT_P205-012</t>
        </is>
      </c>
      <c r="C25" s="5" t="inlineStr">
        <is>
          <t>loadSettings</t>
        </is>
      </c>
      <c r="D25" s="4" t="inlineStr">
        <is>
          <t>異常系</t>
        </is>
      </c>
      <c r="E25" s="4" t="inlineStr">
        <is>
          <t>エラー処理</t>
        </is>
      </c>
      <c r="F25" s="5" t="inlineStr">
        <is>
          <t>ページを開いたときの設定の取得が 500 なら様式①「設定を取得できませんでした」を出す</t>
        </is>
      </c>
      <c r="G25" s="5" t="inlineStr">
        <is>
          <t>前提：GET settings 500
入力：/settings</t>
        </is>
      </c>
      <c r="H25" s="5" t="inlineStr">
        <is>
          <t>様式①「設定を取得できませんでした」</t>
        </is>
      </c>
      <c r="I25" s="5" t="inlineStr">
        <is>
          <t>B8-F, B9-T</t>
        </is>
      </c>
      <c r="J25" s="5" t="inlineStr">
        <is>
          <t>fetch を mockFetch で差し替え、renderApp（createMemoryRouter と QueryClient）</t>
        </is>
      </c>
      <c r="K25" s="5" t="inlineStr"/>
      <c r="L25" s="5" t="inlineStr"/>
      <c r="M25" s="5" t="inlineStr">
        <is>
          <t>TC-UT_P205-012 ページを開いたときの設定の取得が 500 なら様式①「設定を取得できませんでした」を出す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
P205 E01</t>
        </is>
      </c>
    </row>
    <row r="26">
      <c r="A26" s="4" t="n">
        <v>22</v>
      </c>
      <c r="B26" s="4" t="inlineStr">
        <is>
          <t>TC-UT_P205-013</t>
        </is>
      </c>
      <c r="C26" s="5" t="inlineStr">
        <is>
          <t>EstimatePanel</t>
        </is>
      </c>
      <c r="D26" s="4" t="inlineStr">
        <is>
          <t>正常系</t>
        </is>
      </c>
      <c r="E26" s="4" t="inlineStr">
        <is>
          <t>同値分割</t>
        </is>
      </c>
      <c r="F26" s="5" t="inlineStr">
        <is>
          <t>見込みの枠に、1回の平均・1巡・1日の見込み・周期の下限を出す</t>
        </is>
      </c>
      <c r="G26" s="5" t="inlineStr">
        <is>
          <t>前提：settings 200（平均 15.8・10 体・0.6）
入力：/settings</t>
        </is>
      </c>
      <c r="H26" s="5" t="inlineStr">
        <is>
          <t>「15.8 Neurons」「約 95 Neurons」「約 6,826 Neurons・約 432 回」「約 15 分」</t>
        </is>
      </c>
      <c r="I26" s="5" t="inlineStr">
        <is>
          <t>B17-F</t>
        </is>
      </c>
      <c r="J26" s="5" t="inlineStr">
        <is>
          <t>fetch を mockFetch で差し替え、renderApp（createMemoryRouter と QueryClient）</t>
        </is>
      </c>
      <c r="K26" s="5" t="inlineStr"/>
      <c r="L26" s="5" t="inlineStr"/>
      <c r="M26" s="5" t="inlineStr">
        <is>
          <t>TC-UT_P205-013 見込みの枠に、1回の平均・1巡・1日の見込み・周期の下限を出す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
P205 H01〜H03</t>
        </is>
      </c>
    </row>
    <row r="27">
      <c r="A27" s="4" t="n">
        <v>23</v>
      </c>
      <c r="B27" s="4" t="inlineStr">
        <is>
          <t>TC-UT_P205-014</t>
        </is>
      </c>
      <c r="C27" s="5" t="inlineStr">
        <is>
          <t>saveSettings</t>
        </is>
      </c>
      <c r="D27" s="4" t="inlineStr">
        <is>
          <t>正常系</t>
        </is>
      </c>
      <c r="E27" s="4" t="inlineStr">
        <is>
          <t>分岐網羅</t>
        </is>
      </c>
      <c r="F27" s="5" t="inlineStr">
        <is>
          <t>保存の応答に stateChanged がなければ基本の文言だけのトーストを出し、世界の状態を取り直す</t>
        </is>
      </c>
      <c r="G27" s="5" t="inlineStr">
        <is>
          <t>前提：settings 200、PUT 200（stateChanged null）
入力：周期 30 で保存</t>
        </is>
      </c>
      <c r="H27" s="5" t="inlineStr">
        <is>
          <t>トーストは「保存しました。周期と活動量は次の巡から反映します」だけ、GET world が増える</t>
        </is>
      </c>
      <c r="I27" s="5" t="inlineStr">
        <is>
          <t>B14-F</t>
        </is>
      </c>
      <c r="J27" s="5" t="inlineStr">
        <is>
          <t>fetch を mockFetch で差し替え、renderApp（createMemoryRouter と QueryClient）</t>
        </is>
      </c>
      <c r="K27" s="5" t="inlineStr"/>
      <c r="L27" s="5" t="inlineStr"/>
      <c r="M27" s="5" t="inlineStr">
        <is>
          <t>TC-UT_P205-014 保存の応答に stateChanged がなければ基本の文言だけのトーストを出し、世界の状態を取り直す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TC-NOUS69_DEV-22（stateChanged ありだけ）</t>
        </is>
      </c>
    </row>
    <row r="28">
      <c r="A28" s="4" t="n">
        <v>24</v>
      </c>
      <c r="B28" s="4" t="inlineStr">
        <is>
          <t>TC-UT_P205-015</t>
        </is>
      </c>
      <c r="C28" s="5" t="inlineStr">
        <is>
          <t>useUnsavedGuard</t>
        </is>
      </c>
      <c r="D28" s="4" t="inlineStr">
        <is>
          <t>正常系</t>
        </is>
      </c>
      <c r="E28" s="4" t="inlineStr">
        <is>
          <t>状態遷移</t>
        </is>
      </c>
      <c r="F28" s="5" t="inlineStr">
        <is>
          <t>未保存の確認で「移動する」を押すと移動し、「キャンセル」なら実行設定に残る</t>
        </is>
      </c>
      <c r="G28" s="5" t="inlineStr">
        <is>
          <t>前提：settings 200
入力：周期を変え、実行制御へ → キャンセル → 実行制御へ → 移動する</t>
        </is>
      </c>
      <c r="H28" s="5" t="inlineStr">
        <is>
          <t>キャンセルの後は /settings、移動するの後は /</t>
        </is>
      </c>
      <c r="I28" s="5" t="inlineStr">
        <is>
          <t>B18-T, B18-F</t>
        </is>
      </c>
      <c r="J28" s="5" t="inlineStr">
        <is>
          <t>fetch を mockFetch で差し替え、renderApp（createMemoryRouter と QueryClient）</t>
        </is>
      </c>
      <c r="K28" s="5" t="inlineStr"/>
      <c r="L28" s="5" t="inlineStr"/>
      <c r="M28" s="5" t="inlineStr">
        <is>
          <t>TC-UT_P205-015 未保存の確認で「移動する」を押すと移動し、「キャンセル」なら実行設定に残る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TC-NOUS69_DEV-24（ダイアログが出ることだけ）
P205 E05</t>
        </is>
      </c>
    </row>
    <row r="29">
      <c r="A29" s="4" t="n">
        <v>25</v>
      </c>
      <c r="B29" s="4" t="inlineStr">
        <is>
          <t>TC-UT_P205-016</t>
        </is>
      </c>
      <c r="C29" s="5" t="inlineStr">
        <is>
          <t>saveSettings</t>
        </is>
      </c>
      <c r="D29" s="4" t="inlineStr">
        <is>
          <t>異常系</t>
        </is>
      </c>
      <c r="E29" s="4" t="inlineStr">
        <is>
          <t>同値分割</t>
        </is>
      </c>
      <c r="F29" s="5" t="inlineStr">
        <is>
          <t>保存が fields のない 400 なら、サーバーの message をボタンの上（様式④）に出す</t>
        </is>
      </c>
      <c r="G29" s="5" t="inlineStr">
        <is>
          <t>前提：settings 200、PUT 400（fields なし）
入力：周期 30 で保存</t>
        </is>
      </c>
      <c r="H29" s="5" t="inlineStr">
        <is>
          <t>「入力の内容を確認してください」</t>
        </is>
      </c>
      <c r="I29" s="5" t="inlineStr">
        <is>
          <t>B16-T</t>
        </is>
      </c>
      <c r="J29" s="5" t="inlineStr">
        <is>
          <t>fetch を mockFetch で差し替え、renderApp（createMemoryRouter と QueryClient）</t>
        </is>
      </c>
      <c r="K29" s="5" t="inlineStr"/>
      <c r="L29" s="5" t="inlineStr"/>
      <c r="M29" s="5" t="inlineStr">
        <is>
          <t>TC-UT_P205-016 保存が fields のない 400 なら、サーバーの message をボタンの上（様式④）に出す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TC-NOUS69_DEV-23（fields ありだけ）</t>
        </is>
      </c>
    </row>
    <row r="30">
      <c r="A30" s="4" t="n">
        <v>26</v>
      </c>
      <c r="B30" s="4" t="inlineStr">
        <is>
          <t>TC-UT_P205-017</t>
        </is>
      </c>
      <c r="C30" s="5" t="inlineStr">
        <is>
          <t>loadSettings</t>
        </is>
      </c>
      <c r="D30" s="4" t="inlineStr">
        <is>
          <t>異常系</t>
        </is>
      </c>
      <c r="E30" s="4" t="inlineStr">
        <is>
          <t>分岐網羅</t>
        </is>
      </c>
      <c r="F30" s="5" t="inlineStr">
        <is>
          <t>設定の応答のモデルと版の一覧が空なら、画面の既定の選択肢（モデル 2 値・v1）を使う</t>
        </is>
      </c>
      <c r="G30" s="5" t="inlineStr">
        <is>
          <t>前提：settings 200（modelOptions・promptVersions が空）
入力：/settings</t>
        </is>
      </c>
      <c r="H30" s="5" t="inlineStr">
        <is>
          <t>モデルは MODEL_OPTIONS の 2 値、版は v1</t>
        </is>
      </c>
      <c r="I30" s="5" t="inlineStr">
        <is>
          <t>B6-F, B7-F</t>
        </is>
      </c>
      <c r="J30" s="5" t="inlineStr">
        <is>
          <t>fetch を mockFetch で差し替え、renderApp（createMemoryRouter と QueryClient）</t>
        </is>
      </c>
      <c r="K30" s="5" t="inlineStr"/>
      <c r="L30" s="5" t="inlineStr"/>
      <c r="M30" s="5" t="inlineStr">
        <is>
          <t>TC-UT_P205-017 設定の応答のモデルと版の一覧が空なら、画面の既定の選択肢（モデル 2 値・v1）を使う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
設計書に記載なし。実装の値</t>
        </is>
      </c>
    </row>
    <row r="31">
      <c r="A31" s="4" t="n">
        <v>27</v>
      </c>
      <c r="B31" s="4" t="inlineStr">
        <is>
          <t>TC-UT_P205-018</t>
        </is>
      </c>
      <c r="C31" s="5" t="inlineStr">
        <is>
          <t>loadSettings</t>
        </is>
      </c>
      <c r="D31" s="4" t="inlineStr">
        <is>
          <t>異常系</t>
        </is>
      </c>
      <c r="E31" s="4" t="inlineStr">
        <is>
          <t>エラー処理</t>
        </is>
      </c>
      <c r="F31" s="5" t="inlineStr">
        <is>
          <t>ページを開いたときの設定の取得が 401 なら、様式①「ログインの有効期限が切れました…」を出す</t>
        </is>
      </c>
      <c r="G31" s="5" t="inlineStr">
        <is>
          <t>前提：GET settings 401
入力：/settings</t>
        </is>
      </c>
      <c r="H31" s="5" t="inlineStr">
        <is>
          <t>様式① の有効期限の文言</t>
        </is>
      </c>
      <c r="I31" s="5" t="inlineStr">
        <is>
          <t>B8-T</t>
        </is>
      </c>
      <c r="J31" s="5" t="inlineStr">
        <is>
          <t>fetch を mockFetch で差し替え、renderApp（createMemoryRouter と QueryClient）</t>
        </is>
      </c>
      <c r="K31" s="5" t="inlineStr"/>
      <c r="L31" s="5" t="inlineStr"/>
      <c r="M31" s="5" t="inlineStr">
        <is>
          <t>TC-UT_P205-018 ページを開いたときの設定の取得が 401 なら、様式①「ログインの有効期限が切れました…」を出す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
P205 E01</t>
        </is>
      </c>
    </row>
    <row r="32">
      <c r="A32" s="4" t="n">
        <v>28</v>
      </c>
      <c r="B32" s="4" t="inlineStr">
        <is>
          <t>TC-UT_P205-019</t>
        </is>
      </c>
      <c r="C32" s="5" t="inlineStr">
        <is>
          <t>loadSettings</t>
        </is>
      </c>
      <c r="D32" s="4" t="inlineStr">
        <is>
          <t>異常系</t>
        </is>
      </c>
      <c r="E32" s="4" t="inlineStr">
        <is>
          <t>分岐網羅</t>
        </is>
      </c>
      <c r="F32" s="5" t="inlineStr">
        <is>
          <t>設定の取得が 404 なら様式を出さず、既定の値でフォームを出す</t>
        </is>
      </c>
      <c r="G32" s="5" t="inlineStr">
        <is>
          <t>前提：GET settings 404
入力：/settings</t>
        </is>
      </c>
      <c r="H32" s="5" t="inlineStr">
        <is>
          <t>alert・dialog なし、周期は既定の 20</t>
        </is>
      </c>
      <c r="I32" s="5" t="inlineStr">
        <is>
          <t>B8-F, B9-F, B10-T</t>
        </is>
      </c>
      <c r="J32" s="5" t="inlineStr">
        <is>
          <t>fetch を mockFetch で差し替え、renderApp（createMemoryRouter と QueryClient）</t>
        </is>
      </c>
      <c r="K32" s="5" t="inlineStr"/>
      <c r="L32" s="5" t="inlineStr"/>
      <c r="M32" s="5" t="inlineStr">
        <is>
          <t>TC-UT_P205-019 設定の取得が 404 なら様式を出さず、既定の値でフォームを出す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
確認事項 2</t>
        </is>
      </c>
    </row>
    <row r="33">
      <c r="A33" s="4" t="n">
        <v>29</v>
      </c>
      <c r="B33" s="4" t="inlineStr">
        <is>
          <t>TC-UT_P205-020</t>
        </is>
      </c>
      <c r="C33" s="5" t="inlineStr">
        <is>
          <t>loadSettings</t>
        </is>
      </c>
      <c r="D33" s="4" t="inlineStr">
        <is>
          <t>異常系</t>
        </is>
      </c>
      <c r="E33" s="4" t="inlineStr">
        <is>
          <t>同値分割</t>
        </is>
      </c>
      <c r="F33" s="5" t="inlineStr">
        <is>
          <t>設定の取得が画面で扱わない 4xx（403）なら、サーバーの message を様式②に出す</t>
        </is>
      </c>
      <c r="G33" s="5" t="inlineStr">
        <is>
          <t>前提：GET settings 403
入力：/settings</t>
        </is>
      </c>
      <c r="H33" s="5" t="inlineStr">
        <is>
          <t>様式② にサーバーの message</t>
        </is>
      </c>
      <c r="I33" s="5" t="inlineStr">
        <is>
          <t>B10-F</t>
        </is>
      </c>
      <c r="J33" s="5" t="inlineStr">
        <is>
          <t>fetch を mockFetch で差し替え、renderApp（createMemoryRouter と QueryClient）</t>
        </is>
      </c>
      <c r="K33" s="5" t="inlineStr"/>
      <c r="L33" s="5" t="inlineStr"/>
      <c r="M33" s="5" t="inlineStr">
        <is>
          <t>TC-UT_P205-020 設定の取得が画面で扱わない 4xx（403）なら、サーバーの message を様式②に出す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
設計書に記載なし。実装の値</t>
        </is>
      </c>
    </row>
    <row r="34">
      <c r="A34" s="4" t="n">
        <v>30</v>
      </c>
      <c r="B34" s="4" t="inlineStr">
        <is>
          <t>TC-UT_P205-021</t>
        </is>
      </c>
      <c r="C34" s="5" t="inlineStr">
        <is>
          <t>saveSettings</t>
        </is>
      </c>
      <c r="D34" s="4" t="inlineStr">
        <is>
          <t>異常系</t>
        </is>
      </c>
      <c r="E34" s="4" t="inlineStr">
        <is>
          <t>分岐網羅</t>
        </is>
      </c>
      <c r="F34" s="5" t="inlineStr">
        <is>
          <t>保存が 409 なら fields を返さず、サーバーの message を様式②に出す</t>
        </is>
      </c>
      <c r="G34" s="5" t="inlineStr">
        <is>
          <t>前提：settings 200、PUT 409
入力：周期 30 で保存</t>
        </is>
      </c>
      <c r="H34" s="5" t="inlineStr">
        <is>
          <t>様式② にサーバーの message、入力は 30 のまま</t>
        </is>
      </c>
      <c r="I34" s="5" t="inlineStr">
        <is>
          <t>B15-F, B16-F</t>
        </is>
      </c>
      <c r="J34" s="5" t="inlineStr">
        <is>
          <t>fetch を mockFetch で差し替え、renderApp（createMemoryRouter と QueryClient）</t>
        </is>
      </c>
      <c r="K34" s="5" t="inlineStr"/>
      <c r="L34" s="5" t="inlineStr"/>
      <c r="M34" s="5" t="inlineStr">
        <is>
          <t>TC-UT_P205-021 保存が 409 なら fields を返さず、サーバーの message を様式②に出す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
PUT /settings の 409 は「起きない想定」（world.md 2章）</t>
        </is>
      </c>
    </row>
  </sheetData>
  <autoFilter ref="A4:Q34"/>
  <conditionalFormatting sqref="A5:Q84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4" showDropDown="0" showInputMessage="0" showErrorMessage="0" allowBlank="1" type="list">
      <formula1>"未実施,OK,NG,保留,対象外"</formula1>
    </dataValidation>
    <dataValidation sqref="D5:D84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COUNTA(観点表!$B$5:$B$84)</f>
        <v/>
      </c>
    </row>
    <row r="6">
      <c r="A6" s="10" t="inlineStr">
        <is>
          <t>正常系</t>
        </is>
      </c>
      <c r="B6" s="10">
        <f>COUNTIF(観点表!$D$5:$D$84,"正常系")</f>
        <v/>
      </c>
    </row>
    <row r="7">
      <c r="A7" s="10" t="inlineStr">
        <is>
          <t>異常系</t>
        </is>
      </c>
      <c r="B7" s="10">
        <f>COUNTIF(観点表!$D$5:$D$84,"異常系")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COUNTIF(観点表!$E$5:$E$84,"エラー処理")</f>
        <v/>
      </c>
    </row>
    <row r="11">
      <c r="A11" s="10" t="inlineStr">
        <is>
          <t>分岐網羅</t>
        </is>
      </c>
      <c r="B11" s="10">
        <f>COUNTIF(観点表!$E$5:$E$84,"分岐網羅")</f>
        <v/>
      </c>
    </row>
    <row r="12">
      <c r="A12" s="10" t="inlineStr">
        <is>
          <t>同値分割</t>
        </is>
      </c>
      <c r="B12" s="10">
        <f>COUNTIF(観点表!$E$5:$E$84,"同値分割")</f>
        <v/>
      </c>
    </row>
    <row r="13">
      <c r="A13" s="10" t="inlineStr">
        <is>
          <t>境界値</t>
        </is>
      </c>
      <c r="B13" s="10">
        <f>COUNTIF(観点表!$E$5:$E$84,"境界値")</f>
        <v/>
      </c>
    </row>
    <row r="14">
      <c r="A14" s="10" t="inlineStr">
        <is>
          <t>状態遷移</t>
        </is>
      </c>
      <c r="B14" s="10">
        <f>COUNTIF(観点表!$E$5:$E$84,"状態遷移")</f>
        <v/>
      </c>
    </row>
    <row r="15">
      <c r="A15" s="10" t="inlineStr">
        <is>
          <t>開発者テスト</t>
        </is>
      </c>
      <c r="B15" s="10">
        <f>COUNTIF(観点表!$E$5:$E$84,"開発者テスト")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COUNTIF(観点表!$K$5:$K$84,"?*")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COUNTIF(観点表!$N$5:$N$84,"未実施")</f>
        <v/>
      </c>
    </row>
    <row r="23">
      <c r="A23" s="10" t="inlineStr">
        <is>
          <t>OK</t>
        </is>
      </c>
      <c r="B23" s="10">
        <f>COUNTIF(観点表!$N$5:$N$84,"OK")</f>
        <v/>
      </c>
    </row>
    <row r="24">
      <c r="A24" s="10" t="inlineStr">
        <is>
          <t>NG</t>
        </is>
      </c>
      <c r="B24" s="10">
        <f>COUNTIF(観点表!$N$5:$N$84,"NG")</f>
        <v/>
      </c>
    </row>
    <row r="25">
      <c r="A25" s="10" t="inlineStr">
        <is>
          <t>保留</t>
        </is>
      </c>
      <c r="B25" s="10">
        <f>COUNTIF(観点表!$N$5:$N$84,"保留")</f>
        <v/>
      </c>
    </row>
    <row r="26">
      <c r="A26" s="10" t="inlineStr">
        <is>
          <t>対象外</t>
        </is>
      </c>
      <c r="B26" s="10">
        <f>COUNTIF(観点表!$N$5:$N$84,"対象外")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TC-NOUS69_DEV-16</t>
        </is>
      </c>
      <c r="B5" s="13" t="inlineStr">
        <is>
          <t>通常の入力で 1巡の回数・Neurons・1日の回数と Neurons・周期の下限を計算し overLimit=false を返す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TC-NOUS69_DEV-17</t>
        </is>
      </c>
      <c r="B6" s="13" t="inlineStr">
        <is>
          <t>1日の見込み Neurons が日次上限を超えるとき overLimit=true を返す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TC-NOUS69_DEV-18</t>
        </is>
      </c>
      <c r="B7" s="13" t="inlineStr">
        <is>
          <t>日次上限と 1巡の Neurons から周期の下限（ceil）を逆算する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TC-NOUS69_DEV-19</t>
        </is>
      </c>
      <c r="B8" s="13" t="inlineStr">
        <is>
          <t>周期 0・体数 0・上限 0 でも 0 除算を起こさず有限の値を返す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TC-NOUS69_DEV-20</t>
        </is>
      </c>
      <c r="B9" s="13" t="inlineStr">
        <is>
          <t>全 9 項目の境界値と整数判定を行う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TC-NOUS69_DEV-21</t>
        </is>
      </c>
      <c r="B10" s="13" t="inlineStr">
        <is>
          <t>入力値の変更で見込みを再計算し、上限超過で LimitWarning を表示し、元に戻すで初期値に復帰する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TC-NOUS69_DEV-22</t>
        </is>
      </c>
      <c r="B11" s="13" t="inlineStr">
        <is>
          <t>保存成功で PUT を送りトーストを表示し、stateChanged があれば追記する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TC-NOUS69_DEV-23</t>
        </is>
      </c>
      <c r="B12" s="13" t="inlineStr">
        <is>
          <t>保存時の 400 VALIDATION_ERROR でサーバーの fields の文言を各入力欄の下に表示する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TC-NOUS69_DEV-24</t>
        </is>
      </c>
      <c r="B13" s="13" t="inlineStr">
        <is>
          <t>未保存の変更がある状態で画面移動すると ConfirmDialog を表示する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TC-UT_P205-001</t>
        </is>
      </c>
      <c r="B14" s="13" t="inlineStr">
        <is>
          <t>計算した周期の下限が 15 分を下回るときは、サーバーの estimateDaily と同じく 15 分にする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TC-UT_P205-002</t>
        </is>
      </c>
      <c r="B15" s="13" t="inlineStr">
        <is>
          <t>1巡の Neurons が 0（稼働中のエージェントが 0 体）のときは、サーバーの estimateDaily と同じく周期の下限を 15 分にする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TC-UT_P205-003</t>
        </is>
      </c>
      <c r="B16" s="13" t="inlineStr">
        <is>
          <t>見込みの元（SettingsEstimateBasis）をまとめて渡しても、数値を別々に渡したときと同じ結果にする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TC-UT_P205-004</t>
        </is>
      </c>
      <c r="B17" s="13" t="inlineStr">
        <is>
          <t>入力欄の文字列はそのまま数値として計算し、周期が空なら 1日の巡を 0 として 0 除算にしない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TC-UT_P205-005</t>
        </is>
      </c>
      <c r="B18" s="13" t="inlineStr">
        <is>
          <t>1日の見込みの Neurons が上限ちょうどなら超えないとし、上限を 1 下回ると超えるとする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TC-UT_P205-006</t>
        </is>
      </c>
      <c r="B19" s="13" t="inlineStr">
        <is>
          <t>入力の文字列は前後の空白を除いて 10 進の整数だけを受け、指数・符号・小数点の表記は範囲外の文言にする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TC-UT_P205-007</t>
        </is>
      </c>
      <c r="B20" s="13" t="inlineStr">
        <is>
          <t>範囲外を入力するとすぐ入力欄の下に文言を出し、範囲内に直すと消す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TC-UT_P205-008</t>
        </is>
      </c>
      <c r="B21" s="13" t="inlineStr">
        <is>
          <t>検証に通らない項目があるときに保存を押すと、PUT を送らずに文言を出したままにする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TC-UT_P205-009</t>
        </is>
      </c>
      <c r="B22" s="13" t="inlineStr">
        <is>
          <t>変更がないときは保存と元に戻すを押せず、値を変えると押せるようにする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TC-UT_P205-010</t>
        </is>
      </c>
      <c r="B23" s="13" t="inlineStr">
        <is>
          <t>モデルとプロンプトの版を変えると、保存の PUT の本文にその値を入れる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TC-UT_P205-011</t>
        </is>
      </c>
      <c r="B24" s="13" t="inlineStr">
        <is>
          <t>保存が 500 なら様式①「保存に失敗しました。時間をおいて再度お試しください」を出し、入力は残す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TC-UT_P205-012</t>
        </is>
      </c>
      <c r="B25" s="13" t="inlineStr">
        <is>
          <t>ページを開いたときの設定の取得が 500 なら様式①「設定を取得できませんでした」を出す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TC-UT_P205-013</t>
        </is>
      </c>
      <c r="B26" s="13" t="inlineStr">
        <is>
          <t>見込みの枠に、1回の平均・1巡・1日の見込み・周期の下限を出す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TC-UT_P205-014</t>
        </is>
      </c>
      <c r="B27" s="13" t="inlineStr">
        <is>
          <t>保存の応答に stateChanged がなければ基本の文言だけのトーストを出し、世界の状態を取り直す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TC-UT_P205-015</t>
        </is>
      </c>
      <c r="B28" s="13" t="inlineStr">
        <is>
          <t>未保存の確認で「移動する」を押すと移動し、「キャンセル」なら実行設定に残る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TC-UT_P205-016</t>
        </is>
      </c>
      <c r="B29" s="13" t="inlineStr">
        <is>
          <t>保存が fields のない 400 なら、サーバーの message をボタンの上（様式④）に出す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TC-UT_P205-017</t>
        </is>
      </c>
      <c r="B30" s="13" t="inlineStr">
        <is>
          <t>設定の応答のモデルと版の一覧が空なら、画面の既定の選択肢（モデル 2 値・v1）を使う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TC-UT_P205-018</t>
        </is>
      </c>
      <c r="B31" s="13" t="inlineStr">
        <is>
          <t>ページを開いたときの設定の取得が 401 なら、様式①「ログインの有効期限が切れました…」を出す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TC-UT_P205-019</t>
        </is>
      </c>
      <c r="B32" s="13" t="inlineStr">
        <is>
          <t>設定の取得が 404 なら様式を出さず、既定の値でフォームを出す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TC-UT_P205-020</t>
        </is>
      </c>
      <c r="B33" s="13" t="inlineStr">
        <is>
          <t>設定の取得が画面で扱わない 4xx（403）なら、サーバーの message を様式②に出す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TC-UT_P205-021</t>
        </is>
      </c>
      <c r="B34" s="13" t="inlineStr">
        <is>
          <t>保存が 409 なら fields を返さず、サーバーの message を様式②に出す</t>
        </is>
      </c>
      <c r="C34" s="13" t="inlineStr">
        <is>
          <t>未作成</t>
        </is>
      </c>
      <c r="D34" s="13" t="inlineStr"/>
      <c r="E34" s="13" t="inlineStr"/>
      <c r="F34" s="13" t="inlineStr"/>
    </row>
  </sheetData>
  <autoFilter ref="A4:F3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P205 実行設定（apps/admin/src/pages/RunSettingsPage.tsx・pages/runSettings）</t>
        </is>
      </c>
    </row>
    <row r="4">
      <c r="A4" s="14" t="inlineStr">
        <is>
          <t>対象ファイル</t>
        </is>
      </c>
      <c r="B4" s="15" t="inlineStr">
        <is>
          <t>apps/admin/src/pages/RunSettingsPage.tsx, apps/admin/src/pages/runSettings/estimate.ts, apps/admin/src/pages/runSettings/EstimatePanel.tsx, apps/admin/src/pages/runSettings/LimitWarning.tsx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apps/admin/src/pages/RunSettingsPage.test.tsx（実装時、NOUS-69）, apps/admin/src/pages/runSettings/estimate.test.ts（実装時、NOUS-69）, apps/admin/src/pages/RunSettingsPage.ut.test.tsx（単体テストで追加）, apps/admin/src/pages/runSettings/estimate.ut.test.ts（単体テストで追加）</t>
        </is>
      </c>
    </row>
    <row r="7">
      <c r="A7" s="14" t="inlineStr">
        <is>
          <t>外部依存</t>
        </is>
      </c>
      <c r="B7" s="15" t="inlineStr">
        <is>
          <t>fetch（mockFetch）, TanStack Query（世界の状態の取り直し）, React Router（useBlocker）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validateSettingsField：値が文字列</t>
        </is>
      </c>
      <c r="C11" s="17" t="inlineStr">
        <is>
          <t>RunSettingsPage.tsx:89</t>
        </is>
      </c>
    </row>
    <row r="12">
      <c r="A12" s="17" t="inlineStr">
        <is>
          <t>B2</t>
        </is>
      </c>
      <c r="B12" s="17" t="inlineStr">
        <is>
          <t>validateSettingsField：空、または 10 進の整数の形でない</t>
        </is>
      </c>
      <c r="C12" s="17" t="inlineStr">
        <is>
          <t>RunSettingsPage.tsx:91</t>
        </is>
      </c>
    </row>
    <row r="13">
      <c r="A13" s="17" t="inlineStr">
        <is>
          <t>B3</t>
        </is>
      </c>
      <c r="B13" s="17" t="inlineStr">
        <is>
          <t>validateSettingsField：文字列の値が範囲外</t>
        </is>
      </c>
      <c r="C13" s="17" t="inlineStr">
        <is>
          <t>RunSettingsPage.tsx:95</t>
        </is>
      </c>
    </row>
    <row r="14">
      <c r="A14" s="17" t="inlineStr">
        <is>
          <t>B4</t>
        </is>
      </c>
      <c r="B14" s="17" t="inlineStr">
        <is>
          <t>validateSettingsField：数値の値が整数でない・範囲外</t>
        </is>
      </c>
      <c r="C14" s="17" t="inlineStr">
        <is>
          <t>RunSettingsPage.tsx:101</t>
        </is>
      </c>
    </row>
    <row r="15">
      <c r="A15" s="17" t="inlineStr">
        <is>
          <t>B5</t>
        </is>
      </c>
      <c r="B15" s="17" t="inlineStr">
        <is>
          <t>useUnsavedGuard：変更がない（beforeunload を付けない）</t>
        </is>
      </c>
      <c r="C15" s="17" t="inlineStr">
        <is>
          <t>RunSettingsPage.tsx:127</t>
        </is>
      </c>
    </row>
    <row r="16">
      <c r="A16" s="17" t="inlineStr">
        <is>
          <t>B6</t>
        </is>
      </c>
      <c r="B16" s="17" t="inlineStr">
        <is>
          <t>loadSettings：モデルの一覧が空でない</t>
        </is>
      </c>
      <c r="C16" s="17" t="inlineStr">
        <is>
          <t>RunSettingsPage.tsx:178</t>
        </is>
      </c>
    </row>
    <row r="17">
      <c r="A17" s="17" t="inlineStr">
        <is>
          <t>B7</t>
        </is>
      </c>
      <c r="B17" s="17" t="inlineStr">
        <is>
          <t>loadSettings：版の一覧が空でない</t>
        </is>
      </c>
      <c r="C17" s="17" t="inlineStr">
        <is>
          <t>RunSettingsPage.tsx:179</t>
        </is>
      </c>
    </row>
    <row r="18">
      <c r="A18" s="17" t="inlineStr">
        <is>
          <t>B8</t>
        </is>
      </c>
      <c r="B18" s="17" t="inlineStr">
        <is>
          <t>loadSettings：401</t>
        </is>
      </c>
      <c r="C18" s="17" t="inlineStr">
        <is>
          <t>RunSettingsPage.tsx:182</t>
        </is>
      </c>
    </row>
    <row r="19">
      <c r="A19" s="17" t="inlineStr">
        <is>
          <t>B9</t>
        </is>
      </c>
      <c r="B19" s="17" t="inlineStr">
        <is>
          <t>loadSettings：500 以上・通信の失敗</t>
        </is>
      </c>
      <c r="C19" s="17" t="inlineStr">
        <is>
          <t>RunSettingsPage.tsx:184</t>
        </is>
      </c>
    </row>
    <row r="20">
      <c r="A20" s="17" t="inlineStr">
        <is>
          <t>B10</t>
        </is>
      </c>
      <c r="B20" s="17" t="inlineStr">
        <is>
          <t>loadSettings：404（何も出さない）</t>
        </is>
      </c>
      <c r="C20" s="17" t="inlineStr">
        <is>
          <t>RunSettingsPage.tsx:186</t>
        </is>
      </c>
    </row>
    <row r="21">
      <c r="A21" s="17" t="inlineStr">
        <is>
          <t>B11</t>
        </is>
      </c>
      <c r="B21" s="17" t="inlineStr">
        <is>
          <t>onFieldChange：数値の項目</t>
        </is>
      </c>
      <c r="C21" s="17" t="inlineStr">
        <is>
          <t>RunSettingsPage.tsx:208</t>
        </is>
      </c>
    </row>
    <row r="22">
      <c r="A22" s="17" t="inlineStr">
        <is>
          <t>B12</t>
        </is>
      </c>
      <c r="B22" s="17" t="inlineStr">
        <is>
          <t>onFieldChange：検証のエラーがある</t>
        </is>
      </c>
      <c r="C22" s="17" t="inlineStr">
        <is>
          <t>RunSettingsPage.tsx:212</t>
        </is>
      </c>
    </row>
    <row r="23">
      <c r="A23" s="17" t="inlineStr">
        <is>
          <t>B13</t>
        </is>
      </c>
      <c r="B23" s="17" t="inlineStr">
        <is>
          <t>saveSettings：検証のエラーがある（送らない）</t>
        </is>
      </c>
      <c r="C23" s="17" t="inlineStr">
        <is>
          <t>RunSettingsPage.tsx:238</t>
        </is>
      </c>
    </row>
    <row r="24">
      <c r="A24" s="17" t="inlineStr">
        <is>
          <t>B14</t>
        </is>
      </c>
      <c r="B24" s="17" t="inlineStr">
        <is>
          <t>saveSettings：stateChanged がある（トーストに足す）</t>
        </is>
      </c>
      <c r="C24" s="17" t="inlineStr">
        <is>
          <t>RunSettingsPage.tsx:253</t>
        </is>
      </c>
    </row>
    <row r="25">
      <c r="A25" s="17" t="inlineStr">
        <is>
          <t>B15</t>
        </is>
      </c>
      <c r="B25" s="17" t="inlineStr">
        <is>
          <t>saveSettings：500 以上</t>
        </is>
      </c>
      <c r="C25" s="17" t="inlineStr">
        <is>
          <t>RunSettingsPage.tsx:255</t>
        </is>
      </c>
    </row>
    <row r="26">
      <c r="A26" s="17" t="inlineStr">
        <is>
          <t>B16</t>
        </is>
      </c>
      <c r="B26" s="17" t="inlineStr">
        <is>
          <t>saveSettings：エラーが fields を返した（400）</t>
        </is>
      </c>
      <c r="C26" s="17" t="inlineStr">
        <is>
          <t>RunSettingsPage.tsx:260</t>
        </is>
      </c>
    </row>
    <row r="27">
      <c r="A27" s="17" t="inlineStr">
        <is>
          <t>B17</t>
        </is>
      </c>
      <c r="B27" s="17" t="inlineStr">
        <is>
          <t>読み込み中</t>
        </is>
      </c>
      <c r="C27" s="17" t="inlineStr">
        <is>
          <t>RunSettingsPage.tsx:280</t>
        </is>
      </c>
    </row>
    <row r="28">
      <c r="A28" s="17" t="inlineStr">
        <is>
          <t>B18</t>
        </is>
      </c>
      <c r="B28" s="17" t="inlineStr">
        <is>
          <t>移動が止められている（blocker.state が blocked）</t>
        </is>
      </c>
      <c r="C28" s="17" t="inlineStr">
        <is>
          <t>RunSettingsPage.tsx:447</t>
        </is>
      </c>
    </row>
    <row r="29">
      <c r="A29" s="17" t="inlineStr">
        <is>
          <t>B19</t>
        </is>
      </c>
      <c r="B29" s="17" t="inlineStr">
        <is>
          <t>computeEstimate：周期が 0 より大きい（1日の巡を計算する）</t>
        </is>
      </c>
      <c r="C29" s="17" t="inlineStr">
        <is>
          <t>runSettings/estimate.ts:24・57</t>
        </is>
      </c>
    </row>
    <row r="30">
      <c r="A30" s="17" t="inlineStr">
        <is>
          <t>B20</t>
        </is>
      </c>
      <c r="B30" s="17" t="inlineStr">
        <is>
          <t>computeEstimate：上限と 1巡の Neurons がともに 0 より大きい（周期の下限を計算する）</t>
        </is>
      </c>
      <c r="C30" s="17" t="inlineStr">
        <is>
          <t>runSettings/estimate.ts:62-63</t>
        </is>
      </c>
    </row>
    <row r="31">
      <c r="A31" s="17" t="inlineStr">
        <is>
          <t>B21</t>
        </is>
      </c>
      <c r="B31" s="17" t="inlineStr">
        <is>
          <t>computeEstimate：見込みの元をオブジェクトで受けた</t>
        </is>
      </c>
      <c r="C31" s="17" t="inlineStr">
        <is>
          <t>runSettings/estimate.ts:39-42</t>
        </is>
      </c>
    </row>
    <row r="32">
      <c r="A32" s="17" t="inlineStr">
        <is>
          <t>B22</t>
        </is>
      </c>
      <c r="B32" s="17" t="inlineStr">
        <is>
          <t>computeEstimate：1日の Neurons が上限を超える（overLimit）</t>
        </is>
      </c>
      <c r="C32" s="17" t="inlineStr">
        <is>
          <t>runSettings/estimate.ts:65</t>
        </is>
      </c>
    </row>
    <row r="33">
      <c r="A33" s="17" t="inlineStr">
        <is>
          <t>B23</t>
        </is>
      </c>
      <c r="B33" s="17" t="inlineStr">
        <is>
          <t>LimitWarning：overLimit なら出す</t>
        </is>
      </c>
      <c r="C33" s="17" t="inlineStr">
        <is>
          <t>runSettings/LimitWarning.tsx:14</t>
        </is>
      </c>
    </row>
    <row r="35">
      <c r="A35" s="14" t="inlineStr">
        <is>
          <t>確認事項・潜在バグ</t>
        </is>
      </c>
    </row>
    <row r="36" ht="30" customHeight="1">
      <c r="A36" s="18" t="inlineStr">
        <is>
          <t>・疑い 1：computeEstimate の周期の下限が、サーバーの estimateDaily と食い違う。FE 詳細設計 4章は「サーバーの estimateDaily と同じ式」としているが、サーバーは下限を 15 分（SETTINGS_RANGES の下限）より小さくせず、1巡の Neurons が 0 のときも 15 にする（NOUS-58 の決めたこと 5）。画面は ceil の値をそのまま出し（例：活動量 10% で 2 分）、1巡の Neurons が 0 なら 0 を出す。TC-UT_P205-001・002 はサーバーと同じ 15 を期待するので、実施では NG になる見込み。TC-NOUS69_DEV-19 は 0 を期待していて、仕様と合わない</t>
        </is>
      </c>
    </row>
    <row r="37" ht="30" customHeight="1">
      <c r="A37" s="18" t="inlineStr">
        <is>
          <t>・確認事項 1：P205 H01 は直近 50 件に満たないとき「実測なし（見積もり 16.4）」と出すが、実装は平均の値（小数 1 桁）を出すだけ。GET /admin/api/settings は件数を返さず、サーバーは 20 件未満で 16.4 を返す（world.md 2章）。画面で見分けられないため、API に件数か実測かどうかを足すか、画面設計書の記載を直すかの確認</t>
        </is>
      </c>
    </row>
    <row r="38" ht="30" customHeight="1">
      <c r="A38" s="18" t="inlineStr">
        <is>
          <t>・確認事項 2：設定の取得が 404 のとき何も出さない（TC-UT_P205-019）は設計書に記載がなく、実装の値を期待結果にした</t>
        </is>
      </c>
    </row>
  </sheetData>
  <mergeCells count="3">
    <mergeCell ref="A37:C37"/>
    <mergeCell ref="A38:C38"/>
    <mergeCell ref="A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2026-10-26T06:10:18Z</dcterms:created>
  <dcterms:modified xsi:type="dcterms:W3CDTF">2026-10-26T06:10:19Z</dcterms:modified>
</cp:coreProperties>
</file>