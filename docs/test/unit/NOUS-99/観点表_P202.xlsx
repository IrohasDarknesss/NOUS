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'観点表'!$A$4:$Q$28</definedName>
    <definedName name="_xlnm.Print_Titles" localSheetId="0">'観点表'!$4:$4</definedName>
    <definedName name="_xlnm._FilterDatabase" localSheetId="2" hidden="1">'テストデータ'!$A$4:$F$28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P202 実行制御（apps/admin/src/pages/RunControlPage.tsx・pages/runControl）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TC-NOUS69_DEV-08</t>
        </is>
      </c>
      <c r="C5" s="5" t="inlineStr">
        <is>
          <t>buttonStates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準備中でリセットを無効にし理由を返し、体数 0 では開始も無効にする</t>
        </is>
      </c>
      <c r="G5" s="5" t="inlineStr">
        <is>
          <t>前提：なし
入力：preparing・体数 3、preparing・体数 0</t>
        </is>
      </c>
      <c r="H5" s="5" t="inlineStr">
        <is>
          <t>開始だけ有効、リセットは「まだ開始していない世界はリセットできません」、体数 0 は開始も無効で「エージェントが 0 体のため開始できません」</t>
        </is>
      </c>
      <c r="I5" s="5" t="inlineStr">
        <is>
          <t>B17-T, B17-F, B18-F, B19-F, B20-F, B21-F, B22-F</t>
        </is>
      </c>
      <c r="J5" s="5" t="inlineStr">
        <is>
          <t>なし</t>
        </is>
      </c>
      <c r="K5" s="5" t="inlineStr"/>
      <c r="L5" s="5" t="inlineStr"/>
      <c r="M5" s="5" t="inlineStr">
        <is>
          <t>TC-NOUS69_DEV-08 buttonStates は準備中（preparing）でリセットを無効にし理由を返し、体数 0 では開始も無効にする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既存テスト：実装時のテスト（NOUS-69）</t>
        </is>
      </c>
    </row>
    <row r="6">
      <c r="A6" s="4" t="n">
        <v>2</v>
      </c>
      <c r="B6" s="4" t="inlineStr">
        <is>
          <t>TC-NOUS69_DEV-09</t>
        </is>
      </c>
      <c r="C6" s="5" t="inlineStr">
        <is>
          <t>buttonStates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稼働中でリセットを無効にし、一時停止・上限停止・緊急停止ではリセットを有効にする</t>
        </is>
      </c>
      <c r="G6" s="5" t="inlineStr">
        <is>
          <t>前提：なし
入力：running、paused、limit_stopped、emergency_stopped</t>
        </is>
      </c>
      <c r="H6" s="5" t="inlineStr">
        <is>
          <t>running のリセットは「先に一時停止してください」、ほかは有効</t>
        </is>
      </c>
      <c r="I6" s="5" t="inlineStr">
        <is>
          <t>B18-T, B19-T, B21-T, B22-T, B22-F</t>
        </is>
      </c>
      <c r="J6" s="5" t="inlineStr">
        <is>
          <t>なし</t>
        </is>
      </c>
      <c r="K6" s="5" t="inlineStr"/>
      <c r="L6" s="5" t="inlineStr"/>
      <c r="M6" s="5" t="inlineStr">
        <is>
          <t>TC-NOUS69_DEV-09 buttonStates は稼働中でリセットを無効にし、一時停止・上限停止・緊急停止ではリセットを有効にする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既存テスト：実装時のテスト（NOUS-69）</t>
        </is>
      </c>
    </row>
    <row r="7">
      <c r="A7" s="4" t="n">
        <v>3</v>
      </c>
      <c r="B7" s="4" t="inlineStr">
        <is>
          <t>TC-NOUS69_DEV-10</t>
        </is>
      </c>
      <c r="C7" s="5" t="inlineStr">
        <is>
          <t>usageLevel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比が 0.8 未満で normal、0.8 以上 1.0 未満で warning、1.0 以上で danger</t>
        </is>
      </c>
      <c r="G7" s="5" t="inlineStr">
        <is>
          <t>前提：なし
入力：799・800・999・1000・1200 / 1000</t>
        </is>
      </c>
      <c r="H7" s="5" t="inlineStr">
        <is>
          <t>normal・warning・warning・danger・danger</t>
        </is>
      </c>
      <c r="I7" s="5" t="inlineStr">
        <is>
          <t>B25-F, B26-T, B26-F, B27-T, B27-F</t>
        </is>
      </c>
      <c r="J7" s="5" t="inlineStr">
        <is>
          <t>なし</t>
        </is>
      </c>
      <c r="K7" s="5" t="inlineStr"/>
      <c r="L7" s="5" t="inlineStr"/>
      <c r="M7" s="5" t="inlineStr">
        <is>
          <t>TC-NOUS69_DEV-10 usageLevel は比が 0.8 未満で normal、0.8 以上 1.0 未満で warning、1.0 以上で danger 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既存テスト：実装時のテスト（NOUS-69）</t>
        </is>
      </c>
    </row>
    <row r="8">
      <c r="A8" s="4" t="n">
        <v>4</v>
      </c>
      <c r="B8" s="4" t="inlineStr">
        <is>
          <t>TC-NOUS69_DEV-11</t>
        </is>
      </c>
      <c r="C8" s="5" t="inlineStr">
        <is>
          <t>RunControlPage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準備中の画面ではリセットのボタンが disabled になり、下に押せない理由を表示する</t>
        </is>
      </c>
      <c r="G8" s="5" t="inlineStr">
        <is>
          <t>前提：world preparing・体数 0
入力：/</t>
        </is>
      </c>
      <c r="H8" s="5" t="inlineStr">
        <is>
          <t>リセット・開始が disabled、理由の文言</t>
        </is>
      </c>
      <c r="I8" s="5" t="inlineStr">
        <is>
          <t>B16-T</t>
        </is>
      </c>
      <c r="J8" s="5" t="inlineStr">
        <is>
          <t>fetch を mockFetch で差し替え、renderApp（createMemoryRouter と QueryClient）</t>
        </is>
      </c>
      <c r="K8" s="5" t="inlineStr"/>
      <c r="L8" s="5" t="inlineStr"/>
      <c r="M8" s="5" t="inlineStr">
        <is>
          <t>TC-NOUS69_DEV-11 P202 準備中の画面ではリセットのボタンが disabled になり、下に押せない理由を表示する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既存テスト：実装時のテスト（NOUS-69）</t>
        </is>
      </c>
    </row>
    <row r="9">
      <c r="A9" s="4" t="n">
        <v>5</v>
      </c>
      <c r="B9" s="4" t="inlineStr">
        <is>
          <t>TC-NOUS69_DEV-12</t>
        </is>
      </c>
      <c r="C9" s="5" t="inlineStr">
        <is>
          <t>RunControlPage（一時停止）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一時停止は確認ダイアログなしで POST /admin/api/world/pause を送りトーストを表示する</t>
        </is>
      </c>
      <c r="G9" s="5" t="inlineStr">
        <is>
          <t>前提：world running
入力：一時停止を押す</t>
        </is>
      </c>
      <c r="H9" s="5" t="inlineStr">
        <is>
          <t>ダイアログなし、POST pause、トースト</t>
        </is>
      </c>
      <c r="I9" s="5" t="inlineStr">
        <is>
          <t>B9-T, B4-F, B5-T, B8-F</t>
        </is>
      </c>
      <c r="J9" s="5" t="inlineStr">
        <is>
          <t>fetch を mockFetch で差し替え、renderApp（createMemoryRouter と QueryClient）</t>
        </is>
      </c>
      <c r="K9" s="5" t="inlineStr"/>
      <c r="L9" s="5" t="inlineStr"/>
      <c r="M9" s="5" t="inlineStr">
        <is>
          <t>TC-NOUS69_DEV-12 P202 一時停止は確認ダイアログなしで POST /admin/api/world/pause を送りトーストを表示する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既存テスト：実装時のテスト（NOUS-69）</t>
        </is>
      </c>
    </row>
    <row r="10">
      <c r="A10" s="4" t="n">
        <v>6</v>
      </c>
      <c r="B10" s="4" t="inlineStr">
        <is>
          <t>TC-NOUS69_DEV-13</t>
        </is>
      </c>
      <c r="C10" s="5" t="inlineStr">
        <is>
          <t>RunControlPage（緊急停止）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緊急停止は確認ダイアログを経て POST /admin/api/world/emergency-stop を送りトーストを表示する</t>
        </is>
      </c>
      <c r="G10" s="5" t="inlineStr">
        <is>
          <t>前提：world running
入力：緊急停止 → 確定</t>
        </is>
      </c>
      <c r="H10" s="5" t="inlineStr">
        <is>
          <t>ConfirmDialog、POST emergency-stop、「緊急停止しました。取り消した生成 N 件」</t>
        </is>
      </c>
      <c r="I10" s="5" t="inlineStr">
        <is>
          <t>B9-F, B10-F, B11-F, B13-T, B4-F, B5-F, B6-F, B7-T</t>
        </is>
      </c>
      <c r="J10" s="5" t="inlineStr">
        <is>
          <t>fetch を mockFetch で差し替え、renderApp（createMemoryRouter と QueryClient）</t>
        </is>
      </c>
      <c r="K10" s="5" t="inlineStr"/>
      <c r="L10" s="5" t="inlineStr"/>
      <c r="M10" s="5" t="inlineStr">
        <is>
          <t>TC-NOUS69_DEV-13 P202 緊急停止は確認ダイアログを経て POST /admin/api/world/emergency-stop を送りトーストを表示する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既存テスト：実装時のテスト（NOUS-69）</t>
        </is>
      </c>
    </row>
    <row r="11">
      <c r="A11" s="4" t="n">
        <v>7</v>
      </c>
      <c r="B11" s="4" t="inlineStr">
        <is>
          <t>TC-NOUS69_DEV-14</t>
        </is>
      </c>
      <c r="C11" s="5" t="inlineStr">
        <is>
          <t>ResetDialog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世界の名前が一致しないときは「世界の名前が一致しません」を表示し送信しない</t>
        </is>
      </c>
      <c r="G11" s="5" t="inlineStr">
        <is>
          <t>前提：world paused
入力：リセット → 違う名前で確定</t>
        </is>
      </c>
      <c r="H11" s="5" t="inlineStr">
        <is>
          <t>文言、POST reset なし</t>
        </is>
      </c>
      <c r="I11" s="5" t="inlineStr">
        <is>
          <t>B13-F, B23-T</t>
        </is>
      </c>
      <c r="J11" s="5" t="inlineStr">
        <is>
          <t>fetch を mockFetch で差し替え、renderApp（createMemoryRouter と QueryClient）</t>
        </is>
      </c>
      <c r="K11" s="5" t="inlineStr"/>
      <c r="L11" s="5" t="inlineStr"/>
      <c r="M11" s="5" t="inlineStr">
        <is>
          <t>TC-NOUS69_DEV-14 P202 リセットのダイアログで世界の名前が一致しないときは「世界の名前が一致しません」を表示し送信しない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既存テスト：実装時のテスト（NOUS-69）</t>
        </is>
      </c>
    </row>
    <row r="12">
      <c r="A12" s="4" t="n">
        <v>8</v>
      </c>
      <c r="B12" s="4" t="inlineStr">
        <is>
          <t>TC-NOUS69_DEV-15</t>
        </is>
      </c>
      <c r="C12" s="5" t="inlineStr">
        <is>
          <t>ResetDialog / handleResetConfirm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世界の名前が一致したときは POST /admin/api/world/reset を送りトーストを表示する</t>
        </is>
      </c>
      <c r="G12" s="5" t="inlineStr">
        <is>
          <t>前提：world paused
入力：リセット → 一致した名前で確定</t>
        </is>
      </c>
      <c r="H12" s="5" t="inlineStr">
        <is>
          <t>POST reset、「リセットしました。前の世界はアーカイブにあります」</t>
        </is>
      </c>
      <c r="I12" s="5" t="inlineStr">
        <is>
          <t>B23-F, B14-F, B24-F</t>
        </is>
      </c>
      <c r="J12" s="5" t="inlineStr">
        <is>
          <t>fetch を mockFetch で差し替え、renderApp（createMemoryRouter と QueryClient）</t>
        </is>
      </c>
      <c r="K12" s="5" t="inlineStr"/>
      <c r="L12" s="5" t="inlineStr"/>
      <c r="M12" s="5" t="inlineStr">
        <is>
          <t>TC-NOUS69_DEV-15 P202 リセットのダイアログで世界の名前が一致したときは POST /admin/api/world/reset を送りトーストを表示する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既存テスト：実装時のテスト（NOUS-69）</t>
        </is>
      </c>
    </row>
    <row r="13">
      <c r="A13" s="4" t="n">
        <v>9</v>
      </c>
      <c r="B13" s="4" t="inlineStr">
        <is>
          <t>TC-UT_P202-001</t>
        </is>
      </c>
      <c r="C13" s="5" t="inlineStr">
        <is>
          <t>buttonStates</t>
        </is>
      </c>
      <c r="D13" s="4" t="inlineStr">
        <is>
          <t>正常系</t>
        </is>
      </c>
      <c r="E13" s="4" t="inlineStr">
        <is>
          <t>状態遷移</t>
        </is>
      </c>
      <c r="F13" s="5" t="inlineStr">
        <is>
          <t>状態ごとに、押せるボタンが FE 詳細設計 4章 buttonStates のとおりになる</t>
        </is>
      </c>
      <c r="G13" s="5" t="inlineStr">
        <is>
          <t>前提：体数 1
入力：6 状態（archived を含む）</t>
        </is>
      </c>
      <c r="H13" s="5" t="inlineStr">
        <is>
          <t>preparing は開始、running は一時停止・緊急停止、paused は再開・緊急停止・リセット、limit_stopped は一時停止・緊急停止・リセット、emergency_stopped は再開・リセット、archived はなし。押せるものは理由 null</t>
        </is>
      </c>
      <c r="I13" s="5" t="inlineStr">
        <is>
          <t>B17-T, B17-F, B19-T, B19-F, B20-T, B20-F, B21-T, B21-F, B22-T, B22-F</t>
        </is>
      </c>
      <c r="J13" s="5" t="inlineStr">
        <is>
          <t>なし</t>
        </is>
      </c>
      <c r="K13" s="5" t="inlineStr"/>
      <c r="L13" s="5" t="inlineStr"/>
      <c r="M13" s="5" t="inlineStr">
        <is>
          <t>TC-UT_P202-001 状態ごとに、押せるボタンが FE 詳細設計 4章 buttonStates のとおりになる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TC-NOUS69_DEV-08・09（preparing と running とリセットだけ）</t>
        </is>
      </c>
    </row>
    <row r="14">
      <c r="A14" s="4" t="n">
        <v>10</v>
      </c>
      <c r="B14" s="4" t="inlineStr">
        <is>
          <t>TC-UT_P202-002</t>
        </is>
      </c>
      <c r="C14" s="5" t="inlineStr">
        <is>
          <t>buttonStates</t>
        </is>
      </c>
      <c r="D14" s="4" t="inlineStr">
        <is>
          <t>正常系</t>
        </is>
      </c>
      <c r="E14" s="4" t="inlineStr">
        <is>
          <t>分岐網羅</t>
        </is>
      </c>
      <c r="F14" s="5" t="inlineStr">
        <is>
          <t>押せないボタンには、状態に応じた理由の文言を付ける</t>
        </is>
      </c>
      <c r="G14" s="5" t="inlineStr">
        <is>
          <t>前提：体数 1
入力：13 の (状態, 操作) の組</t>
        </is>
      </c>
      <c r="H14" s="5" t="inlineStr">
        <is>
          <t>各組の理由の文言</t>
        </is>
      </c>
      <c r="I14" s="5" t="inlineStr">
        <is>
          <t>B18-T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TC-UT_P202-002 押せないボタンには、状態に応じた理由の文言を付ける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TC-NOUS69_DEV-08・09（開始とリセットの理由だけ）
リセットの 2 つ以外の文言は設計書に記載なし。実装の値（確認事項 4）</t>
        </is>
      </c>
    </row>
    <row r="15">
      <c r="A15" s="4" t="n">
        <v>11</v>
      </c>
      <c r="B15" s="4" t="inlineStr">
        <is>
          <t>TC-UT_P202-003</t>
        </is>
      </c>
      <c r="C15" s="5" t="inlineStr">
        <is>
          <t>usageLevel</t>
        </is>
      </c>
      <c r="D15" s="4" t="inlineStr">
        <is>
          <t>異常系</t>
        </is>
      </c>
      <c r="E15" s="4" t="inlineStr">
        <is>
          <t>境界値</t>
        </is>
      </c>
      <c r="F15" s="5" t="inlineStr">
        <is>
          <t>上限が 0 以下なら使用量に関係なく danger にする</t>
        </is>
      </c>
      <c r="G15" s="5" t="inlineStr">
        <is>
          <t>前提：なし
入力：(0, 0)、(10, -1)</t>
        </is>
      </c>
      <c r="H15" s="5" t="inlineStr">
        <is>
          <t>danger、danger</t>
        </is>
      </c>
      <c r="I15" s="5" t="inlineStr">
        <is>
          <t>B25-T</t>
        </is>
      </c>
      <c r="J15" s="5" t="inlineStr">
        <is>
          <t>なし</t>
        </is>
      </c>
      <c r="K15" s="5" t="inlineStr"/>
      <c r="L15" s="5" t="inlineStr"/>
      <c r="M15" s="5" t="inlineStr">
        <is>
          <t>TC-UT_P202-003 usageLevel は上限が 0 以下なら使用量に関係なく danger にする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
上限 0 以下は設計書に記載なし（入力の検証で 1 以上）。実装の値</t>
        </is>
      </c>
    </row>
    <row r="16">
      <c r="A16" s="4" t="n">
        <v>12</v>
      </c>
      <c r="B16" s="4" t="inlineStr">
        <is>
          <t>TC-UT_P202-004</t>
        </is>
      </c>
      <c r="C16" s="5" t="inlineStr">
        <is>
          <t>RunControlPage（開始）</t>
        </is>
      </c>
      <c r="D16" s="4" t="inlineStr">
        <is>
          <t>正常系</t>
        </is>
      </c>
      <c r="E16" s="4" t="inlineStr">
        <is>
          <t>状態遷移</t>
        </is>
      </c>
      <c r="F16" s="5" t="inlineStr">
        <is>
          <t>開始は「世界を開始します。よろしいですか」の確認を出し、キャンセルなら送らず、確定で送って「開始しました」を出す</t>
        </is>
      </c>
      <c r="G16" s="5" t="inlineStr">
        <is>
          <t>前提：world preparing
入力：開始 → キャンセル → 開始 → 開始する</t>
        </is>
      </c>
      <c r="H16" s="5" t="inlineStr">
        <is>
          <t>キャンセルでは POST 0 回、確定で POST start 1 回とトースト「開始しました」</t>
        </is>
      </c>
      <c r="I16" s="5" t="inlineStr">
        <is>
          <t>B10-T, B4-T</t>
        </is>
      </c>
      <c r="J16" s="5" t="inlineStr">
        <is>
          <t>fetch を mockFetch で差し替え、renderApp（createMemoryRouter と QueryClient）</t>
        </is>
      </c>
      <c r="K16" s="5" t="inlineStr"/>
      <c r="L16" s="5" t="inlineStr"/>
      <c r="M16" s="5" t="inlineStr">
        <is>
          <t>TC-UT_P202-004 開始は「世界を開始します。よろしいですか」の確認を出し、キャンセルなら送らず、確定で送って「開始しました」を出す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既存テスト：なし（開始の操作は DEV にない）
P202 E03</t>
        </is>
      </c>
    </row>
    <row r="17">
      <c r="A17" s="4" t="n">
        <v>13</v>
      </c>
      <c r="B17" s="4" t="inlineStr">
        <is>
          <t>TC-UT_P202-005</t>
        </is>
      </c>
      <c r="C17" s="5" t="inlineStr">
        <is>
          <t>RunControlPage（再開）</t>
        </is>
      </c>
      <c r="D17" s="4" t="inlineStr">
        <is>
          <t>正常系</t>
        </is>
      </c>
      <c r="E17" s="4" t="inlineStr">
        <is>
          <t>分岐網羅</t>
        </is>
      </c>
      <c r="F17" s="5" t="inlineStr">
        <is>
          <t>一時停止からの再開は確認を出さずに送り、「再開しました」を出す</t>
        </is>
      </c>
      <c r="G17" s="5" t="inlineStr">
        <is>
          <t>前提：world paused
入力：再開を押す</t>
        </is>
      </c>
      <c r="H17" s="5" t="inlineStr">
        <is>
          <t>ダイアログなし、POST resume、トースト「再開しました」</t>
        </is>
      </c>
      <c r="I17" s="5" t="inlineStr">
        <is>
          <t>B11-T, B12-F, B4-F, B5-F, B6-T</t>
        </is>
      </c>
      <c r="J17" s="5" t="inlineStr">
        <is>
          <t>fetch を mockFetch で差し替え、renderApp（createMemoryRouter と QueryClient）</t>
        </is>
      </c>
      <c r="K17" s="5" t="inlineStr"/>
      <c r="L17" s="5" t="inlineStr"/>
      <c r="M17" s="5" t="inlineStr">
        <is>
          <t>TC-UT_P202-005 一時停止からの再開は確認を出さずに送り、「再開しました」を出す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
P202 E05</t>
        </is>
      </c>
    </row>
    <row r="18">
      <c r="A18" s="4" t="n">
        <v>14</v>
      </c>
      <c r="B18" s="4" t="inlineStr">
        <is>
          <t>TC-UT_P202-006</t>
        </is>
      </c>
      <c r="C18" s="5" t="inlineStr">
        <is>
          <t>RunControlPage（再開）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緊急停止からの再開は「状況を確認しましたか」の確認を出し、確定するまで送らない</t>
        </is>
      </c>
      <c r="G18" s="5" t="inlineStr">
        <is>
          <t>前提：world emergency_stopped
入力：再開 → 再開する</t>
        </is>
      </c>
      <c r="H18" s="5" t="inlineStr">
        <is>
          <t>確定の前は POST 0 回、確定で 1 回</t>
        </is>
      </c>
      <c r="I18" s="5" t="inlineStr">
        <is>
          <t>B12-T</t>
        </is>
      </c>
      <c r="J18" s="5" t="inlineStr">
        <is>
          <t>fetch を mockFetch で差し替え、renderApp（createMemoryRouter と QueryClient）</t>
        </is>
      </c>
      <c r="K18" s="5" t="inlineStr"/>
      <c r="L18" s="5" t="inlineStr"/>
      <c r="M18" s="5" t="inlineStr">
        <is>
          <t>TC-UT_P202-006 緊急停止からの再開は「状況を確認しましたか」の確認を出し、確定するまで送らない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
P202 E05（Q-207）</t>
        </is>
      </c>
    </row>
    <row r="19">
      <c r="A19" s="4" t="n">
        <v>15</v>
      </c>
      <c r="B19" s="4" t="inlineStr">
        <is>
          <t>TC-UT_P202-007</t>
        </is>
      </c>
      <c r="C19" s="5" t="inlineStr">
        <is>
          <t>RunControlPage（409）</t>
        </is>
      </c>
      <c r="D19" s="4" t="inlineStr">
        <is>
          <t>異常系</t>
        </is>
      </c>
      <c r="E19" s="4" t="inlineStr">
        <is>
          <t>エラー処理</t>
        </is>
      </c>
      <c r="F19" s="5" t="inlineStr">
        <is>
          <t>操作が 409 STATE_CONFLICT なら P202 の文言を様式②に出し、世界の状態を取り直す</t>
        </is>
      </c>
      <c r="G19" s="5" t="inlineStr">
        <is>
          <t>前提：world running
入力：一時停止 → 409 STATE_CONFLICT</t>
        </is>
      </c>
      <c r="H19" s="5" t="inlineStr">
        <is>
          <t>様式②「世界の状態が変わったため、操作できませんでした。最新の状態を表示します」、GET world が増える</t>
        </is>
      </c>
      <c r="I19" s="5" t="inlineStr">
        <is>
          <t>B8-T, B1-T</t>
        </is>
      </c>
      <c r="J19" s="5" t="inlineStr">
        <is>
          <t>fetch を mockFetch で差し替え、renderApp（createMemoryRouter と QueryClient）</t>
        </is>
      </c>
      <c r="K19" s="5" t="inlineStr"/>
      <c r="L19" s="5" t="inlineStr"/>
      <c r="M19" s="5" t="inlineStr">
        <is>
          <t>TC-UT_P202-007 操作が 409 STATE_CONFLICT なら P202 の文言を様式②に出し、世界の状態を取り直す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TC-UT_P202-008</t>
        </is>
      </c>
      <c r="C20" s="5" t="inlineStr">
        <is>
          <t>RunControlPage（409）</t>
        </is>
      </c>
      <c r="D20" s="4" t="inlineStr">
        <is>
          <t>異常系</t>
        </is>
      </c>
      <c r="E20" s="4" t="inlineStr">
        <is>
          <t>エラー処理</t>
        </is>
      </c>
      <c r="F20" s="5" t="inlineStr">
        <is>
          <t>開始が 409 NO_AGENTS なら P202 の文言を様式②に出し、エージェントの画面（P203）へのリンクを添える</t>
        </is>
      </c>
      <c r="G20" s="5" t="inlineStr">
        <is>
          <t>前提：world preparing
入力：開始 → 開始する → 409 NO_AGENTS</t>
        </is>
      </c>
      <c r="H20" s="5" t="inlineStr">
        <is>
          <t>様式②「エージェントが登録されていません…」と /agents へのリンク</t>
        </is>
      </c>
      <c r="I20" s="5" t="inlineStr">
        <is>
          <t>B8-T, B1-F, B2-T</t>
        </is>
      </c>
      <c r="J20" s="5" t="inlineStr">
        <is>
          <t>fetch を mockFetch で差し替え、renderApp（createMemoryRouter と QueryClient）</t>
        </is>
      </c>
      <c r="K20" s="5" t="inlineStr"/>
      <c r="L20" s="5" t="inlineStr"/>
      <c r="M20" s="5" t="inlineStr">
        <is>
          <t>TC-UT_P202-008 開始が 409 NO_AGENTS なら P202 の文言を様式②に出し、エージェントの画面（P203）へのリンクを添える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
疑い：リンクがない（疑い 1）
P202 6章 409 NO_AGENTS の補足</t>
        </is>
      </c>
    </row>
    <row r="21">
      <c r="A21" s="4" t="n">
        <v>17</v>
      </c>
      <c r="B21" s="4" t="inlineStr">
        <is>
          <t>TC-UT_P202-009</t>
        </is>
      </c>
      <c r="C21" s="5" t="inlineStr">
        <is>
          <t>RunControlPage（500）</t>
        </is>
      </c>
      <c r="D21" s="4" t="inlineStr">
        <is>
          <t>異常系</t>
        </is>
      </c>
      <c r="E21" s="4" t="inlineStr">
        <is>
          <t>エラー処理</t>
        </is>
      </c>
      <c r="F21" s="5" t="inlineStr">
        <is>
          <t>操作が 500 なら様式①「操作に失敗しました。状態を確かめてからやり直してください」を出す</t>
        </is>
      </c>
      <c r="G21" s="5" t="inlineStr">
        <is>
          <t>前提：world running
入力：一時停止 → 500</t>
        </is>
      </c>
      <c r="H21" s="5" t="inlineStr">
        <is>
          <t>様式① の文言と OK</t>
        </is>
      </c>
      <c r="I21" s="5" t="inlineStr">
        <is>
          <t>B8-T</t>
        </is>
      </c>
      <c r="J21" s="5" t="inlineStr">
        <is>
          <t>fetch を mockFetch で差し替え、renderApp（createMemoryRouter と QueryClient）</t>
        </is>
      </c>
      <c r="K21" s="5" t="inlineStr"/>
      <c r="L21" s="5" t="inlineStr"/>
      <c r="M21" s="5" t="inlineStr">
        <is>
          <t>TC-UT_P202-009 操作が 500 なら様式①「操作に失敗しました。状態を確かめてからやり直してください」を出す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TC-UT_P202-010</t>
        </is>
      </c>
      <c r="C22" s="5" t="inlineStr">
        <is>
          <t>RunControlPage（リセット）</t>
        </is>
      </c>
      <c r="D22" s="4" t="inlineStr">
        <is>
          <t>異常系</t>
        </is>
      </c>
      <c r="E22" s="4" t="inlineStr">
        <is>
          <t>エラー処理</t>
        </is>
      </c>
      <c r="F22" s="5" t="inlineStr">
        <is>
          <t>リセットがサーバーで 400 CONFIRM_MISMATCH なら、ダイアログを閉じずに入力欄の下へ文言を出す</t>
        </is>
      </c>
      <c r="G22" s="5" t="inlineStr">
        <is>
          <t>前提：world paused
入力：一致した名前で確定 → 400 CONFIRM_MISMATCH（fields なし）</t>
        </is>
      </c>
      <c r="H22" s="5" t="inlineStr">
        <is>
          <t>ダイアログは開いたまま、入力欄の下に「世界の名前が一致しません」</t>
        </is>
      </c>
      <c r="I22" s="5" t="inlineStr">
        <is>
          <t>B14-T, B15-T, B24-T, B23-F</t>
        </is>
      </c>
      <c r="J22" s="5" t="inlineStr">
        <is>
          <t>fetch を mockFetch で差し替え、renderApp（createMemoryRouter と QueryClient）</t>
        </is>
      </c>
      <c r="K22" s="5" t="inlineStr"/>
      <c r="L22" s="5" t="inlineStr"/>
      <c r="M22" s="5" t="inlineStr">
        <is>
          <t>TC-UT_P202-010 リセットがサーバーで 400 CONFIRM_MISMATCH なら、ダイアログを閉じずに入力欄の下へ文言を出す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TC-NOUS69_DEV-14（画面の中の不一致だけ）
P202 E08 様式④</t>
        </is>
      </c>
    </row>
    <row r="23">
      <c r="A23" s="4" t="n">
        <v>19</v>
      </c>
      <c r="B23" s="4" t="inlineStr">
        <is>
          <t>TC-UT_P202-011</t>
        </is>
      </c>
      <c r="C23" s="5" t="inlineStr">
        <is>
          <t>RunControlPage（リセット）</t>
        </is>
      </c>
      <c r="D23" s="4" t="inlineStr">
        <is>
          <t>異常系</t>
        </is>
      </c>
      <c r="E23" s="4" t="inlineStr">
        <is>
          <t>エラー処理</t>
        </is>
      </c>
      <c r="F23" s="5" t="inlineStr">
        <is>
          <t>リセットが 409 GENERATION_RUNNING ならダイアログを閉じ、様式②に文言を出す</t>
        </is>
      </c>
      <c r="G23" s="5" t="inlineStr">
        <is>
          <t>前提：world paused
入力：一致した名前で確定 → 409 GENERATION_RUNNING</t>
        </is>
      </c>
      <c r="H23" s="5" t="inlineStr">
        <is>
          <t>ダイアログを閉じ、様式②「実行中の生成があります。終わってから操作してください」</t>
        </is>
      </c>
      <c r="I23" s="5" t="inlineStr">
        <is>
          <t>B14-T, B15-F, B1-F, B2-F, B3-T</t>
        </is>
      </c>
      <c r="J23" s="5" t="inlineStr">
        <is>
          <t>fetch を mockFetch で差し替え、renderApp（createMemoryRouter と QueryClient）</t>
        </is>
      </c>
      <c r="K23" s="5" t="inlineStr"/>
      <c r="L23" s="5" t="inlineStr"/>
      <c r="M23" s="5" t="inlineStr">
        <is>
          <t>TC-UT_P202-011 リセットが 409 GENERATION_RUNNING ならダイアログを閉じ、様式②に文言を出す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文言は設計書に記載なし。実装の値（確認事項 4）</t>
        </is>
      </c>
    </row>
    <row r="24">
      <c r="A24" s="4" t="n">
        <v>20</v>
      </c>
      <c r="B24" s="4" t="inlineStr">
        <is>
          <t>TC-UT_P202-012</t>
        </is>
      </c>
      <c r="C24" s="5" t="inlineStr">
        <is>
          <t>RunControlPage</t>
        </is>
      </c>
      <c r="D24" s="4" t="inlineStr">
        <is>
          <t>正常系</t>
        </is>
      </c>
      <c r="E24" s="4" t="inlineStr">
        <is>
          <t>状態遷移</t>
        </is>
      </c>
      <c r="F24" s="5" t="inlineStr">
        <is>
          <t>操作の送信中は、ほかの操作のボタンもすべて押せなくする</t>
        </is>
      </c>
      <c r="G24" s="5" t="inlineStr">
        <is>
          <t>前提：world running、pause は返らない
入力：一時停止を押す</t>
        </is>
      </c>
      <c r="H24" s="5" t="inlineStr">
        <is>
          <t>実行制御の操作のボタンがすべて disabled</t>
        </is>
      </c>
      <c r="I24" s="5" t="inlineStr">
        <is>
          <t>B9-T, B5-T</t>
        </is>
      </c>
      <c r="J24" s="5" t="inlineStr">
        <is>
          <t>fetch を返らない Promise に差し替え、renderApp</t>
        </is>
      </c>
      <c r="K24" s="5" t="inlineStr"/>
      <c r="L24" s="5" t="inlineStr"/>
      <c r="M24" s="5" t="inlineStr">
        <is>
          <t>TC-UT_P202-012 操作の送信中は、ほかの操作のボタンもすべて押せなくする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FE 詳細設計 3章 pendingAction</t>
        </is>
      </c>
    </row>
    <row r="25">
      <c r="A25" s="4" t="n">
        <v>21</v>
      </c>
      <c r="B25" s="4" t="inlineStr">
        <is>
          <t>TC-UT_P202-013</t>
        </is>
      </c>
      <c r="C25" s="5" t="inlineStr">
        <is>
          <t>RunControlPage（E01）</t>
        </is>
      </c>
      <c r="D25" s="4" t="inlineStr">
        <is>
          <t>異常系</t>
        </is>
      </c>
      <c r="E25" s="4" t="inlineStr">
        <is>
          <t>エラー処理</t>
        </is>
      </c>
      <c r="F25" s="5" t="inlineStr">
        <is>
          <t>ページを開いたときに世界の状態の取得が 500 なら、様式①「状態を取得できませんでした」を出す</t>
        </is>
      </c>
      <c r="G25" s="5" t="inlineStr">
        <is>
          <t>前提：GET world 500
入力：/</t>
        </is>
      </c>
      <c r="H25" s="5" t="inlineStr">
        <is>
          <t>様式①「状態を取得できませんでした」</t>
        </is>
      </c>
      <c r="I25" s="5" t="inlineStr">
        <is>
          <t>B16-F</t>
        </is>
      </c>
      <c r="J25" s="5" t="inlineStr">
        <is>
          <t>fetch を mockFetch で差し替え、renderApp（createMemoryRouter と QueryClient）</t>
        </is>
      </c>
      <c r="K25" s="5" t="inlineStr"/>
      <c r="L25" s="5" t="inlineStr"/>
      <c r="M25" s="5" t="inlineStr">
        <is>
          <t>TC-UT_P202-013 ページを開いたときに世界の状態の取得が 500 なら、様式①「状態を取得できませんでした」を出す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疑い：実装されていない（疑い 2）
P202 E01</t>
        </is>
      </c>
    </row>
    <row r="26">
      <c r="A26" s="4" t="n">
        <v>22</v>
      </c>
      <c r="B26" s="4" t="inlineStr">
        <is>
          <t>TC-UT_P202-014</t>
        </is>
      </c>
      <c r="C26" s="5" t="inlineStr">
        <is>
          <t>WorldStatusCard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次の巡の予定は稼働のときだけ JST の HH:MM で出し、それ以外は「―」にする</t>
        </is>
      </c>
      <c r="G26" s="5" t="inlineStr">
        <is>
          <t>前提：world running（05:40Z）、paused（manual_pause）、running（予定なし）
入力：/</t>
        </is>
      </c>
      <c r="H26" s="5" t="inlineStr">
        <is>
          <t>running は 14:40・停止理由「―」、paused は「―」と「一時停止」、予定なしは「―」。体数「稼働 9 体・停止 1 体」と「第 22 巡」</t>
        </is>
      </c>
      <c r="I26" s="5" t="inlineStr">
        <is>
          <t>B28-T, B28-F, B29-T, B29-F, B30-T, B30-F</t>
        </is>
      </c>
      <c r="J26" s="5" t="inlineStr">
        <is>
          <t>fetch を mockFetch で差し替え、renderApp（createMemoryRouter と QueryClient）</t>
        </is>
      </c>
      <c r="K26" s="5" t="inlineStr"/>
      <c r="L26" s="5" t="inlineStr"/>
      <c r="M26" s="5" t="inlineStr">
        <is>
          <t>TC-UT_P202-014 次の巡の予定は稼働のときだけ JST の HH:MM で出し、それ以外は「―」にする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TC-UT_P202-015</t>
        </is>
      </c>
      <c r="C27" s="5" t="inlineStr">
        <is>
          <t>UsageCard</t>
        </is>
      </c>
      <c r="D27" s="4" t="inlineStr">
        <is>
          <t>正常系</t>
        </is>
      </c>
      <c r="E27" s="4" t="inlineStr">
        <is>
          <t>境界値</t>
        </is>
      </c>
      <c r="F27" s="5" t="inlineStr">
        <is>
          <t>利用量は上限の 80% 以上で黄、100% で赤にし、実行中の生成の数と概算費用 0 円を出す</t>
        </is>
      </c>
      <c r="G27" s="5" t="inlineStr">
        <is>
          <t>前提：Neurons 7,600 / 9,500、回数 480 / 480、実行中 2
入力：/</t>
        </is>
      </c>
      <c r="H27" s="5" t="inlineStr">
        <is>
          <t>neurons-bar は warning、runs-bar は danger、「実行中 2」「概算費用：0 円」</t>
        </is>
      </c>
      <c r="I27" s="5" t="inlineStr">
        <is>
          <t>B26-T, B27-T</t>
        </is>
      </c>
      <c r="J27" s="5" t="inlineStr">
        <is>
          <t>fetch を mockFetch で差し替え、renderApp（createMemoryRouter と QueryClient）</t>
        </is>
      </c>
      <c r="K27" s="5" t="inlineStr"/>
      <c r="L27" s="5" t="inlineStr"/>
      <c r="M27" s="5" t="inlineStr">
        <is>
          <t>TC-UT_P202-015 利用量は上限の 80% 以上で黄、100% で赤にし、実行中の生成の数と概算費用 0 円を出す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TC-NOUS69_DEV-10（関数だけ）
P202 H08〜H11</t>
        </is>
      </c>
    </row>
    <row r="28">
      <c r="A28" s="4" t="n">
        <v>24</v>
      </c>
      <c r="B28" s="4" t="inlineStr">
        <is>
          <t>TC-UT_P202-016</t>
        </is>
      </c>
      <c r="C28" s="5" t="inlineStr">
        <is>
          <t>RecentAuditTable</t>
        </is>
      </c>
      <c r="D28" s="4" t="inlineStr">
        <is>
          <t>正常系</t>
        </is>
      </c>
      <c r="E28" s="4" t="inlineStr">
        <is>
          <t>同値分割</t>
        </is>
      </c>
      <c r="F28" s="5" t="inlineStr">
        <is>
          <t>最近の操作は操作の種類を日本語にし、時刻を JST、対象を「種類 (ID)」（ID がなければ種類だけ）で出し、0 件なら「操作履歴はありません」</t>
        </is>
      </c>
      <c r="G28" s="5" t="inlineStr">
        <is>
          <t>前提：なし
入力：world.emergency_stop（targetId あり）と admin.login（targetId なし）、その後 0 件</t>
        </is>
      </c>
      <c r="H28" s="5" t="inlineStr">
        <is>
          <t>1 行目は 14:40・緊急停止・world (01JWORLD)、2 行目は管理ログイン・admin、0 件で「操作履歴はありません」</t>
        </is>
      </c>
      <c r="I28" s="5" t="inlineStr">
        <is>
          <t>B31-T, B31-F</t>
        </is>
      </c>
      <c r="J28" s="5" t="inlineStr">
        <is>
          <t>MemoryRouter</t>
        </is>
      </c>
      <c r="K28" s="5" t="inlineStr"/>
      <c r="L28" s="5" t="inlineStr"/>
      <c r="M28" s="5" t="inlineStr">
        <is>
          <t>TC-UT_P202-016 最近の操作は操作の種類を日本語にし、時刻を JST、対象を「種類 (ID)」（ID がなければ種類だけ）で出し、0 件なら「操作履歴はありません」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</sheetData>
  <autoFilter ref="A4:Q28"/>
  <conditionalFormatting sqref="A5:Q78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8" showDropDown="0" showInputMessage="0" showErrorMessage="0" allowBlank="1" type="list">
      <formula1>"未実施,OK,NG,保留,対象外"</formula1>
    </dataValidation>
    <dataValidation sqref="D5:D78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COUNTA(観点表!$B$5:$B$78)</f>
        <v/>
      </c>
    </row>
    <row r="6">
      <c r="A6" s="10" t="inlineStr">
        <is>
          <t>正常系</t>
        </is>
      </c>
      <c r="B6" s="10">
        <f>COUNTIF(観点表!$D$5:$D$78,"正常系")</f>
        <v/>
      </c>
    </row>
    <row r="7">
      <c r="A7" s="10" t="inlineStr">
        <is>
          <t>異常系</t>
        </is>
      </c>
      <c r="B7" s="10">
        <f>COUNTIF(観点表!$D$5:$D$78,"異常系")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COUNTIF(観点表!$E$5:$E$78,"エラー処理")</f>
        <v/>
      </c>
    </row>
    <row r="11">
      <c r="A11" s="10" t="inlineStr">
        <is>
          <t>分岐網羅</t>
        </is>
      </c>
      <c r="B11" s="10">
        <f>COUNTIF(観点表!$E$5:$E$78,"分岐網羅")</f>
        <v/>
      </c>
    </row>
    <row r="12">
      <c r="A12" s="10" t="inlineStr">
        <is>
          <t>同値分割</t>
        </is>
      </c>
      <c r="B12" s="10">
        <f>COUNTIF(観点表!$E$5:$E$78,"同値分割")</f>
        <v/>
      </c>
    </row>
    <row r="13">
      <c r="A13" s="10" t="inlineStr">
        <is>
          <t>境界値</t>
        </is>
      </c>
      <c r="B13" s="10">
        <f>COUNTIF(観点表!$E$5:$E$78,"境界値")</f>
        <v/>
      </c>
    </row>
    <row r="14">
      <c r="A14" s="10" t="inlineStr">
        <is>
          <t>状態遷移</t>
        </is>
      </c>
      <c r="B14" s="10">
        <f>COUNTIF(観点表!$E$5:$E$78,"状態遷移")</f>
        <v/>
      </c>
    </row>
    <row r="15">
      <c r="A15" s="10" t="inlineStr">
        <is>
          <t>開発者テスト</t>
        </is>
      </c>
      <c r="B15" s="10">
        <f>COUNTIF(観点表!$E$5:$E$78,"開発者テスト")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COUNTIF(観点表!$K$5:$K$78,"?*")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COUNTIF(観点表!$N$5:$N$78,"未実施")</f>
        <v/>
      </c>
    </row>
    <row r="23">
      <c r="A23" s="10" t="inlineStr">
        <is>
          <t>OK</t>
        </is>
      </c>
      <c r="B23" s="10">
        <f>COUNTIF(観点表!$N$5:$N$78,"OK")</f>
        <v/>
      </c>
    </row>
    <row r="24">
      <c r="A24" s="10" t="inlineStr">
        <is>
          <t>NG</t>
        </is>
      </c>
      <c r="B24" s="10">
        <f>COUNTIF(観点表!$N$5:$N$78,"NG")</f>
        <v/>
      </c>
    </row>
    <row r="25">
      <c r="A25" s="10" t="inlineStr">
        <is>
          <t>保留</t>
        </is>
      </c>
      <c r="B25" s="10">
        <f>COUNTIF(観点表!$N$5:$N$78,"保留")</f>
        <v/>
      </c>
    </row>
    <row r="26">
      <c r="A26" s="10" t="inlineStr">
        <is>
          <t>対象外</t>
        </is>
      </c>
      <c r="B26" s="10">
        <f>COUNTIF(観点表!$N$5:$N$78,"対象外")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TC-NOUS69_DEV-08</t>
        </is>
      </c>
      <c r="B5" s="13" t="inlineStr">
        <is>
          <t>準備中でリセットを無効にし理由を返し、体数 0 では開始も無効にする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TC-NOUS69_DEV-09</t>
        </is>
      </c>
      <c r="B6" s="13" t="inlineStr">
        <is>
          <t>稼働中でリセットを無効にし、一時停止・上限停止・緊急停止ではリセットを有効にする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TC-NOUS69_DEV-10</t>
        </is>
      </c>
      <c r="B7" s="13" t="inlineStr">
        <is>
          <t>比が 0.8 未満で normal、0.8 以上 1.0 未満で warning、1.0 以上で danger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TC-NOUS69_DEV-11</t>
        </is>
      </c>
      <c r="B8" s="13" t="inlineStr">
        <is>
          <t>準備中の画面ではリセットのボタンが disabled になり、下に押せない理由を表示する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TC-NOUS69_DEV-12</t>
        </is>
      </c>
      <c r="B9" s="13" t="inlineStr">
        <is>
          <t>一時停止は確認ダイアログなしで POST /admin/api/world/pause を送りトーストを表示する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TC-NOUS69_DEV-13</t>
        </is>
      </c>
      <c r="B10" s="13" t="inlineStr">
        <is>
          <t>緊急停止は確認ダイアログを経て POST /admin/api/world/emergency-stop を送りトーストを表示する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TC-NOUS69_DEV-14</t>
        </is>
      </c>
      <c r="B11" s="13" t="inlineStr">
        <is>
          <t>世界の名前が一致しないときは「世界の名前が一致しません」を表示し送信しない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TC-NOUS69_DEV-15</t>
        </is>
      </c>
      <c r="B12" s="13" t="inlineStr">
        <is>
          <t>世界の名前が一致したときは POST /admin/api/world/reset を送りトーストを表示する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TC-UT_P202-001</t>
        </is>
      </c>
      <c r="B13" s="13" t="inlineStr">
        <is>
          <t>状態ごとに、押せるボタンが FE 詳細設計 4章 buttonStates のとおりになる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TC-UT_P202-002</t>
        </is>
      </c>
      <c r="B14" s="13" t="inlineStr">
        <is>
          <t>押せないボタンには、状態に応じた理由の文言を付ける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TC-UT_P202-003</t>
        </is>
      </c>
      <c r="B15" s="13" t="inlineStr">
        <is>
          <t>上限が 0 以下なら使用量に関係なく danger にする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TC-UT_P202-004</t>
        </is>
      </c>
      <c r="B16" s="13" t="inlineStr">
        <is>
          <t>開始は「世界を開始します。よろしいですか」の確認を出し、キャンセルなら送らず、確定で送って「開始しました」を出す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TC-UT_P202-005</t>
        </is>
      </c>
      <c r="B17" s="13" t="inlineStr">
        <is>
          <t>一時停止からの再開は確認を出さずに送り、「再開しました」を出す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TC-UT_P202-006</t>
        </is>
      </c>
      <c r="B18" s="13" t="inlineStr">
        <is>
          <t>緊急停止からの再開は「状況を確認しましたか」の確認を出し、確定するまで送らない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TC-UT_P202-007</t>
        </is>
      </c>
      <c r="B19" s="13" t="inlineStr">
        <is>
          <t>操作が 409 STATE_CONFLICT なら P202 の文言を様式②に出し、世界の状態を取り直す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TC-UT_P202-008</t>
        </is>
      </c>
      <c r="B20" s="13" t="inlineStr">
        <is>
          <t>開始が 409 NO_AGENTS なら P202 の文言を様式②に出し、エージェントの画面（P203）へのリンクを添える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TC-UT_P202-009</t>
        </is>
      </c>
      <c r="B21" s="13" t="inlineStr">
        <is>
          <t>操作が 500 なら様式①「操作に失敗しました。状態を確かめてからやり直してください」を出す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TC-UT_P202-010</t>
        </is>
      </c>
      <c r="B22" s="13" t="inlineStr">
        <is>
          <t>リセットがサーバーで 400 CONFIRM_MISMATCH なら、ダイアログを閉じずに入力欄の下へ文言を出す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TC-UT_P202-011</t>
        </is>
      </c>
      <c r="B23" s="13" t="inlineStr">
        <is>
          <t>リセットが 409 GENERATION_RUNNING ならダイアログを閉じ、様式②に文言を出す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TC-UT_P202-012</t>
        </is>
      </c>
      <c r="B24" s="13" t="inlineStr">
        <is>
          <t>操作の送信中は、ほかの操作のボタンもすべて押せなくする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TC-UT_P202-013</t>
        </is>
      </c>
      <c r="B25" s="13" t="inlineStr">
        <is>
          <t>ページを開いたときに世界の状態の取得が 500 なら、様式①「状態を取得できませんでした」を出す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TC-UT_P202-014</t>
        </is>
      </c>
      <c r="B26" s="13" t="inlineStr">
        <is>
          <t>次の巡の予定は稼働のときだけ JST の HH:MM で出し、それ以外は「―」にする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TC-UT_P202-015</t>
        </is>
      </c>
      <c r="B27" s="13" t="inlineStr">
        <is>
          <t>利用量は上限の 80% 以上で黄、100% で赤にし、実行中の生成の数と概算費用 0 円を出す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TC-UT_P202-016</t>
        </is>
      </c>
      <c r="B28" s="13" t="inlineStr">
        <is>
          <t>最近の操作は操作の種類を日本語にし、時刻を JST、対象を「種類 (ID)」（ID がなければ種類だけ）で出し、0 件なら「操作履歴はありません」</t>
        </is>
      </c>
      <c r="C28" s="13" t="inlineStr">
        <is>
          <t>未作成</t>
        </is>
      </c>
      <c r="D28" s="13" t="inlineStr"/>
      <c r="E28" s="13" t="inlineStr"/>
      <c r="F28" s="13" t="inlineStr"/>
    </row>
  </sheetData>
  <autoFilter ref="A4:F2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P202 実行制御（apps/admin/src/pages/RunControlPage.tsx・pages/runControl）</t>
        </is>
      </c>
    </row>
    <row r="4">
      <c r="A4" s="14" t="inlineStr">
        <is>
          <t>対象ファイル</t>
        </is>
      </c>
      <c r="B4" s="15" t="inlineStr">
        <is>
          <t>apps/admin/src/pages/RunControlPage.tsx, apps/admin/src/pages/runControl/ControlButtons.tsx, apps/admin/src/pages/runControl/ResetDialog.tsx, apps/admin/src/pages/runControl/UsageCard.tsx, apps/admin/src/pages/runControl/WorldStatusCard.tsx, apps/admin/src/pages/runControl/RecentAuditTable.tsx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apps/admin/src/pages/RunControlPage.test.tsx（実装時、NOUS-69）, apps/admin/src/pages/RunControlPage.ut.test.tsx（単体テストで追加）</t>
        </is>
      </c>
    </row>
    <row r="7">
      <c r="A7" s="14" t="inlineStr">
        <is>
          <t>外部依存</t>
        </is>
      </c>
      <c r="B7" s="15" t="inlineStr">
        <is>
          <t>fetch（mockFetch・vi.stubGlobal）, TanStack Query（世界の状態・最近の操作）, Intl.DateTimeFormat（Asia/Tokyo）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conflictMessageFor：STATE_CONFLICT</t>
        </is>
      </c>
      <c r="C11" s="17" t="inlineStr">
        <is>
          <t>RunControlPage.tsx:35</t>
        </is>
      </c>
    </row>
    <row r="12">
      <c r="A12" s="17" t="inlineStr">
        <is>
          <t>B2</t>
        </is>
      </c>
      <c r="B12" s="17" t="inlineStr">
        <is>
          <t>conflictMessageFor：NO_AGENTS</t>
        </is>
      </c>
      <c r="C12" s="17" t="inlineStr">
        <is>
          <t>RunControlPage.tsx:38</t>
        </is>
      </c>
    </row>
    <row r="13">
      <c r="A13" s="17" t="inlineStr">
        <is>
          <t>B3</t>
        </is>
      </c>
      <c r="B13" s="17" t="inlineStr">
        <is>
          <t>conflictMessageFor：GENERATION_RUNNING</t>
        </is>
      </c>
      <c r="C13" s="17" t="inlineStr">
        <is>
          <t>RunControlPage.tsx:41</t>
        </is>
      </c>
    </row>
    <row r="14">
      <c r="A14" s="17" t="inlineStr">
        <is>
          <t>B4</t>
        </is>
      </c>
      <c r="B14" s="17" t="inlineStr">
        <is>
          <t>runAction：start</t>
        </is>
      </c>
      <c r="C14" s="17" t="inlineStr">
        <is>
          <t>RunControlPage.tsx:72</t>
        </is>
      </c>
    </row>
    <row r="15">
      <c r="A15" s="17" t="inlineStr">
        <is>
          <t>B5</t>
        </is>
      </c>
      <c r="B15" s="17" t="inlineStr">
        <is>
          <t>runAction：pause</t>
        </is>
      </c>
      <c r="C15" s="17" t="inlineStr">
        <is>
          <t>RunControlPage.tsx:76</t>
        </is>
      </c>
    </row>
    <row r="16">
      <c r="A16" s="17" t="inlineStr">
        <is>
          <t>B6</t>
        </is>
      </c>
      <c r="B16" s="17" t="inlineStr">
        <is>
          <t>runAction：resume</t>
        </is>
      </c>
      <c r="C16" s="17" t="inlineStr">
        <is>
          <t>RunControlPage.tsx:80</t>
        </is>
      </c>
    </row>
    <row r="17">
      <c r="A17" s="17" t="inlineStr">
        <is>
          <t>B7</t>
        </is>
      </c>
      <c r="B17" s="17" t="inlineStr">
        <is>
          <t>runAction：emergency</t>
        </is>
      </c>
      <c r="C17" s="17" t="inlineStr">
        <is>
          <t>RunControlPage.tsx:84</t>
        </is>
      </c>
    </row>
    <row r="18">
      <c r="A18" s="17" t="inlineStr">
        <is>
          <t>B8</t>
        </is>
      </c>
      <c r="B18" s="17" t="inlineStr">
        <is>
          <t>runAction：API のエラー（catch）</t>
        </is>
      </c>
      <c r="C18" s="17" t="inlineStr">
        <is>
          <t>RunControlPage.tsx:90</t>
        </is>
      </c>
    </row>
    <row r="19">
      <c r="A19" s="17" t="inlineStr">
        <is>
          <t>B9</t>
        </is>
      </c>
      <c r="B19" s="17" t="inlineStr">
        <is>
          <t>requestAction：pause（確認なし）</t>
        </is>
      </c>
      <c r="C19" s="17" t="inlineStr">
        <is>
          <t>RunControlPage.tsx:102</t>
        </is>
      </c>
    </row>
    <row r="20">
      <c r="A20" s="17" t="inlineStr">
        <is>
          <t>B10</t>
        </is>
      </c>
      <c r="B20" s="17" t="inlineStr">
        <is>
          <t>requestAction：start（確認のダイアログ）</t>
        </is>
      </c>
      <c r="C20" s="17" t="inlineStr">
        <is>
          <t>RunControlPage.tsx:106</t>
        </is>
      </c>
    </row>
    <row r="21">
      <c r="A21" s="17" t="inlineStr">
        <is>
          <t>B11</t>
        </is>
      </c>
      <c r="B21" s="17" t="inlineStr">
        <is>
          <t>requestAction：resume</t>
        </is>
      </c>
      <c r="C21" s="17" t="inlineStr">
        <is>
          <t>RunControlPage.tsx:116</t>
        </is>
      </c>
    </row>
    <row r="22">
      <c r="A22" s="17" t="inlineStr">
        <is>
          <t>B12</t>
        </is>
      </c>
      <c r="B22" s="17" t="inlineStr">
        <is>
          <t>requestAction：緊急停止からの再開（確認のダイアログ）</t>
        </is>
      </c>
      <c r="C22" s="17" t="inlineStr">
        <is>
          <t>RunControlPage.tsx:117</t>
        </is>
      </c>
    </row>
    <row r="23">
      <c r="A23" s="17" t="inlineStr">
        <is>
          <t>B13</t>
        </is>
      </c>
      <c r="B23" s="17" t="inlineStr">
        <is>
          <t>requestAction：emergency（確認のダイアログ）</t>
        </is>
      </c>
      <c r="C23" s="17" t="inlineStr">
        <is>
          <t>RunControlPage.tsx:130</t>
        </is>
      </c>
    </row>
    <row r="24">
      <c r="A24" s="17" t="inlineStr">
        <is>
          <t>B14</t>
        </is>
      </c>
      <c r="B24" s="17" t="inlineStr">
        <is>
          <t>handleResetConfirm：API のエラー（catch）</t>
        </is>
      </c>
      <c r="C24" s="17" t="inlineStr">
        <is>
          <t>RunControlPage.tsx:153</t>
        </is>
      </c>
    </row>
    <row r="25">
      <c r="A25" s="17" t="inlineStr">
        <is>
          <t>B15</t>
        </is>
      </c>
      <c r="B25" s="17" t="inlineStr">
        <is>
          <t>handleResetConfirm：エラーが fields を返した（400、ダイアログに出す）</t>
        </is>
      </c>
      <c r="C25" s="17" t="inlineStr">
        <is>
          <t>RunControlPage.tsx:158</t>
        </is>
      </c>
    </row>
    <row r="26">
      <c r="A26" s="17" t="inlineStr">
        <is>
          <t>B16</t>
        </is>
      </c>
      <c r="B26" s="17" t="inlineStr">
        <is>
          <t>世界の状態を取得済み</t>
        </is>
      </c>
      <c r="C26" s="17" t="inlineStr">
        <is>
          <t>RunControlPage.tsx:175</t>
        </is>
      </c>
    </row>
    <row r="27">
      <c r="A27" s="17" t="inlineStr">
        <is>
          <t>B17</t>
        </is>
      </c>
      <c r="B27" s="17" t="inlineStr">
        <is>
          <t>buttonStates：開始を押せる（準備中かつ体数 &gt; 0）</t>
        </is>
      </c>
      <c r="C27" s="17" t="inlineStr">
        <is>
          <t>runControl/ControlButtons.tsx:14</t>
        </is>
      </c>
    </row>
    <row r="28">
      <c r="A28" s="17" t="inlineStr">
        <is>
          <t>B18</t>
        </is>
      </c>
      <c r="B28" s="17" t="inlineStr">
        <is>
          <t>buttonStates：開始を押せない理由が「準備中でない」</t>
        </is>
      </c>
      <c r="C28" s="17" t="inlineStr">
        <is>
          <t>runControl/ControlButtons.tsx:17</t>
        </is>
      </c>
    </row>
    <row r="29">
      <c r="A29" s="17" t="inlineStr">
        <is>
          <t>B19</t>
        </is>
      </c>
      <c r="B29" s="17" t="inlineStr">
        <is>
          <t>buttonStates：一時停止を押せる（稼働・上限停止）</t>
        </is>
      </c>
      <c r="C29" s="17" t="inlineStr">
        <is>
          <t>runControl/ControlButtons.tsx:25</t>
        </is>
      </c>
    </row>
    <row r="30">
      <c r="A30" s="17" t="inlineStr">
        <is>
          <t>B20</t>
        </is>
      </c>
      <c r="B30" s="17" t="inlineStr">
        <is>
          <t>buttonStates：再開を押せる（一時停止・緊急停止）</t>
        </is>
      </c>
      <c r="C30" s="17" t="inlineStr">
        <is>
          <t>runControl/ControlButtons.tsx:39</t>
        </is>
      </c>
    </row>
    <row r="31">
      <c r="A31" s="17" t="inlineStr">
        <is>
          <t>B21</t>
        </is>
      </c>
      <c r="B31" s="17" t="inlineStr">
        <is>
          <t>buttonStates：緊急停止を押せる（稼働・一時停止・上限停止）</t>
        </is>
      </c>
      <c r="C31" s="17" t="inlineStr">
        <is>
          <t>runControl/ControlButtons.tsx:53</t>
        </is>
      </c>
    </row>
    <row r="32">
      <c r="A32" s="17" t="inlineStr">
        <is>
          <t>B22</t>
        </is>
      </c>
      <c r="B32" s="17" t="inlineStr">
        <is>
          <t>buttonStates：リセットを押せる（一時停止・上限停止・緊急停止）</t>
        </is>
      </c>
      <c r="C32" s="17" t="inlineStr">
        <is>
          <t>runControl/ControlButtons.tsx:65</t>
        </is>
      </c>
    </row>
    <row r="33">
      <c r="A33" s="17" t="inlineStr">
        <is>
          <t>B23</t>
        </is>
      </c>
      <c r="B33" s="17" t="inlineStr">
        <is>
          <t>ResetDialog：入力が世界の名前と一致しない</t>
        </is>
      </c>
      <c r="C33" s="17" t="inlineStr">
        <is>
          <t>runControl/ResetDialog.tsx:23</t>
        </is>
      </c>
    </row>
    <row r="34">
      <c r="A34" s="17" t="inlineStr">
        <is>
          <t>B24</t>
        </is>
      </c>
      <c r="B34" s="17" t="inlineStr">
        <is>
          <t>ResetDialog：onConfirm が文言を返した（入力欄の下に出す）</t>
        </is>
      </c>
      <c r="C34" s="17" t="inlineStr">
        <is>
          <t>runControl/ResetDialog.tsx:31</t>
        </is>
      </c>
    </row>
    <row r="35">
      <c r="A35" s="17" t="inlineStr">
        <is>
          <t>B25</t>
        </is>
      </c>
      <c r="B35" s="17" t="inlineStr">
        <is>
          <t>usageLevel：上限が 0 以下</t>
        </is>
      </c>
      <c r="C35" s="17" t="inlineStr">
        <is>
          <t>runControl/UsageCard.tsx:8</t>
        </is>
      </c>
    </row>
    <row r="36">
      <c r="A36" s="17" t="inlineStr">
        <is>
          <t>B26</t>
        </is>
      </c>
      <c r="B36" s="17" t="inlineStr">
        <is>
          <t>usageLevel：比が 1 以上</t>
        </is>
      </c>
      <c r="C36" s="17" t="inlineStr">
        <is>
          <t>runControl/UsageCard.tsx:10</t>
        </is>
      </c>
    </row>
    <row r="37">
      <c r="A37" s="17" t="inlineStr">
        <is>
          <t>B27</t>
        </is>
      </c>
      <c r="B37" s="17" t="inlineStr">
        <is>
          <t>usageLevel：比が 0.8 以上</t>
        </is>
      </c>
      <c r="C37" s="17" t="inlineStr">
        <is>
          <t>runControl/UsageCard.tsx:11</t>
        </is>
      </c>
    </row>
    <row r="38">
      <c r="A38" s="17" t="inlineStr">
        <is>
          <t>B28</t>
        </is>
      </c>
      <c r="B38" s="17" t="inlineStr">
        <is>
          <t>WorldStatusCard：状態が稼働（次の巡の予定を出す）</t>
        </is>
      </c>
      <c r="C38" s="17" t="inlineStr">
        <is>
          <t>runControl/WorldStatusCard.tsx:24</t>
        </is>
      </c>
    </row>
    <row r="39">
      <c r="A39" s="17" t="inlineStr">
        <is>
          <t>B29</t>
        </is>
      </c>
      <c r="B39" s="17" t="inlineStr">
        <is>
          <t>formatNextCycleAt：予定がない</t>
        </is>
      </c>
      <c r="C39" s="17" t="inlineStr">
        <is>
          <t>runControl/WorldStatusCard.tsx:11</t>
        </is>
      </c>
    </row>
    <row r="40">
      <c r="A40" s="17" t="inlineStr">
        <is>
          <t>B30</t>
        </is>
      </c>
      <c r="B40" s="17" t="inlineStr">
        <is>
          <t>WorldStatusCard：停止理由がある</t>
        </is>
      </c>
      <c r="C40" s="17" t="inlineStr">
        <is>
          <t>runControl/WorldStatusCard.tsx:23</t>
        </is>
      </c>
    </row>
    <row r="41">
      <c r="A41" s="17" t="inlineStr">
        <is>
          <t>B31</t>
        </is>
      </c>
      <c r="B41" s="17" t="inlineStr">
        <is>
          <t>RecentAuditTable：対象の ID がある</t>
        </is>
      </c>
      <c r="C41" s="17" t="inlineStr">
        <is>
          <t>runControl/RecentAuditTable.tsx:57</t>
        </is>
      </c>
    </row>
    <row r="43">
      <c r="A43" s="14" t="inlineStr">
        <is>
          <t>確認事項・潜在バグ</t>
        </is>
      </c>
    </row>
    <row r="44" ht="30" customHeight="1">
      <c r="A44" s="18" t="inlineStr">
        <is>
          <t>・疑い 1：P202 6章の 409 NO_AGENTS は「P203 へのリンクを添える」だが、様式②は文言だけでリンクがない（ErrorBanner は文字列だけを受ける）。TC-UT_P202-008 はリンクを期待するので、実施では NG になる見込み</t>
        </is>
      </c>
    </row>
    <row r="45" ht="30" customHeight="1">
      <c r="A45" s="18" t="inlineStr">
        <is>
          <t>・疑い 2：P202 E01 の「様式①: 500 は「状態を取得できませんでした」」が実装されていない。世界の状態の取得が失敗すると「世界の状態を読み込み中…」のままになり、3 回続けて失敗したときに様式②「最新の状態を取得できていません」が出るだけ。TC-UT_P202-013 は仕様どおり様式①を期待するので、実施では NG になる見込み</t>
        </is>
      </c>
    </row>
    <row r="46" ht="30" customHeight="1">
      <c r="A46" s="18" t="inlineStr">
        <is>
          <t>・確認事項 1：P202 H17 は「一致するまで確定を押せない」だが、実装は押してから「世界の名前が一致しません」を出す（FE 詳細設計 submitReset に合わせた。NOUS-69 で Takaya Ishikawa さんが判断を書き、再鑑で完了）。どちらを正とするかは画面設計書の更新で揃えるのがよい。TC-NOUS69_DEV-14 は実装の形で確かめている</t>
        </is>
      </c>
    </row>
    <row r="47" ht="30" customHeight="1">
      <c r="A47" s="18" t="inlineStr">
        <is>
          <t>・確認事項 2：P202 H04（巡の番号）の表示条件は「稼働した世界」だが、準備中の世界でも「第 0 巡」を出す</t>
        </is>
      </c>
    </row>
    <row r="48" ht="30" customHeight="1">
      <c r="A48" s="18" t="inlineStr">
        <is>
          <t>・確認事項 3：P202 E05 で、再開の結果が上限停止（理由つき）になったときも、トーストは「再開しました」になる。状態の枠には上限停止と理由が出るため誤りではないが、トーストの文言は設計書に記載がない</t>
        </is>
      </c>
    </row>
    <row r="49" ht="30" customHeight="1">
      <c r="A49" s="18" t="inlineStr">
        <is>
          <t>・確認事項 4：409 GENERATION_RUNNING の文言「実行中の生成があります。終わってから操作してください」と、押せないボタンの理由（リセットの2つ以外）は設計書に記載がなく、実装の値を期待結果にした</t>
        </is>
      </c>
    </row>
    <row r="50" ht="30" customHeight="1">
      <c r="A50" s="18" t="inlineStr">
        <is>
          <t>・確認事項 5：通らない分岐。conflictMessageFor の 3 つのコード以外（B3-F）は、世界の操作の API が 409 でこの3つしか返さないため通らない。runAction の emergency でもない（B7-F）と requestAction の reset でもない（RunControlPage.tsx:140 の偽）は、action の型が 5 つに限られるため通らない</t>
        </is>
      </c>
    </row>
  </sheetData>
  <mergeCells count="7">
    <mergeCell ref="A49:C49"/>
    <mergeCell ref="A44:C44"/>
    <mergeCell ref="A47:C47"/>
    <mergeCell ref="A45:C45"/>
    <mergeCell ref="A46:C46"/>
    <mergeCell ref="A50:C50"/>
    <mergeCell ref="A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2026-10-26T06:10:18Z</dcterms:created>
  <dcterms:modified xsi:type="dcterms:W3CDTF">2026-10-26T06:10:18Z</dcterms:modified>
</cp:coreProperties>
</file>