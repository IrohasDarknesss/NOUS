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'観点表'!$A$4:$Q$42</definedName>
    <definedName name="_xlnm.Print_Titles" localSheetId="0">'観点表'!$4:$4</definedName>
    <definedName name="_xlnm._FilterDatabase" localSheetId="2" hidden="1">'テストデータ'!$A$4:$F$42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管理画面の API クライアント・セッション・ルーティング（apps/admin/src の api・session・router・main・App）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TC-NOUS50_DEV-01</t>
        </is>
      </c>
      <c r="C5" s="5" t="inlineStr">
        <is>
          <t>adminFetch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GET には X-CSRF-Token を付けず、credentials は same-origin</t>
        </is>
      </c>
      <c r="G5" s="5" t="inlineStr">
        <is>
          <t>前提：CSRF トークン csrf-abc
入力：GET /admin/api/world</t>
        </is>
      </c>
      <c r="H5" s="5" t="inlineStr">
        <is>
          <t>X-CSRF-Token なし、credentials same-origin、本文を返す</t>
        </is>
      </c>
      <c r="I5" s="5" t="inlineStr">
        <is>
          <t>B1-F, B2-F, B6-T, B7-F, B11-F, B12-F</t>
        </is>
      </c>
      <c r="J5" s="5" t="inlineStr">
        <is>
          <t>fetch を mockFetch で差し替え</t>
        </is>
      </c>
      <c r="K5" s="5" t="inlineStr"/>
      <c r="L5" s="5" t="inlineStr"/>
      <c r="M5" s="5" t="inlineStr">
        <is>
          <t>TC-NOUS50_DEV-01 GET には X-CSRF-Token を付けず、credentials は same-origin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既存テスト：実装時のテスト（NOUS-50）</t>
        </is>
      </c>
    </row>
    <row r="6">
      <c r="A6" s="4" t="n">
        <v>2</v>
      </c>
      <c r="B6" s="4" t="inlineStr">
        <is>
          <t>TC-NOUS50_DEV-02</t>
        </is>
      </c>
      <c r="C6" s="5" t="inlineStr">
        <is>
          <t>adminFetch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GET 以外には X-CSRF-Token と Content-Type を付け、本文を JSON にする</t>
        </is>
      </c>
      <c r="G6" s="5" t="inlineStr">
        <is>
          <t>前提：CSRF トークン csrf-abc
入力：POST /admin/api/world/reset、本文 { confirmName }</t>
        </is>
      </c>
      <c r="H6" s="5" t="inlineStr">
        <is>
          <t>X-CSRF-Token csrf-abc、Content-Type application/json、本文は JSON</t>
        </is>
      </c>
      <c r="I6" s="5" t="inlineStr">
        <is>
          <t>B1-T, B2-T, B3-T</t>
        </is>
      </c>
      <c r="J6" s="5" t="inlineStr">
        <is>
          <t>fetch を mockFetch で差し替え</t>
        </is>
      </c>
      <c r="K6" s="5" t="inlineStr"/>
      <c r="L6" s="5" t="inlineStr"/>
      <c r="M6" s="5" t="inlineStr">
        <is>
          <t>TC-NOUS50_DEV-02 GET 以外には X-CSRF-Token と Content-Type を付け、本文を JSON にする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既存テスト：実装時のテスト（NOUS-50）</t>
        </is>
      </c>
    </row>
    <row r="7">
      <c r="A7" s="4" t="n">
        <v>3</v>
      </c>
      <c r="B7" s="4" t="inlineStr">
        <is>
          <t>TC-NOUS50_DEV-03</t>
        </is>
      </c>
      <c r="C7" s="5" t="inlineStr">
        <is>
          <t>adminFetch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csrf: false なら POST でも X-CSRF-Token を付けない（login）</t>
        </is>
      </c>
      <c r="G7" s="5" t="inlineStr">
        <is>
          <t>前提：CSRF トークンあり
入力：POST /admin/api/login、csrf: false</t>
        </is>
      </c>
      <c r="H7" s="5" t="inlineStr">
        <is>
          <t>X-CSRF-Token なし</t>
        </is>
      </c>
      <c r="I7" s="5" t="inlineStr">
        <is>
          <t>B2-F</t>
        </is>
      </c>
      <c r="J7" s="5" t="inlineStr">
        <is>
          <t>fetch を mockFetch で差し替え</t>
        </is>
      </c>
      <c r="K7" s="5" t="inlineStr"/>
      <c r="L7" s="5" t="inlineStr"/>
      <c r="M7" s="5" t="inlineStr">
        <is>
          <t>TC-NOUS50_DEV-03 csrf: false なら POST でも X-CSRF-Token を付けない（login）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既存テスト：実装時のテスト（NOUS-50）</t>
        </is>
      </c>
    </row>
    <row r="8">
      <c r="A8" s="4" t="n">
        <v>4</v>
      </c>
      <c r="B8" s="4" t="inlineStr">
        <is>
          <t>TC-NOUS50_DEV-04</t>
        </is>
      </c>
      <c r="C8" s="5" t="inlineStr">
        <is>
          <t>adminFetch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204 は undefined を返す</t>
        </is>
      </c>
      <c r="G8" s="5" t="inlineStr">
        <is>
          <t>前提：なし
入力：POST /admin/api/logout → 204</t>
        </is>
      </c>
      <c r="H8" s="5" t="inlineStr">
        <is>
          <t>undefined</t>
        </is>
      </c>
      <c r="I8" s="5" t="inlineStr">
        <is>
          <t>B5-T</t>
        </is>
      </c>
      <c r="J8" s="5" t="inlineStr">
        <is>
          <t>fetch を mockFetch で差し替え</t>
        </is>
      </c>
      <c r="K8" s="5" t="inlineStr"/>
      <c r="L8" s="5" t="inlineStr"/>
      <c r="M8" s="5" t="inlineStr">
        <is>
          <t>TC-NOUS50_DEV-04 204 は undefined を返す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既存テスト：実装時のテスト（NOUS-50）</t>
        </is>
      </c>
    </row>
    <row r="9">
      <c r="A9" s="4" t="n">
        <v>5</v>
      </c>
      <c r="B9" s="4" t="inlineStr">
        <is>
          <t>TC-NOUS50_DEV-05</t>
        </is>
      </c>
      <c r="C9" s="5" t="inlineStr">
        <is>
          <t>adminFetch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2xx 以外は本文の error から ApiError（status・code・message・fields）にする</t>
        </is>
      </c>
      <c r="G9" s="5" t="inlineStr">
        <is>
          <t>前提：なし
入力：400 VALIDATION_ERROR と fields</t>
        </is>
      </c>
      <c r="H9" s="5" t="inlineStr">
        <is>
          <t>ApiError の status・code・message・fields</t>
        </is>
      </c>
      <c r="I9" s="5" t="inlineStr">
        <is>
          <t>B5-F, B6-F, B8-T</t>
        </is>
      </c>
      <c r="J9" s="5" t="inlineStr">
        <is>
          <t>fetch を mockFetch で差し替え</t>
        </is>
      </c>
      <c r="K9" s="5" t="inlineStr"/>
      <c r="L9" s="5" t="inlineStr"/>
      <c r="M9" s="5" t="inlineStr">
        <is>
          <t>TC-NOUS50_DEV-05 2xx 以外は本文の error から ApiError（status・code・message・fields）にする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既存テスト：実装時のテスト（NOUS-50）</t>
        </is>
      </c>
    </row>
    <row r="10">
      <c r="A10" s="4" t="n">
        <v>6</v>
      </c>
      <c r="B10" s="4" t="inlineStr">
        <is>
          <t>TC-NOUS50_DEV-06</t>
        </is>
      </c>
      <c r="C10" s="5" t="inlineStr">
        <is>
          <t>adminFetch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401 ADMIN_UNAUTHORIZED では手元の CSRF トークンを捨てる</t>
        </is>
      </c>
      <c r="G10" s="5" t="inlineStr">
        <is>
          <t>前提：CSRF トークンあり
入力：401 ADMIN_UNAUTHORIZED</t>
        </is>
      </c>
      <c r="H10" s="5" t="inlineStr">
        <is>
          <t>ApiError、getCsrfToken() は null</t>
        </is>
      </c>
      <c r="I10" s="5" t="inlineStr">
        <is>
          <t>B9-T</t>
        </is>
      </c>
      <c r="J10" s="5" t="inlineStr">
        <is>
          <t>fetch を mockFetch で差し替え</t>
        </is>
      </c>
      <c r="K10" s="5" t="inlineStr"/>
      <c r="L10" s="5" t="inlineStr"/>
      <c r="M10" s="5" t="inlineStr">
        <is>
          <t>TC-NOUS50_DEV-06 401 ADMIN_UNAUTHORIZED では手元の CSRF トークンを捨てる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既存テスト：実装時のテスト（NOUS-50）</t>
        </is>
      </c>
    </row>
    <row r="11">
      <c r="A11" s="4" t="n">
        <v>7</v>
      </c>
      <c r="B11" s="4" t="inlineStr">
        <is>
          <t>TC-NOUS50_DEV-07</t>
        </is>
      </c>
      <c r="C11" s="5" t="inlineStr">
        <is>
          <t>adminFetch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401 LOGIN_FAILED では CSRF トークンを捨てない</t>
        </is>
      </c>
      <c r="G11" s="5" t="inlineStr">
        <is>
          <t>前提：CSRF トークンあり
入力：401 LOGIN_FAILED</t>
        </is>
      </c>
      <c r="H11" s="5" t="inlineStr">
        <is>
          <t>ApiError、トークンは残る</t>
        </is>
      </c>
      <c r="I11" s="5" t="inlineStr">
        <is>
          <t>B9-F</t>
        </is>
      </c>
      <c r="J11" s="5" t="inlineStr">
        <is>
          <t>fetch を mockFetch で差し替え</t>
        </is>
      </c>
      <c r="K11" s="5" t="inlineStr"/>
      <c r="L11" s="5" t="inlineStr"/>
      <c r="M11" s="5" t="inlineStr">
        <is>
          <t>TC-NOUS50_DEV-07 401 LOGIN_FAILED では CSRF トークンを捨てない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既存テスト：実装時のテスト（NOUS-50）</t>
        </is>
      </c>
    </row>
    <row r="12">
      <c r="A12" s="4" t="n">
        <v>8</v>
      </c>
      <c r="B12" s="4" t="inlineStr">
        <is>
          <t>TC-NOUS50_DEV-08</t>
        </is>
      </c>
      <c r="C12" s="5" t="inlineStr">
        <is>
          <t>adminFetch</t>
        </is>
      </c>
      <c r="D12" s="4" t="inlineStr">
        <is>
          <t>異常系</t>
        </is>
      </c>
      <c r="E12" s="4" t="inlineStr">
        <is>
          <t>開発者テスト</t>
        </is>
      </c>
      <c r="F12" s="5" t="inlineStr">
        <is>
          <t>通信の失敗は NetworkError、本文が JSON でない 500 は INTERNAL_ERROR の ApiError</t>
        </is>
      </c>
      <c r="G12" s="5" t="inlineStr">
        <is>
          <t>前提：なし
入力：fetch が TypeError、500 で本文が JSON でない</t>
        </is>
      </c>
      <c r="H12" s="5" t="inlineStr">
        <is>
          <t>NetworkError、ApiError(500, INTERNAL_ERROR)</t>
        </is>
      </c>
      <c r="I12" s="5" t="inlineStr">
        <is>
          <t>B4-F, B12-T, B8-F, B10-T</t>
        </is>
      </c>
      <c r="J12" s="5" t="inlineStr">
        <is>
          <t>fetch を mockFetch で差し替え</t>
        </is>
      </c>
      <c r="K12" s="5" t="inlineStr"/>
      <c r="L12" s="5" t="inlineStr"/>
      <c r="M12" s="5" t="inlineStr">
        <is>
          <t>TC-NOUS50_DEV-08 通信の失敗は NetworkError、本文が JSON でない 500 は INTERNAL_ERROR の ApiError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既存テスト：実装時のテスト（NOUS-50）</t>
        </is>
      </c>
    </row>
    <row r="13">
      <c r="A13" s="4" t="n">
        <v>9</v>
      </c>
      <c r="B13" s="4" t="inlineStr">
        <is>
          <t>TC-NOUS50_DEV-09</t>
        </is>
      </c>
      <c r="C13" s="5" t="inlineStr">
        <is>
          <t>router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認証が要る画面は 10 画面・11 ルート（P204 は新規と編集）が登録されている</t>
        </is>
      </c>
      <c r="G13" s="5" t="inlineStr">
        <is>
          <t>前提：なし
入力：protectedRoutes</t>
        </is>
      </c>
      <c r="H13" s="5" t="inlineStr">
        <is>
          <t>11 ルート</t>
        </is>
      </c>
      <c r="I13" s="5" t="inlineStr"/>
      <c r="J13" s="5" t="inlineStr">
        <is>
          <t>なし</t>
        </is>
      </c>
      <c r="K13" s="5" t="inlineStr"/>
      <c r="L13" s="5" t="inlineStr"/>
      <c r="M13" s="5" t="inlineStr">
        <is>
          <t>TC-NOUS50_DEV-09 認証が要る画面は 10 画面・11 ルート（P204 は新規と編集）が登録されている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既存テスト：実装時のテスト（NOUS-50）</t>
        </is>
      </c>
    </row>
    <row r="14">
      <c r="A14" s="4" t="n">
        <v>10</v>
      </c>
      <c r="B14" s="4" t="inlineStr">
        <is>
          <t>TC-NOUS50_DEV-10</t>
        </is>
      </c>
      <c r="C14" s="5" t="inlineStr">
        <is>
          <t>router</t>
        </is>
      </c>
      <c r="D14" s="4" t="inlineStr">
        <is>
          <t>正常系</t>
        </is>
      </c>
      <c r="E14" s="4" t="inlineStr">
        <is>
          <t>開発者テスト</t>
        </is>
      </c>
      <c r="F14" s="5" t="inlineStr">
        <is>
          <t>ログイン済みなら各パスで対応する画面を表示する</t>
        </is>
      </c>
      <c r="G14" s="5" t="inlineStr">
        <is>
          <t>前提：セッション 200
入力：/ ・/agents など 11 のパス</t>
        </is>
      </c>
      <c r="H14" s="5" t="inlineStr">
        <is>
          <t>各画面の ID を表示</t>
        </is>
      </c>
      <c r="I14" s="5" t="inlineStr">
        <is>
          <t>B16-T, B21-F, B22-F</t>
        </is>
      </c>
      <c r="J14" s="5" t="inlineStr">
        <is>
          <t>fetch を mockFetch で差し替え、renderApp（createMemoryRouter と QueryClient）</t>
        </is>
      </c>
      <c r="K14" s="5" t="inlineStr"/>
      <c r="L14" s="5" t="inlineStr"/>
      <c r="M14" s="5" t="inlineStr">
        <is>
          <t>TC-NOUS50_DEV-10 ログイン済みなら %s で %s を表示する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既存テスト：実装時のテスト（NOUS-50）</t>
        </is>
      </c>
    </row>
    <row r="15">
      <c r="A15" s="4" t="n">
        <v>11</v>
      </c>
      <c r="B15" s="4" t="inlineStr">
        <is>
          <t>TC-NOUS50_DEV-11</t>
        </is>
      </c>
      <c r="C15" s="5" t="inlineStr">
        <is>
          <t>router</t>
        </is>
      </c>
      <c r="D15" s="4" t="inlineStr">
        <is>
          <t>正常系</t>
        </is>
      </c>
      <c r="E15" s="4" t="inlineStr">
        <is>
          <t>開発者テスト</t>
        </is>
      </c>
      <c r="F15" s="5" t="inlineStr">
        <is>
          <t>/login は認証なしで P201 を表示する</t>
        </is>
      </c>
      <c r="G15" s="5" t="inlineStr">
        <is>
          <t>前提：セッション 401
入力：/login</t>
        </is>
      </c>
      <c r="H15" s="5" t="inlineStr">
        <is>
          <t>P201 を表示</t>
        </is>
      </c>
      <c r="I15" s="5" t="inlineStr">
        <is>
          <t>B18-T</t>
        </is>
      </c>
      <c r="J15" s="5" t="inlineStr">
        <is>
          <t>fetch を mockFetch で差し替え、renderApp（createMemoryRouter と QueryClient）</t>
        </is>
      </c>
      <c r="K15" s="5" t="inlineStr"/>
      <c r="L15" s="5" t="inlineStr"/>
      <c r="M15" s="5" t="inlineStr">
        <is>
          <t>TC-NOUS50_DEV-11 /login は認証なしで P201 を表示する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既存テスト：実装時のテスト（NOUS-50）</t>
        </is>
      </c>
    </row>
    <row r="16">
      <c r="A16" s="4" t="n">
        <v>12</v>
      </c>
      <c r="B16" s="4" t="inlineStr">
        <is>
          <t>TC-NOUS50_DEV-12</t>
        </is>
      </c>
      <c r="C16" s="5" t="inlineStr">
        <is>
          <t>router / RequireSession</t>
        </is>
      </c>
      <c r="D16" s="4" t="inlineStr">
        <is>
          <t>異常系</t>
        </is>
      </c>
      <c r="E16" s="4" t="inlineStr">
        <is>
          <t>開発者テスト</t>
        </is>
      </c>
      <c r="F16" s="5" t="inlineStr">
        <is>
          <t>未ログインで認証が要る画面を開くと /login?next=… へ移る</t>
        </is>
      </c>
      <c r="G16" s="5" t="inlineStr">
        <is>
          <t>前提：セッション 401
入力：/settings など</t>
        </is>
      </c>
      <c r="H16" s="5" t="inlineStr">
        <is>
          <t>/login?next=…</t>
        </is>
      </c>
      <c r="I16" s="5" t="inlineStr">
        <is>
          <t>B16-F, B22-T, B23-F</t>
        </is>
      </c>
      <c r="J16" s="5" t="inlineStr">
        <is>
          <t>fetch を mockFetch で差し替え、renderApp（createMemoryRouter と QueryClient）</t>
        </is>
      </c>
      <c r="K16" s="5" t="inlineStr"/>
      <c r="L16" s="5" t="inlineStr"/>
      <c r="M16" s="5" t="inlineStr">
        <is>
          <t>TC-NOUS50_DEV-12 未ログインで認証が要る画面を開くと /login?next=… へ移る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既存テスト：実装時のテスト（NOUS-50）</t>
        </is>
      </c>
    </row>
    <row r="17">
      <c r="A17" s="4" t="n">
        <v>13</v>
      </c>
      <c r="B17" s="4" t="inlineStr">
        <is>
          <t>TC-NOUS50_DEV-13</t>
        </is>
      </c>
      <c r="C17" s="5" t="inlineStr">
        <is>
          <t>router / bootstrapSession</t>
        </is>
      </c>
      <c r="D17" s="4" t="inlineStr">
        <is>
          <t>異常系</t>
        </is>
      </c>
      <c r="E17" s="4" t="inlineStr">
        <is>
          <t>開発者テスト</t>
        </is>
      </c>
      <c r="F17" s="5" t="inlineStr">
        <is>
          <t>パスワード未設定（409 ADMIN_NOT_SET）でも /login へ移る</t>
        </is>
      </c>
      <c r="G17" s="5" t="inlineStr">
        <is>
          <t>前提：セッション 409 ADMIN_NOT_SET
入力：/</t>
        </is>
      </c>
      <c r="H17" s="5" t="inlineStr">
        <is>
          <t>/login</t>
        </is>
      </c>
      <c r="I17" s="5" t="inlineStr">
        <is>
          <t>B17-T, B22-T, B23-T</t>
        </is>
      </c>
      <c r="J17" s="5" t="inlineStr">
        <is>
          <t>fetch を mockFetch で差し替え、renderApp（createMemoryRouter と QueryClient）</t>
        </is>
      </c>
      <c r="K17" s="5" t="inlineStr"/>
      <c r="L17" s="5" t="inlineStr"/>
      <c r="M17" s="5" t="inlineStr">
        <is>
          <t>TC-NOUS50_DEV-13 パスワード未設定（409 ADMIN_NOT_SET）でも /login へ移る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既存テスト：実装時のテスト（NOUS-50）</t>
        </is>
      </c>
    </row>
    <row r="18">
      <c r="A18" s="4" t="n">
        <v>14</v>
      </c>
      <c r="B18" s="4" t="inlineStr">
        <is>
          <t>TC-NOUS50_DEV-14</t>
        </is>
      </c>
      <c r="C18" s="5" t="inlineStr">
        <is>
          <t>router</t>
        </is>
      </c>
      <c r="D18" s="4" t="inlineStr">
        <is>
          <t>異常系</t>
        </is>
      </c>
      <c r="E18" s="4" t="inlineStr">
        <is>
          <t>開発者テスト</t>
        </is>
      </c>
      <c r="F18" s="5" t="inlineStr">
        <is>
          <t>未知のパスは / へ戻す</t>
        </is>
      </c>
      <c r="G18" s="5" t="inlineStr">
        <is>
          <t>前提：セッション 200
入力：/unknown</t>
        </is>
      </c>
      <c r="H18" s="5" t="inlineStr">
        <is>
          <t>/</t>
        </is>
      </c>
      <c r="I18" s="5" t="inlineStr"/>
      <c r="J18" s="5" t="inlineStr">
        <is>
          <t>fetch を mockFetch で差し替え、renderApp（createMemoryRouter と QueryClient）</t>
        </is>
      </c>
      <c r="K18" s="5" t="inlineStr"/>
      <c r="L18" s="5" t="inlineStr"/>
      <c r="M18" s="5" t="inlineStr">
        <is>
          <t>TC-NOUS50_DEV-14 未知のパスは / へ戻す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既存テスト：実装時のテスト（NOUS-50）</t>
        </is>
      </c>
    </row>
    <row r="19">
      <c r="A19" s="4" t="n">
        <v>15</v>
      </c>
      <c r="B19" s="4" t="inlineStr">
        <is>
          <t>TC-NOUS50_DEV-15</t>
        </is>
      </c>
      <c r="C19" s="5" t="inlineStr">
        <is>
          <t>AdminHeader / signOut</t>
        </is>
      </c>
      <c r="D19" s="4" t="inlineStr">
        <is>
          <t>正常系</t>
        </is>
      </c>
      <c r="E19" s="4" t="inlineStr">
        <is>
          <t>開発者テスト</t>
        </is>
      </c>
      <c r="F19" s="5" t="inlineStr">
        <is>
          <t>ヘッダーに世界の状態と世界内時間、ログアウトで /login へ移る</t>
        </is>
      </c>
      <c r="G19" s="5" t="inlineStr">
        <is>
          <t>前提：セッション 200、world 200、logout 204
入力：ログアウトを押す</t>
        </is>
      </c>
      <c r="H19" s="5" t="inlineStr">
        <is>
          <t>バッジと世界内時間、/login</t>
        </is>
      </c>
      <c r="I19" s="5" t="inlineStr">
        <is>
          <t>B19-F</t>
        </is>
      </c>
      <c r="J19" s="5" t="inlineStr">
        <is>
          <t>fetch を mockFetch で差し替え、renderApp（createMemoryRouter と QueryClient）</t>
        </is>
      </c>
      <c r="K19" s="5" t="inlineStr"/>
      <c r="L19" s="5" t="inlineStr"/>
      <c r="M19" s="5" t="inlineStr">
        <is>
          <t>TC-NOUS50_DEV-15 ヘッダーに世界の状態と世界内時間、ログアウトで /login へ移る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既存テスト：実装時のテスト（NOUS-50）</t>
        </is>
      </c>
    </row>
    <row r="20">
      <c r="A20" s="4" t="n">
        <v>16</v>
      </c>
      <c r="B20" s="4" t="inlineStr">
        <is>
          <t>TC-NOUS50_DEV-16</t>
        </is>
      </c>
      <c r="C20" s="5" t="inlineStr">
        <is>
          <t>signOut</t>
        </is>
      </c>
      <c r="D20" s="4" t="inlineStr">
        <is>
          <t>異常系</t>
        </is>
      </c>
      <c r="E20" s="4" t="inlineStr">
        <is>
          <t>開発者テスト</t>
        </is>
      </c>
      <c r="F20" s="5" t="inlineStr">
        <is>
          <t>ログアウトの API が失敗しても /login へ移る</t>
        </is>
      </c>
      <c r="G20" s="5" t="inlineStr">
        <is>
          <t>前提：logout 500
入力：ログアウトを押す</t>
        </is>
      </c>
      <c r="H20" s="5" t="inlineStr">
        <is>
          <t>/login</t>
        </is>
      </c>
      <c r="I20" s="5" t="inlineStr">
        <is>
          <t>B19-T</t>
        </is>
      </c>
      <c r="J20" s="5" t="inlineStr">
        <is>
          <t>fetch を mockFetch で差し替え、renderApp（createMemoryRouter と QueryClient）</t>
        </is>
      </c>
      <c r="K20" s="5" t="inlineStr"/>
      <c r="L20" s="5" t="inlineStr"/>
      <c r="M20" s="5" t="inlineStr">
        <is>
          <t>TC-NOUS50_DEV-16 ログアウトの API が失敗しても /login へ移る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既存テスト：実装時のテスト（NOUS-50）</t>
        </is>
      </c>
    </row>
    <row r="21">
      <c r="A21" s="4" t="n">
        <v>17</v>
      </c>
      <c r="B21" s="4" t="inlineStr">
        <is>
          <t>TC-NOUS50_DEV-17</t>
        </is>
      </c>
      <c r="C21" s="5" t="inlineStr">
        <is>
          <t>AdminSideMenu</t>
        </is>
      </c>
      <c r="D21" s="4" t="inlineStr">
        <is>
          <t>正常系</t>
        </is>
      </c>
      <c r="E21" s="4" t="inlineStr">
        <is>
          <t>開発者テスト</t>
        </is>
      </c>
      <c r="F21" s="5" t="inlineStr">
        <is>
          <t>サイドメニューに 8 項目があり、現在のパスを強調する</t>
        </is>
      </c>
      <c r="G21" s="5" t="inlineStr">
        <is>
          <t>前提：セッション 200
入力：/settings</t>
        </is>
      </c>
      <c r="H21" s="5" t="inlineStr">
        <is>
          <t>8 項目、実行設定を強調</t>
        </is>
      </c>
      <c r="I21" s="5" t="inlineStr"/>
      <c r="J21" s="5" t="inlineStr">
        <is>
          <t>fetch を mockFetch で差し替え、renderApp（createMemoryRouter と QueryClient）</t>
        </is>
      </c>
      <c r="K21" s="5" t="inlineStr"/>
      <c r="L21" s="5" t="inlineStr"/>
      <c r="M21" s="5" t="inlineStr">
        <is>
          <t>TC-NOUS50_DEV-17 サイドメニューに 8 項目があり、現在のパスを強調する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既存テスト：実装時のテスト（NOUS-50）</t>
        </is>
      </c>
    </row>
    <row r="22">
      <c r="A22" s="4" t="n">
        <v>18</v>
      </c>
      <c r="B22" s="4" t="inlineStr">
        <is>
          <t>TC-NOUS42_DEV-04</t>
        </is>
      </c>
      <c r="C22" s="5" t="inlineStr">
        <is>
          <t>App</t>
        </is>
      </c>
      <c r="D22" s="4" t="inlineStr">
        <is>
          <t>正常系</t>
        </is>
      </c>
      <c r="E22" s="4" t="inlineStr">
        <is>
          <t>開発者テスト</t>
        </is>
      </c>
      <c r="F22" s="5" t="inlineStr">
        <is>
          <t>testing-library で描画できる（雛形）</t>
        </is>
      </c>
      <c r="G22" s="5" t="inlineStr">
        <is>
          <t>前提：なし
入力：&lt;App /&gt;</t>
        </is>
      </c>
      <c r="H22" s="5" t="inlineStr">
        <is>
          <t>「NOUS admin」を表示</t>
        </is>
      </c>
      <c r="I22" s="5" t="inlineStr"/>
      <c r="J22" s="5" t="inlineStr">
        <is>
          <t>なし</t>
        </is>
      </c>
      <c r="K22" s="5" t="inlineStr"/>
      <c r="L22" s="5" t="inlineStr"/>
      <c r="M22" s="5" t="inlineStr">
        <is>
          <t>TC-NOUS42_DEV-04 testing-library で描画できる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既存テスト：実装時のテスト（NOUS-42）</t>
        </is>
      </c>
    </row>
    <row r="23">
      <c r="A23" s="4" t="n">
        <v>19</v>
      </c>
      <c r="B23" s="4" t="inlineStr">
        <is>
          <t>TC-UT_AWEB-001</t>
        </is>
      </c>
      <c r="C23" s="5" t="inlineStr">
        <is>
          <t>adminFetch</t>
        </is>
      </c>
      <c r="D23" s="4" t="inlineStr">
        <is>
          <t>異常系</t>
        </is>
      </c>
      <c r="E23" s="4" t="inlineStr">
        <is>
          <t>分岐網羅</t>
        </is>
      </c>
      <c r="F23" s="5" t="inlineStr">
        <is>
          <t>2xx で本文が空なら NetworkError（応答を読み取れませんでした）にする</t>
        </is>
      </c>
      <c r="G23" s="5" t="inlineStr">
        <is>
          <t>前提：なし
入力：200、本文なし</t>
        </is>
      </c>
      <c r="H23" s="5" t="inlineStr">
        <is>
          <t>NetworkError、message「応答を読み取れませんでした」</t>
        </is>
      </c>
      <c r="I23" s="5" t="inlineStr">
        <is>
          <t>B5-F, B6-T, B7-T, B11-T</t>
        </is>
      </c>
      <c r="J23" s="5" t="inlineStr">
        <is>
          <t>fetch を vi.stubGlobal で差し替え</t>
        </is>
      </c>
      <c r="K23" s="5" t="inlineStr"/>
      <c r="L23" s="5" t="inlineStr"/>
      <c r="M23" s="5" t="inlineStr">
        <is>
          <t>TC-UT_AWEB-001 2xx で本文が空なら NetworkError（応答を読み取れませんでした）にする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既存テスト：なし（DEV は 2xx で本文があるときだけ）
FE 詳細設計に 2xx で本文がないときの記載なし。実装の値</t>
        </is>
      </c>
    </row>
    <row r="24">
      <c r="A24" s="4" t="n">
        <v>20</v>
      </c>
      <c r="B24" s="4" t="inlineStr">
        <is>
          <t>TC-UT_AWEB-002</t>
        </is>
      </c>
      <c r="C24" s="5" t="inlineStr">
        <is>
          <t>adminFetch</t>
        </is>
      </c>
      <c r="D24" s="4" t="inlineStr">
        <is>
          <t>異常系</t>
        </is>
      </c>
      <c r="E24" s="4" t="inlineStr">
        <is>
          <t>分岐網羅</t>
        </is>
      </c>
      <c r="F24" s="5" t="inlineStr">
        <is>
          <t>要求を abort したときは NetworkError にせず AbortError をそのまま投げる</t>
        </is>
      </c>
      <c r="G24" s="5" t="inlineStr">
        <is>
          <t>前提：なし
入力：fetch が DOMException(AbortError) を投げる</t>
        </is>
      </c>
      <c r="H24" s="5" t="inlineStr">
        <is>
          <t>DOMException（name AbortError）</t>
        </is>
      </c>
      <c r="I24" s="5" t="inlineStr">
        <is>
          <t>B4-T</t>
        </is>
      </c>
      <c r="J24" s="5" t="inlineStr">
        <is>
          <t>fetch を vi.stubGlobal で差し替え</t>
        </is>
      </c>
      <c r="K24" s="5" t="inlineStr"/>
      <c r="L24" s="5" t="inlineStr"/>
      <c r="M24" s="5" t="inlineStr">
        <is>
          <t>TC-UT_AWEB-002 要求を abort したときは NetworkError にせず AbortError をそのまま投げる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既存テスト：一部 TC-NOUS50_DEV-08（AbortError 以外の通信の失敗だけ）</t>
        </is>
      </c>
    </row>
    <row r="25">
      <c r="A25" s="4" t="n">
        <v>21</v>
      </c>
      <c r="B25" s="4" t="inlineStr">
        <is>
          <t>TC-UT_AWEB-003</t>
        </is>
      </c>
      <c r="C25" s="5" t="inlineStr">
        <is>
          <t>adminFetch</t>
        </is>
      </c>
      <c r="D25" s="4" t="inlineStr">
        <is>
          <t>異常系</t>
        </is>
      </c>
      <c r="E25" s="4" t="inlineStr">
        <is>
          <t>同値分割</t>
        </is>
      </c>
      <c r="F25" s="5" t="inlineStr">
        <is>
          <t>4xx で本文が JSON でなければ、code UNKNOWN の ApiError にする</t>
        </is>
      </c>
      <c r="G25" s="5" t="inlineStr">
        <is>
          <t>前提：なし
入力：404、本文「Not Found」</t>
        </is>
      </c>
      <c r="H25" s="5" t="inlineStr">
        <is>
          <t>ApiError(404, UNKNOWN)</t>
        </is>
      </c>
      <c r="I25" s="5" t="inlineStr">
        <is>
          <t>B8-F, B10-F, B12-T</t>
        </is>
      </c>
      <c r="J25" s="5" t="inlineStr">
        <is>
          <t>fetch を vi.stubGlobal で差し替え</t>
        </is>
      </c>
      <c r="K25" s="5" t="inlineStr"/>
      <c r="L25" s="5" t="inlineStr"/>
      <c r="M25" s="5" t="inlineStr">
        <is>
          <t>TC-UT_AWEB-003 4xx で本文が JSON でなければ、code UNKNOWN の ApiError にする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既存テスト：一部 TC-NOUS50_DEV-08（500 だけ）</t>
        </is>
      </c>
    </row>
    <row r="26">
      <c r="A26" s="4" t="n">
        <v>22</v>
      </c>
      <c r="B26" s="4" t="inlineStr">
        <is>
          <t>TC-UT_AWEB-004</t>
        </is>
      </c>
      <c r="C26" s="5" t="inlineStr">
        <is>
          <t>adminFetch</t>
        </is>
      </c>
      <c r="D26" s="4" t="inlineStr">
        <is>
          <t>異常系</t>
        </is>
      </c>
      <c r="E26" s="4" t="inlineStr">
        <is>
          <t>分岐網羅</t>
        </is>
      </c>
      <c r="F26" s="5" t="inlineStr">
        <is>
          <t>本文の error に code がなければ API のエラーの形とみなさない（400 は UNKNOWN）</t>
        </is>
      </c>
      <c r="G26" s="5" t="inlineStr">
        <is>
          <t>前提：なし
入力：400、本文 { error: "bad" }</t>
        </is>
      </c>
      <c r="H26" s="5" t="inlineStr">
        <is>
          <t>ApiError(400, UNKNOWN)、fields なし</t>
        </is>
      </c>
      <c r="I26" s="5" t="inlineStr">
        <is>
          <t>B8-F, B10-F</t>
        </is>
      </c>
      <c r="J26" s="5" t="inlineStr">
        <is>
          <t>fetch を vi.stubGlobal で差し替え</t>
        </is>
      </c>
      <c r="K26" s="5" t="inlineStr"/>
      <c r="L26" s="5" t="inlineStr"/>
      <c r="M26" s="5" t="inlineStr">
        <is>
          <t>TC-UT_AWEB-004 本文の error に code がなければ API のエラーの形とみなさない（400 は UNKNOWN）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</t>
        </is>
      </c>
    </row>
    <row r="27">
      <c r="A27" s="4" t="n">
        <v>23</v>
      </c>
      <c r="B27" s="4" t="inlineStr">
        <is>
          <t>TC-UT_AWEB-005</t>
        </is>
      </c>
      <c r="C27" s="5" t="inlineStr">
        <is>
          <t>adminFetch</t>
        </is>
      </c>
      <c r="D27" s="4" t="inlineStr">
        <is>
          <t>正常系</t>
        </is>
      </c>
      <c r="E27" s="4" t="inlineStr">
        <is>
          <t>分岐網羅</t>
        </is>
      </c>
      <c r="F27" s="5" t="inlineStr">
        <is>
          <t>手元に CSRF トークンがなければ、POST でも X-CSRF-Token を付けない</t>
        </is>
      </c>
      <c r="G27" s="5" t="inlineStr">
        <is>
          <t>前提：CSRF トークン null
入力：POST /admin/api/world/pause</t>
        </is>
      </c>
      <c r="H27" s="5" t="inlineStr">
        <is>
          <t>X-CSRF-Token なし</t>
        </is>
      </c>
      <c r="I27" s="5" t="inlineStr">
        <is>
          <t>B2-T, B3-F</t>
        </is>
      </c>
      <c r="J27" s="5" t="inlineStr">
        <is>
          <t>fetch を mockFetch で差し替え</t>
        </is>
      </c>
      <c r="K27" s="5" t="inlineStr"/>
      <c r="L27" s="5" t="inlineStr"/>
      <c r="M27" s="5" t="inlineStr">
        <is>
          <t>TC-UT_AWEB-005 手元に CSRF トークンがなければ、POST でも X-CSRF-Token を付けない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既存テスト：なし（DEV はトークンがあるときだけ）</t>
        </is>
      </c>
    </row>
    <row r="28">
      <c r="A28" s="4" t="n">
        <v>24</v>
      </c>
      <c r="B28" s="4" t="inlineStr">
        <is>
          <t>TC-UT_AWEB-006</t>
        </is>
      </c>
      <c r="C28" s="5" t="inlineStr">
        <is>
          <t>adminFetch</t>
        </is>
      </c>
      <c r="D28" s="4" t="inlineStr">
        <is>
          <t>正常系</t>
        </is>
      </c>
      <c r="E28" s="4" t="inlineStr">
        <is>
          <t>分岐網羅</t>
        </is>
      </c>
      <c r="F28" s="5" t="inlineStr">
        <is>
          <t>csrf: true なら GET でも X-CSRF-Token を付け、本文がなければ Content-Type を付けない</t>
        </is>
      </c>
      <c r="G28" s="5" t="inlineStr">
        <is>
          <t>前提：CSRF トークン csrf-abc
入力：GET、csrf: true</t>
        </is>
      </c>
      <c r="H28" s="5" t="inlineStr">
        <is>
          <t>X-CSRF-Token csrf-abc、Content-Type なし</t>
        </is>
      </c>
      <c r="I28" s="5" t="inlineStr">
        <is>
          <t>B1-F, B2-T, B3-T</t>
        </is>
      </c>
      <c r="J28" s="5" t="inlineStr">
        <is>
          <t>fetch を mockFetch で差し替え</t>
        </is>
      </c>
      <c r="K28" s="5" t="inlineStr"/>
      <c r="L28" s="5" t="inlineStr"/>
      <c r="M28" s="5" t="inlineStr">
        <is>
          <t>TC-UT_AWEB-006 csrf: true なら GET でも X-CSRF-Token を付け、本文がなければ Content-Type を付けない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TC-NOUS50_DEV-01・03（既定と false だけ）</t>
        </is>
      </c>
    </row>
    <row r="29">
      <c r="A29" s="4" t="n">
        <v>25</v>
      </c>
      <c r="B29" s="4" t="inlineStr">
        <is>
          <t>TC-UT_AWEB-007</t>
        </is>
      </c>
      <c r="C29" s="5" t="inlineStr">
        <is>
          <t>login / logout</t>
        </is>
      </c>
      <c r="D29" s="4" t="inlineStr">
        <is>
          <t>正常系</t>
        </is>
      </c>
      <c r="E29" s="4" t="inlineStr">
        <is>
          <t>依存</t>
        </is>
      </c>
      <c r="F29" s="5" t="inlineStr">
        <is>
          <t>login は POST /admin/api/login に { password } を X-CSRF-Token なしで送り、logout は X-CSRF-Token を付けて送る</t>
        </is>
      </c>
      <c r="G29" s="5" t="inlineStr">
        <is>
          <t>前提：CSRF トークン csrf-abc
入力：login("correct-horse-battery")、logout()</t>
        </is>
      </c>
      <c r="H29" s="5" t="inlineStr">
        <is>
          <t>login は本文 { password }・トークンなし、logout は /admin/api/logout にトークンあり</t>
        </is>
      </c>
      <c r="I29" s="5" t="inlineStr">
        <is>
          <t>B2-F, B2-T, B5-T</t>
        </is>
      </c>
      <c r="J29" s="5" t="inlineStr">
        <is>
          <t>fetch を mockFetch で差し替え</t>
        </is>
      </c>
      <c r="K29" s="5" t="inlineStr"/>
      <c r="L29" s="5" t="inlineStr"/>
      <c r="M29" s="5" t="inlineStr">
        <is>
          <t>TC-UT_AWEB-007 login は POST /admin/api/login に { password } を X-CSRF-Token なしで送り、logout は X-CSRF-Token を付けて送る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TC-NOUS50_DEV-03（adminFetch の引数だけ）</t>
        </is>
      </c>
    </row>
    <row r="30">
      <c r="A30" s="4" t="n">
        <v>26</v>
      </c>
      <c r="B30" s="4" t="inlineStr">
        <is>
          <t>TC-UT_AWEB-008</t>
        </is>
      </c>
      <c r="C30" s="5" t="inlineStr">
        <is>
          <t>start / pause / resume / emergencyStop / reset</t>
        </is>
      </c>
      <c r="D30" s="4" t="inlineStr">
        <is>
          <t>正常系</t>
        </is>
      </c>
      <c r="E30" s="4" t="inlineStr">
        <is>
          <t>依存</t>
        </is>
      </c>
      <c r="F30" s="5" t="inlineStr">
        <is>
          <t>世界の操作の関数は、対応するパスに X-CSRF-Token を付けて POST する</t>
        </is>
      </c>
      <c r="G30" s="5" t="inlineStr">
        <is>
          <t>前提：CSRF トークン csrf-abc
入力：5 つの関数</t>
        </is>
      </c>
      <c r="H30" s="5" t="inlineStr">
        <is>
          <t>それぞれ /admin/api/world/start・pause・resume・emergency-stop・reset に POST、トークンあり</t>
        </is>
      </c>
      <c r="I30" s="5" t="inlineStr">
        <is>
          <t>B2-T, B3-T</t>
        </is>
      </c>
      <c r="J30" s="5" t="inlineStr">
        <is>
          <t>fetch を mockFetch で差し替え</t>
        </is>
      </c>
      <c r="K30" s="5" t="inlineStr"/>
      <c r="L30" s="5" t="inlineStr"/>
      <c r="M30" s="5" t="inlineStr">
        <is>
          <t>TC-UT_AWEB-008 世界の操作の関数は、対応するパスに X-CSRF-Token を付けて POST する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既存テスト：なし（DEV は画面から一部だけ）</t>
        </is>
      </c>
    </row>
    <row r="31">
      <c r="A31" s="4" t="n">
        <v>27</v>
      </c>
      <c r="B31" s="4" t="inlineStr">
        <is>
          <t>TC-UT_AWEB-009</t>
        </is>
      </c>
      <c r="C31" s="5" t="inlineStr">
        <is>
          <t>getAuditLogs</t>
        </is>
      </c>
      <c r="D31" s="4" t="inlineStr">
        <is>
          <t>正常系</t>
        </is>
      </c>
      <c r="E31" s="4" t="inlineStr">
        <is>
          <t>同値分割</t>
        </is>
      </c>
      <c r="F31" s="5" t="inlineStr">
        <is>
          <t>getAuditLogs は既定で limit=10、引数を渡せばその件数で GET する</t>
        </is>
      </c>
      <c r="G31" s="5" t="inlineStr">
        <is>
          <t>前提：なし
入力：getAuditLogs()、getAuditLogs(3)</t>
        </is>
      </c>
      <c r="H31" s="5" t="inlineStr">
        <is>
          <t>?limit=10、?limit=3</t>
        </is>
      </c>
      <c r="I31" s="5" t="inlineStr"/>
      <c r="J31" s="5" t="inlineStr">
        <is>
          <t>fetch を mockFetch で差し替え</t>
        </is>
      </c>
      <c r="K31" s="5" t="inlineStr"/>
      <c r="L31" s="5" t="inlineStr"/>
      <c r="M31" s="5" t="inlineStr">
        <is>
          <t>TC-UT_AWEB-009 getAuditLogs は既定で limit=10、引数を渡せばその件数で GET する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</t>
        </is>
      </c>
    </row>
    <row r="32">
      <c r="A32" s="4" t="n">
        <v>28</v>
      </c>
      <c r="B32" s="4" t="inlineStr">
        <is>
          <t>TC-UT_AWEB-010</t>
        </is>
      </c>
      <c r="C32" s="5" t="inlineStr">
        <is>
          <t>getSettings / updateSettings</t>
        </is>
      </c>
      <c r="D32" s="4" t="inlineStr">
        <is>
          <t>正常系</t>
        </is>
      </c>
      <c r="E32" s="4" t="inlineStr">
        <is>
          <t>依存</t>
        </is>
      </c>
      <c r="F32" s="5" t="inlineStr">
        <is>
          <t>getSettings は GET、updateSettings は本文つきで PUT し X-CSRF-Token を付ける</t>
        </is>
      </c>
      <c r="G32" s="5" t="inlineStr">
        <is>
          <t>前提：CSRF トークン csrf-abc
入力：getSettings()、updateSettings({ cycleMinutes: 30 })</t>
        </is>
      </c>
      <c r="H32" s="5" t="inlineStr">
        <is>
          <t>GET、PUT と JSON の本文とトークン</t>
        </is>
      </c>
      <c r="I32" s="5" t="inlineStr">
        <is>
          <t>B1-T, B2-T</t>
        </is>
      </c>
      <c r="J32" s="5" t="inlineStr">
        <is>
          <t>fetch を mockFetch で差し替え</t>
        </is>
      </c>
      <c r="K32" s="5" t="inlineStr"/>
      <c r="L32" s="5" t="inlineStr"/>
      <c r="M32" s="5" t="inlineStr">
        <is>
          <t>TC-UT_AWEB-010 getSettings は GET、updateSettings は本文つきで PUT し X-CSRF-Token を付ける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TC-NOUS69_DEV-22（画面から PUT を呼んだことだけ）</t>
        </is>
      </c>
    </row>
    <row r="33">
      <c r="A33" s="4" t="n">
        <v>29</v>
      </c>
      <c r="B33" s="4" t="inlineStr">
        <is>
          <t>TC-UT_AWEB-011</t>
        </is>
      </c>
      <c r="C33" s="5" t="inlineStr">
        <is>
          <t>useAdminWorld</t>
        </is>
      </c>
      <c r="D33" s="4" t="inlineStr">
        <is>
          <t>異常系</t>
        </is>
      </c>
      <c r="E33" s="4" t="inlineStr">
        <is>
          <t>境界値</t>
        </is>
      </c>
      <c r="F33" s="5" t="inlineStr">
        <is>
          <t>取得が 2 回続けて失敗しても様式②を出さず、3 回目の失敗で「最新の状態を取得できていません」を出す</t>
        </is>
      </c>
      <c r="G33" s="5" t="inlineStr">
        <is>
          <t>前提：GET /admin/api/world が常に 500
入力：最初の取得と refetchQueries 2 回</t>
        </is>
      </c>
      <c r="H33" s="5" t="inlineStr">
        <is>
          <t>2 回目の後は banner null、3 回目の後に banner（取得中の最初の描画では回数を変えない）</t>
        </is>
      </c>
      <c r="I33" s="5" t="inlineStr">
        <is>
          <t>B13-F, B15-F, B13-T, B14-F, B14-T</t>
        </is>
      </c>
      <c r="J33" s="5" t="inlineStr">
        <is>
          <t>fetch を vi.stubGlobal、ErrorProvider、QueryClient の refetchQueries で取り直す</t>
        </is>
      </c>
      <c r="K33" s="5" t="inlineStr"/>
      <c r="L33" s="5" t="inlineStr"/>
      <c r="M33" s="5" t="inlineStr">
        <is>
          <t>TC-UT_AWEB-011 取得が 2 回続けて失敗しても様式②を出さず、3 回目の失敗で「最新の状態を取得できていません」を出す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
5 秒ごとの取得は実時間で待たず、refetchQueries で回数だけ進める</t>
        </is>
      </c>
    </row>
    <row r="34">
      <c r="A34" s="4" t="n">
        <v>30</v>
      </c>
      <c r="B34" s="4" t="inlineStr">
        <is>
          <t>TC-UT_AWEB-012</t>
        </is>
      </c>
      <c r="C34" s="5" t="inlineStr">
        <is>
          <t>useAdminWorld</t>
        </is>
      </c>
      <c r="D34" s="4" t="inlineStr">
        <is>
          <t>正常系</t>
        </is>
      </c>
      <c r="E34" s="4" t="inlineStr">
        <is>
          <t>分岐網羅</t>
        </is>
      </c>
      <c r="F34" s="5" t="inlineStr">
        <is>
          <t>途中で 1 回成功すれば失敗の回数を数え直し、その後 2 回失敗しても様式②を出さない</t>
        </is>
      </c>
      <c r="G34" s="5" t="inlineStr">
        <is>
          <t>前提：失敗・失敗・成功・失敗・失敗の順に応答
入力：最初の取得と refetchQueries 4 回</t>
        </is>
      </c>
      <c r="H34" s="5" t="inlineStr">
        <is>
          <t>banner は null のまま</t>
        </is>
      </c>
      <c r="I34" s="5" t="inlineStr">
        <is>
          <t>B13-T, B13-F, B15-T, B14-F</t>
        </is>
      </c>
      <c r="J34" s="5" t="inlineStr">
        <is>
          <t>fetch を vi.stubGlobal、ErrorProvider、refetchQueries</t>
        </is>
      </c>
      <c r="K34" s="5" t="inlineStr"/>
      <c r="L34" s="5" t="inlineStr"/>
      <c r="M34" s="5" t="inlineStr">
        <is>
          <t>TC-UT_AWEB-012 途中で 1 回成功すれば失敗の回数を数え直し、その後 2 回失敗しても様式②を出さない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</t>
        </is>
      </c>
    </row>
    <row r="35">
      <c r="A35" s="4" t="n">
        <v>31</v>
      </c>
      <c r="B35" s="4" t="inlineStr">
        <is>
          <t>TC-UT_AWEB-013</t>
        </is>
      </c>
      <c r="C35" s="5" t="inlineStr">
        <is>
          <t>csrfToken</t>
        </is>
      </c>
      <c r="D35" s="4" t="inlineStr">
        <is>
          <t>正常系</t>
        </is>
      </c>
      <c r="E35" s="4" t="inlineStr">
        <is>
          <t>同値分割</t>
        </is>
      </c>
      <c r="F35" s="5" t="inlineStr">
        <is>
          <t>CSRF トークンはメモリだけに置き、localStorage・sessionStorage に書かない</t>
        </is>
      </c>
      <c r="G35" s="5" t="inlineStr">
        <is>
          <t>前提：なし
入力：setCsrfToken("csrf-memory-only")</t>
        </is>
      </c>
      <c r="H35" s="5" t="inlineStr">
        <is>
          <t>getCsrfToken は同じ値、localStorage・sessionStorage にその値がない</t>
        </is>
      </c>
      <c r="I35" s="5" t="inlineStr"/>
      <c r="J35" s="5" t="inlineStr">
        <is>
          <t>なし</t>
        </is>
      </c>
      <c r="K35" s="5" t="inlineStr"/>
      <c r="L35" s="5" t="inlineStr"/>
      <c r="M35" s="5" t="inlineStr">
        <is>
          <t>TC-UT_AWEB-013 CSRF トークンはメモリだけに置き、localStorage・sessionStorage に書かない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既存テスト：なし
P201 の業務ルール・FE 詳細設計 3章（保存しない）</t>
        </is>
      </c>
    </row>
    <row r="36">
      <c r="A36" s="4" t="n">
        <v>32</v>
      </c>
      <c r="B36" s="4" t="inlineStr">
        <is>
          <t>TC-UT_AWEB-014</t>
        </is>
      </c>
      <c r="C36" s="5" t="inlineStr">
        <is>
          <t>SessionProvider（bootstrapSession）</t>
        </is>
      </c>
      <c r="D36" s="4" t="inlineStr">
        <is>
          <t>異常系</t>
        </is>
      </c>
      <c r="E36" s="4" t="inlineStr">
        <is>
          <t>同値分割</t>
        </is>
      </c>
      <c r="F36" s="5" t="inlineStr">
        <is>
          <t>起動時のセッションの取得が 401 なら未ログインだけ、通信の失敗なら bootstrapFailed も立てる</t>
        </is>
      </c>
      <c r="G36" s="5" t="inlineStr">
        <is>
          <t>前提：なし
入力：GET /admin/api/session → 401、または fetch が TypeError</t>
        </is>
      </c>
      <c r="H36" s="5" t="inlineStr">
        <is>
          <t>どちらも status unauthenticated・トークン null。bootstrapFailed は 401 で false、通信の失敗で true</t>
        </is>
      </c>
      <c r="I36" s="5" t="inlineStr">
        <is>
          <t>B16-F, B17-F, B18-T, B18-F</t>
        </is>
      </c>
      <c r="J36" s="5" t="inlineStr">
        <is>
          <t>fetch を mockFetch で差し替え（通信の失敗は vi.stubGlobal）、MemoryRouter</t>
        </is>
      </c>
      <c r="K36" s="5" t="inlineStr"/>
      <c r="L36" s="5" t="inlineStr"/>
      <c r="M36" s="5" t="inlineStr">
        <is>
          <t>TC-UT_AWEB-014 起動時のセッションの取得が 401 なら未ログインだけ、通信の失敗なら bootstrapFailed も立てる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既存テスト：一部 TC-NOUS50_DEV-11・12（401 の画面の遷移だけ）</t>
        </is>
      </c>
    </row>
    <row r="37">
      <c r="A37" s="4" t="n">
        <v>33</v>
      </c>
      <c r="B37" s="4" t="inlineStr">
        <is>
          <t>TC-UT_AWEB-015</t>
        </is>
      </c>
      <c r="C37" s="5" t="inlineStr">
        <is>
          <t>SessionProvider（bootstrapSession）</t>
        </is>
      </c>
      <c r="D37" s="4" t="inlineStr">
        <is>
          <t>正常系</t>
        </is>
      </c>
      <c r="E37" s="4" t="inlineStr">
        <is>
          <t>同値分割</t>
        </is>
      </c>
      <c r="F37" s="5" t="inlineStr">
        <is>
          <t>起動時のセッションの取得が 200 なら ready にし、表示名と CSRF トークンを置く</t>
        </is>
      </c>
      <c r="G37" s="5" t="inlineStr">
        <is>
          <t>前提：なし
入力：GET /admin/api/session → 200</t>
        </is>
      </c>
      <c r="H37" s="5" t="inlineStr">
        <is>
          <t>status ready、表示名 Kaine Yamashiro、getCsrfToken は csrf-token-1</t>
        </is>
      </c>
      <c r="I37" s="5" t="inlineStr">
        <is>
          <t>B16-T, B20-F</t>
        </is>
      </c>
      <c r="J37" s="5" t="inlineStr">
        <is>
          <t>fetch を mockFetch で差し替え、MemoryRouter</t>
        </is>
      </c>
      <c r="K37" s="5" t="inlineStr"/>
      <c r="L37" s="5" t="inlineStr"/>
      <c r="M37" s="5" t="inlineStr">
        <is>
          <t>TC-UT_AWEB-015 起動時のセッションの取得が 200 なら ready にし、表示名と CSRF トークンを置く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既存テスト：一部 TC-NOUS50_DEV-10（画面が出ることだけ）</t>
        </is>
      </c>
    </row>
    <row r="38">
      <c r="A38" s="4" t="n">
        <v>34</v>
      </c>
      <c r="B38" s="4" t="inlineStr">
        <is>
          <t>TC-UT_AWEB-016</t>
        </is>
      </c>
      <c r="C38" s="5" t="inlineStr">
        <is>
          <t>SessionProvider（signIn / signOut）</t>
        </is>
      </c>
      <c r="D38" s="4" t="inlineStr">
        <is>
          <t>正常系</t>
        </is>
      </c>
      <c r="E38" s="4" t="inlineStr">
        <is>
          <t>状態遷移</t>
        </is>
      </c>
      <c r="F38" s="5" t="inlineStr">
        <is>
          <t>signIn はログインの応答の CSRF トークンを置いて ready にし、signOut はトークンとクエリのキャッシュを捨てて /login へ移る</t>
        </is>
      </c>
      <c r="G38" s="5" t="inlineStr">
        <is>
          <t>前提：セッション 401、login 200（csrf-after-login）、logout 204。キャッシュに ['admin','world']
入力：signIn → signOut</t>
        </is>
      </c>
      <c r="H38" s="5" t="inlineStr">
        <is>
          <t>signIn 後のトークン csrf-after-login・ready、signOut 後に /login・トークン null・キャッシュなし</t>
        </is>
      </c>
      <c r="I38" s="5" t="inlineStr">
        <is>
          <t>B19-F</t>
        </is>
      </c>
      <c r="J38" s="5" t="inlineStr">
        <is>
          <t>fetch を mockFetch で差し替え、MemoryRouter と Routes</t>
        </is>
      </c>
      <c r="K38" s="5" t="inlineStr"/>
      <c r="L38" s="5" t="inlineStr"/>
      <c r="M38" s="5" t="inlineStr">
        <is>
          <t>TC-UT_AWEB-016 signIn はログインの応答の CSRF トークンを置いて ready にし、signOut はトークンとクエリのキャッシュを捨てて /login へ移る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既存テスト：一部 TC-NOUS50_DEV-15（/login へ移ることだけ）</t>
        </is>
      </c>
    </row>
    <row r="39">
      <c r="A39" s="4" t="n">
        <v>35</v>
      </c>
      <c r="B39" s="4" t="inlineStr">
        <is>
          <t>TC-UT_AWEB-017</t>
        </is>
      </c>
      <c r="C39" s="5" t="inlineStr">
        <is>
          <t>useSession</t>
        </is>
      </c>
      <c r="D39" s="4" t="inlineStr">
        <is>
          <t>異常系</t>
        </is>
      </c>
      <c r="E39" s="4" t="inlineStr">
        <is>
          <t>エラー処理</t>
        </is>
      </c>
      <c r="F39" s="5" t="inlineStr">
        <is>
          <t>useSession を SessionProvider の外で使うと例外にする</t>
        </is>
      </c>
      <c r="G39" s="5" t="inlineStr">
        <is>
          <t>前提：なし
入力：renderHook(useSession)</t>
        </is>
      </c>
      <c r="H39" s="5" t="inlineStr">
        <is>
          <t>Error「useSession は SessionProvider の中で使ってください」</t>
        </is>
      </c>
      <c r="I39" s="5" t="inlineStr">
        <is>
          <t>B20-T</t>
        </is>
      </c>
      <c r="J39" s="5" t="inlineStr">
        <is>
          <t>console.error を抑える</t>
        </is>
      </c>
      <c r="K39" s="5" t="inlineStr"/>
      <c r="L39" s="5" t="inlineStr"/>
      <c r="M39" s="5" t="inlineStr">
        <is>
          <t>TC-UT_AWEB-017 useSession を SessionProvider の外で使うと例外にする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</t>
        </is>
      </c>
    </row>
    <row r="40">
      <c r="A40" s="4" t="n">
        <v>36</v>
      </c>
      <c r="B40" s="4" t="inlineStr">
        <is>
          <t>TC-UT_AWEB-018</t>
        </is>
      </c>
      <c r="C40" s="5" t="inlineStr">
        <is>
          <t>RequireSession</t>
        </is>
      </c>
      <c r="D40" s="4" t="inlineStr">
        <is>
          <t>正常系</t>
        </is>
      </c>
      <c r="E40" s="4" t="inlineStr">
        <is>
          <t>分岐網羅</t>
        </is>
      </c>
      <c r="F40" s="5" t="inlineStr">
        <is>
          <t>セッションの確認中は「読み込み中…」を出し、子の画面を出さない</t>
        </is>
      </c>
      <c r="G40" s="5" t="inlineStr">
        <is>
          <t>前提：GET /admin/api/session が返らない
入力：RequireSession の子に PROTECTED</t>
        </is>
      </c>
      <c r="H40" s="5" t="inlineStr">
        <is>
          <t>「読み込み中…」、PROTECTED は出ない</t>
        </is>
      </c>
      <c r="I40" s="5" t="inlineStr">
        <is>
          <t>B21-T</t>
        </is>
      </c>
      <c r="J40" s="5" t="inlineStr">
        <is>
          <t>fetch を返らない Promise に差し替え</t>
        </is>
      </c>
      <c r="K40" s="5" t="inlineStr"/>
      <c r="L40" s="5" t="inlineStr"/>
      <c r="M40" s="5" t="inlineStr">
        <is>
          <t>TC-UT_AWEB-018 セッションの確認中は「読み込み中…」を出し、子の画面を出さない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</t>
        </is>
      </c>
    </row>
    <row r="41">
      <c r="A41" s="4" t="n">
        <v>37</v>
      </c>
      <c r="B41" s="4" t="inlineStr">
        <is>
          <t>TC-UT_AWEB-019</t>
        </is>
      </c>
      <c r="C41" s="5" t="inlineStr">
        <is>
          <t>loginPathFor</t>
        </is>
      </c>
      <c r="D41" s="4" t="inlineStr">
        <is>
          <t>正常系</t>
        </is>
      </c>
      <c r="E41" s="4" t="inlineStr">
        <is>
          <t>分岐網羅</t>
        </is>
      </c>
      <c r="F41" s="5" t="inlineStr">
        <is>
          <t>loginPathFor は / なら next を付けず、それ以外はパスと検索文字列を next に入れる</t>
        </is>
      </c>
      <c r="G41" s="5" t="inlineStr">
        <is>
          <t>前提：なし
入力：("/", "")、("/settings", "?tab=1")</t>
        </is>
      </c>
      <c r="H41" s="5" t="inlineStr">
        <is>
          <t>/login、/login?next=%2Fsettings%3Ftab%3D1</t>
        </is>
      </c>
      <c r="I41" s="5" t="inlineStr">
        <is>
          <t>B23-T, B23-F</t>
        </is>
      </c>
      <c r="J41" s="5" t="inlineStr">
        <is>
          <t>なし</t>
        </is>
      </c>
      <c r="K41" s="5" t="inlineStr"/>
      <c r="L41" s="5" t="inlineStr"/>
      <c r="M41" s="5" t="inlineStr">
        <is>
          <t>TC-UT_AWEB-019 loginPathFor は / なら next を付けず、それ以外はパスと検索文字列を next に入れる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既存テスト：一部 TC-NOUS50_DEV-12（検索文字列なし）</t>
        </is>
      </c>
    </row>
    <row r="42">
      <c r="A42" s="4" t="n">
        <v>38</v>
      </c>
      <c r="B42" s="4" t="inlineStr">
        <is>
          <t>TC-UT_AWEB-020</t>
        </is>
      </c>
      <c r="C42" s="5" t="inlineStr">
        <is>
          <t>router / RequireSession</t>
        </is>
      </c>
      <c r="D42" s="4" t="inlineStr">
        <is>
          <t>異常系</t>
        </is>
      </c>
      <c r="E42" s="4" t="inlineStr">
        <is>
          <t>同値分割</t>
        </is>
      </c>
      <c r="F42" s="5" t="inlineStr">
        <is>
          <t>未ログインで検索文字列つきの画面を開くと、検索文字列も含めて next に入れて /login へ移る</t>
        </is>
      </c>
      <c r="G42" s="5" t="inlineStr">
        <is>
          <t>前提：セッション 401
入力：/generations?status=failed</t>
        </is>
      </c>
      <c r="H42" s="5" t="inlineStr">
        <is>
          <t>/login?next=%2Fgenerations%3Fstatus%3Dfailed、P201 を表示</t>
        </is>
      </c>
      <c r="I42" s="5" t="inlineStr">
        <is>
          <t>B22-T, B23-F</t>
        </is>
      </c>
      <c r="J42" s="5" t="inlineStr">
        <is>
          <t>fetch を mockFetch で差し替え、renderApp（createMemoryRouter と QueryClient）</t>
        </is>
      </c>
      <c r="K42" s="5" t="inlineStr"/>
      <c r="L42" s="5" t="inlineStr"/>
      <c r="M42" s="5" t="inlineStr">
        <is>
          <t>TC-UT_AWEB-020 未ログインで検索文字列つきの画面を開くと、検索文字列も含めて next に入れて /login へ移る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既存テスト：一部 TC-NOUS50_DEV-12（検索文字列なし）</t>
        </is>
      </c>
    </row>
  </sheetData>
  <autoFilter ref="A4:Q42"/>
  <conditionalFormatting sqref="A5:Q92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92" showDropDown="0" showInputMessage="0" showErrorMessage="0" allowBlank="1" type="list">
      <formula1>"未実施,OK,NG,保留,対象外"</formula1>
    </dataValidation>
    <dataValidation sqref="D5:D92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COUNTA(観点表!$B$5:$B$92)</f>
        <v/>
      </c>
    </row>
    <row r="6">
      <c r="A6" s="10" t="inlineStr">
        <is>
          <t>正常系</t>
        </is>
      </c>
      <c r="B6" s="10">
        <f>COUNTIF(観点表!$D$5:$D$92,"正常系")</f>
        <v/>
      </c>
    </row>
    <row r="7">
      <c r="A7" s="10" t="inlineStr">
        <is>
          <t>異常系</t>
        </is>
      </c>
      <c r="B7" s="10">
        <f>COUNTIF(観点表!$D$5:$D$92,"異常系")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COUNTIF(観点表!$E$5:$E$92,"エラー処理")</f>
        <v/>
      </c>
    </row>
    <row r="11">
      <c r="A11" s="10" t="inlineStr">
        <is>
          <t>依存</t>
        </is>
      </c>
      <c r="B11" s="10">
        <f>COUNTIF(観点表!$E$5:$E$92,"依存")</f>
        <v/>
      </c>
    </row>
    <row r="12">
      <c r="A12" s="10" t="inlineStr">
        <is>
          <t>分岐網羅</t>
        </is>
      </c>
      <c r="B12" s="10">
        <f>COUNTIF(観点表!$E$5:$E$92,"分岐網羅")</f>
        <v/>
      </c>
    </row>
    <row r="13">
      <c r="A13" s="10" t="inlineStr">
        <is>
          <t>同値分割</t>
        </is>
      </c>
      <c r="B13" s="10">
        <f>COUNTIF(観点表!$E$5:$E$92,"同値分割")</f>
        <v/>
      </c>
    </row>
    <row r="14">
      <c r="A14" s="10" t="inlineStr">
        <is>
          <t>境界値</t>
        </is>
      </c>
      <c r="B14" s="10">
        <f>COUNTIF(観点表!$E$5:$E$92,"境界値")</f>
        <v/>
      </c>
    </row>
    <row r="15">
      <c r="A15" s="10" t="inlineStr">
        <is>
          <t>状態遷移</t>
        </is>
      </c>
      <c r="B15" s="10">
        <f>COUNTIF(観点表!$E$5:$E$92,"状態遷移")</f>
        <v/>
      </c>
    </row>
    <row r="16">
      <c r="A16" s="10" t="inlineStr">
        <is>
          <t>開発者テスト</t>
        </is>
      </c>
      <c r="B16" s="10">
        <f>COUNTIF(観点表!$E$5:$E$92,"開発者テスト")</f>
        <v/>
      </c>
    </row>
    <row r="18">
      <c r="A18" s="8" t="inlineStr">
        <is>
          <t>テストデータ</t>
        </is>
      </c>
      <c r="B18" s="9" t="n"/>
      <c r="C18" s="9" t="n"/>
    </row>
    <row r="19">
      <c r="A19" s="10" t="inlineStr">
        <is>
          <t>作成済み</t>
        </is>
      </c>
      <c r="B19" s="10">
        <f>COUNTIF(観点表!$K$5:$K$92,"?*")</f>
        <v/>
      </c>
    </row>
    <row r="20">
      <c r="A20" s="10" t="inlineStr">
        <is>
          <t>未作成</t>
        </is>
      </c>
      <c r="B20" s="10">
        <f>B5-B19</f>
        <v/>
      </c>
    </row>
    <row r="22">
      <c r="A22" s="8" t="inlineStr">
        <is>
          <t>実施状況</t>
        </is>
      </c>
      <c r="B22" s="9" t="n"/>
      <c r="C22" s="9" t="n"/>
    </row>
    <row r="23">
      <c r="A23" s="10" t="inlineStr">
        <is>
          <t>未実施</t>
        </is>
      </c>
      <c r="B23" s="10">
        <f>COUNTIF(観点表!$N$5:$N$92,"未実施")</f>
        <v/>
      </c>
    </row>
    <row r="24">
      <c r="A24" s="10" t="inlineStr">
        <is>
          <t>OK</t>
        </is>
      </c>
      <c r="B24" s="10">
        <f>COUNTIF(観点表!$N$5:$N$92,"OK")</f>
        <v/>
      </c>
    </row>
    <row r="25">
      <c r="A25" s="10" t="inlineStr">
        <is>
          <t>NG</t>
        </is>
      </c>
      <c r="B25" s="10">
        <f>COUNTIF(観点表!$N$5:$N$92,"NG")</f>
        <v/>
      </c>
    </row>
    <row r="26">
      <c r="A26" s="10" t="inlineStr">
        <is>
          <t>保留</t>
        </is>
      </c>
      <c r="B26" s="10">
        <f>COUNTIF(観点表!$N$5:$N$92,"保留")</f>
        <v/>
      </c>
    </row>
    <row r="27">
      <c r="A27" s="10" t="inlineStr">
        <is>
          <t>対象外</t>
        </is>
      </c>
      <c r="B27" s="10">
        <f>COUNTIF(観点表!$N$5:$N$92,"対象外")</f>
        <v/>
      </c>
    </row>
    <row r="28">
      <c r="A28" s="10" t="inlineStr">
        <is>
          <t>消化率（未実施以外 / 総数）</t>
        </is>
      </c>
      <c r="B28" s="11">
        <f>IF(B5=0,0,(B5-B23)/B5)</f>
        <v/>
      </c>
    </row>
    <row r="29">
      <c r="A29" s="10" t="inlineStr">
        <is>
          <t>合格率（OK / (総数-対象外)）</t>
        </is>
      </c>
      <c r="B29" s="11">
        <f>IF(B5-B27=0,0,B24/(B5-B27))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TC-NOUS50_DEV-01</t>
        </is>
      </c>
      <c r="B5" s="13" t="inlineStr">
        <is>
          <t>GET には X-CSRF-Token を付けず、credentials は same-origin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TC-NOUS50_DEV-02</t>
        </is>
      </c>
      <c r="B6" s="13" t="inlineStr">
        <is>
          <t>GET 以外には X-CSRF-Token と Content-Type を付け、本文を JSON にする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TC-NOUS50_DEV-03</t>
        </is>
      </c>
      <c r="B7" s="13" t="inlineStr">
        <is>
          <t>csrf: false なら POST でも X-CSRF-Token を付けない（login）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TC-NOUS50_DEV-04</t>
        </is>
      </c>
      <c r="B8" s="13" t="inlineStr">
        <is>
          <t>204 は undefined を返す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TC-NOUS50_DEV-05</t>
        </is>
      </c>
      <c r="B9" s="13" t="inlineStr">
        <is>
          <t>2xx 以外は本文の error から ApiError（status・code・message・fields）にする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TC-NOUS50_DEV-06</t>
        </is>
      </c>
      <c r="B10" s="13" t="inlineStr">
        <is>
          <t>401 ADMIN_UNAUTHORIZED では手元の CSRF トークンを捨てる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TC-NOUS50_DEV-07</t>
        </is>
      </c>
      <c r="B11" s="13" t="inlineStr">
        <is>
          <t>401 LOGIN_FAILED では CSRF トークンを捨てない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TC-NOUS50_DEV-08</t>
        </is>
      </c>
      <c r="B12" s="13" t="inlineStr">
        <is>
          <t>通信の失敗は NetworkError、本文が JSON でない 500 は INTERNAL_ERROR の ApiError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TC-NOUS50_DEV-09</t>
        </is>
      </c>
      <c r="B13" s="13" t="inlineStr">
        <is>
          <t>認証が要る画面は 10 画面・11 ルート（P204 は新規と編集）が登録されている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TC-NOUS50_DEV-10</t>
        </is>
      </c>
      <c r="B14" s="13" t="inlineStr">
        <is>
          <t>ログイン済みなら各パスで対応する画面を表示する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TC-NOUS50_DEV-11</t>
        </is>
      </c>
      <c r="B15" s="13" t="inlineStr">
        <is>
          <t>/login は認証なしで P201 を表示する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TC-NOUS50_DEV-12</t>
        </is>
      </c>
      <c r="B16" s="13" t="inlineStr">
        <is>
          <t>未ログインで認証が要る画面を開くと /login?next=… へ移る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TC-NOUS50_DEV-13</t>
        </is>
      </c>
      <c r="B17" s="13" t="inlineStr">
        <is>
          <t>パスワード未設定（409 ADMIN_NOT_SET）でも /login へ移る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TC-NOUS50_DEV-14</t>
        </is>
      </c>
      <c r="B18" s="13" t="inlineStr">
        <is>
          <t>未知のパスは / へ戻す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TC-NOUS50_DEV-15</t>
        </is>
      </c>
      <c r="B19" s="13" t="inlineStr">
        <is>
          <t>ヘッダーに世界の状態と世界内時間、ログアウトで /login へ移る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TC-NOUS50_DEV-16</t>
        </is>
      </c>
      <c r="B20" s="13" t="inlineStr">
        <is>
          <t>ログアウトの API が失敗しても /login へ移る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TC-NOUS50_DEV-17</t>
        </is>
      </c>
      <c r="B21" s="13" t="inlineStr">
        <is>
          <t>サイドメニューに 8 項目があり、現在のパスを強調する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TC-NOUS42_DEV-04</t>
        </is>
      </c>
      <c r="B22" s="13" t="inlineStr">
        <is>
          <t>testing-library で描画できる（雛形）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TC-UT_AWEB-001</t>
        </is>
      </c>
      <c r="B23" s="13" t="inlineStr">
        <is>
          <t>2xx で本文が空なら NetworkError（応答を読み取れませんでした）にする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TC-UT_AWEB-002</t>
        </is>
      </c>
      <c r="B24" s="13" t="inlineStr">
        <is>
          <t>要求を abort したときは NetworkError にせず AbortError をそのまま投げる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TC-UT_AWEB-003</t>
        </is>
      </c>
      <c r="B25" s="13" t="inlineStr">
        <is>
          <t>4xx で本文が JSON でなければ、code UNKNOWN の ApiError にする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TC-UT_AWEB-004</t>
        </is>
      </c>
      <c r="B26" s="13" t="inlineStr">
        <is>
          <t>本文の error に code がなければ API のエラーの形とみなさない（400 は UNKNOWN）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TC-UT_AWEB-005</t>
        </is>
      </c>
      <c r="B27" s="13" t="inlineStr">
        <is>
          <t>手元に CSRF トークンがなければ、POST でも X-CSRF-Token を付けない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TC-UT_AWEB-006</t>
        </is>
      </c>
      <c r="B28" s="13" t="inlineStr">
        <is>
          <t>csrf: true なら GET でも X-CSRF-Token を付け、本文がなければ Content-Type を付けない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TC-UT_AWEB-007</t>
        </is>
      </c>
      <c r="B29" s="13" t="inlineStr">
        <is>
          <t>login は POST /admin/api/login に { password } を X-CSRF-Token なしで送り、logout は X-CSRF-Token を付けて送る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TC-UT_AWEB-008</t>
        </is>
      </c>
      <c r="B30" s="13" t="inlineStr">
        <is>
          <t>世界の操作の関数は、対応するパスに X-CSRF-Token を付けて POST する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TC-UT_AWEB-009</t>
        </is>
      </c>
      <c r="B31" s="13" t="inlineStr">
        <is>
          <t>getAuditLogs は既定で limit=10、引数を渡せばその件数で GET する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TC-UT_AWEB-010</t>
        </is>
      </c>
      <c r="B32" s="13" t="inlineStr">
        <is>
          <t>getSettings は GET、updateSettings は本文つきで PUT し X-CSRF-Token を付ける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TC-UT_AWEB-011</t>
        </is>
      </c>
      <c r="B33" s="13" t="inlineStr">
        <is>
          <t>取得が 2 回続けて失敗しても様式②を出さず、3 回目の失敗で「最新の状態を取得できていません」を出す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TC-UT_AWEB-012</t>
        </is>
      </c>
      <c r="B34" s="13" t="inlineStr">
        <is>
          <t>途中で 1 回成功すれば失敗の回数を数え直し、その後 2 回失敗しても様式②を出さない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TC-UT_AWEB-013</t>
        </is>
      </c>
      <c r="B35" s="13" t="inlineStr">
        <is>
          <t>CSRF トークンはメモリだけに置き、localStorage・sessionStorage に書かない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TC-UT_AWEB-014</t>
        </is>
      </c>
      <c r="B36" s="13" t="inlineStr">
        <is>
          <t>起動時のセッションの取得が 401 なら未ログインだけ、通信の失敗なら bootstrapFailed も立てる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TC-UT_AWEB-015</t>
        </is>
      </c>
      <c r="B37" s="13" t="inlineStr">
        <is>
          <t>起動時のセッションの取得が 200 なら ready にし、表示名と CSRF トークンを置く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TC-UT_AWEB-016</t>
        </is>
      </c>
      <c r="B38" s="13" t="inlineStr">
        <is>
          <t>signIn はログインの応答の CSRF トークンを置いて ready にし、signOut はトークンとクエリのキャッシュを捨てて /login へ移る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TC-UT_AWEB-017</t>
        </is>
      </c>
      <c r="B39" s="13" t="inlineStr">
        <is>
          <t>useSession を SessionProvider の外で使うと例外にする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TC-UT_AWEB-018</t>
        </is>
      </c>
      <c r="B40" s="13" t="inlineStr">
        <is>
          <t>セッションの確認中は「読み込み中…」を出し、子の画面を出さない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TC-UT_AWEB-019</t>
        </is>
      </c>
      <c r="B41" s="13" t="inlineStr">
        <is>
          <t>loginPathFor は / なら next を付けず、それ以外はパスと検索文字列を next に入れる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TC-UT_AWEB-020</t>
        </is>
      </c>
      <c r="B42" s="13" t="inlineStr">
        <is>
          <t>未ログインで検索文字列つきの画面を開くと、検索文字列も含めて next に入れて /login へ移る</t>
        </is>
      </c>
      <c r="C42" s="13" t="inlineStr">
        <is>
          <t>未作成</t>
        </is>
      </c>
      <c r="D42" s="13" t="inlineStr"/>
      <c r="E42" s="13" t="inlineStr"/>
      <c r="F42" s="13" t="inlineStr"/>
    </row>
  </sheetData>
  <autoFilter ref="A4:F42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管理画面の API クライアント・セッション・ルーティング（apps/admin/src の api・session・router・main・App）</t>
        </is>
      </c>
    </row>
    <row r="4">
      <c r="A4" s="14" t="inlineStr">
        <is>
          <t>対象ファイル</t>
        </is>
      </c>
      <c r="B4" s="15" t="inlineStr">
        <is>
          <t>apps/admin/src/api/client.ts, apps/admin/src/api/session.ts, apps/admin/src/api/world.ts, apps/admin/src/api/settings.ts, apps/admin/src/session/SessionProvider.tsx, apps/admin/src/session/RequireSession.tsx, apps/admin/src/session/csrfToken.ts, apps/admin/src/router.tsx, apps/admin/src/main.tsx, apps/admin/src/App.tsx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apps/admin/src/api/client.test.ts（実装時、NOUS-50）, apps/admin/src/router.test.tsx（実装時、NOUS-50）, apps/admin/src/App.test.tsx（実装時、NOUS-42）, apps/admin/src/api/api.ut.test.tsx（単体テストで追加）, apps/admin/src/session/session.ut.test.tsx（単体テストで追加）, apps/admin/src/router.ut.test.tsx（単体テストで追加）</t>
        </is>
      </c>
    </row>
    <row r="7">
      <c r="A7" s="14" t="inlineStr">
        <is>
          <t>外部依存</t>
        </is>
      </c>
      <c r="B7" s="15" t="inlineStr">
        <is>
          <t>fetch（mockFetch・vi.stubGlobal で差し替え）, TanStack Query（createTestQueryClient）, React Router（createMemoryRouter・MemoryRouter）, localStorage・sessionStorage（jsdom）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adminFetch：body がある（Content-Type を付ける）</t>
        </is>
      </c>
      <c r="C11" s="17" t="inlineStr">
        <is>
          <t>api/client.ts:56</t>
        </is>
      </c>
    </row>
    <row r="12">
      <c r="A12" s="17" t="inlineStr">
        <is>
          <t>B2</t>
        </is>
      </c>
      <c r="B12" s="17" t="inlineStr">
        <is>
          <t>adminFetch：CSRF を付ける（options.csrf ?? method !== 'GET'）</t>
        </is>
      </c>
      <c r="C12" s="17" t="inlineStr">
        <is>
          <t>api/client.ts:57-58</t>
        </is>
      </c>
    </row>
    <row r="13">
      <c r="A13" s="17" t="inlineStr">
        <is>
          <t>B3</t>
        </is>
      </c>
      <c r="B13" s="17" t="inlineStr">
        <is>
          <t>adminFetch：手元に CSRF トークンがある</t>
        </is>
      </c>
      <c r="C13" s="17" t="inlineStr">
        <is>
          <t>api/client.ts:60</t>
        </is>
      </c>
    </row>
    <row r="14">
      <c r="A14" s="17" t="inlineStr">
        <is>
          <t>B4</t>
        </is>
      </c>
      <c r="B14" s="17" t="inlineStr">
        <is>
          <t>adminFetch：fetch の例外が AbortError</t>
        </is>
      </c>
      <c r="C14" s="17" t="inlineStr">
        <is>
          <t>api/client.ts:72-73</t>
        </is>
      </c>
    </row>
    <row r="15">
      <c r="A15" s="17" t="inlineStr">
        <is>
          <t>B5</t>
        </is>
      </c>
      <c r="B15" s="17" t="inlineStr">
        <is>
          <t>adminFetch：status 204</t>
        </is>
      </c>
      <c r="C15" s="17" t="inlineStr">
        <is>
          <t>api/client.ts:77</t>
        </is>
      </c>
    </row>
    <row r="16">
      <c r="A16" s="17" t="inlineStr">
        <is>
          <t>B6</t>
        </is>
      </c>
      <c r="B16" s="17" t="inlineStr">
        <is>
          <t>adminFetch：res.ok（2xx）</t>
        </is>
      </c>
      <c r="C16" s="17" t="inlineStr">
        <is>
          <t>api/client.ts:80</t>
        </is>
      </c>
    </row>
    <row r="17">
      <c r="A17" s="17" t="inlineStr">
        <is>
          <t>B7</t>
        </is>
      </c>
      <c r="B17" s="17" t="inlineStr">
        <is>
          <t>adminFetch：2xx で本文が読めない（data が undefined）</t>
        </is>
      </c>
      <c r="C17" s="17" t="inlineStr">
        <is>
          <t>api/client.ts:81</t>
        </is>
      </c>
    </row>
    <row r="18">
      <c r="A18" s="17" t="inlineStr">
        <is>
          <t>B8</t>
        </is>
      </c>
      <c r="B18" s="17" t="inlineStr">
        <is>
          <t>adminFetch：本文が API のエラーの形（error.code がある）</t>
        </is>
      </c>
      <c r="C18" s="17" t="inlineStr">
        <is>
          <t>api/client.ts:38・85</t>
        </is>
      </c>
    </row>
    <row r="19">
      <c r="A19" s="17" t="inlineStr">
        <is>
          <t>B9</t>
        </is>
      </c>
      <c r="B19" s="17" t="inlineStr">
        <is>
          <t>adminFetch：401 かつ ADMIN_UNAUTHORIZED（CSRF トークンを捨てる）</t>
        </is>
      </c>
      <c r="C19" s="17" t="inlineStr">
        <is>
          <t>api/client.ts:88</t>
        </is>
      </c>
    </row>
    <row r="20">
      <c r="A20" s="17" t="inlineStr">
        <is>
          <t>B10</t>
        </is>
      </c>
      <c r="B20" s="17" t="inlineStr">
        <is>
          <t>adminFetch：エラーの形でない応答で status &gt;= 500</t>
        </is>
      </c>
      <c r="C20" s="17" t="inlineStr">
        <is>
          <t>api/client.ts:91</t>
        </is>
      </c>
    </row>
    <row r="21">
      <c r="A21" s="17" t="inlineStr">
        <is>
          <t>B11</t>
        </is>
      </c>
      <c r="B21" s="17" t="inlineStr">
        <is>
          <t>readJson：本文が空</t>
        </is>
      </c>
      <c r="C21" s="17" t="inlineStr">
        <is>
          <t>api/client.ts:45</t>
        </is>
      </c>
    </row>
    <row r="22">
      <c r="A22" s="17" t="inlineStr">
        <is>
          <t>B12</t>
        </is>
      </c>
      <c r="B22" s="17" t="inlineStr">
        <is>
          <t>readJson：JSON.parse の例外</t>
        </is>
      </c>
      <c r="C22" s="17" t="inlineStr">
        <is>
          <t>api/client.ts:48</t>
        </is>
      </c>
    </row>
    <row r="23">
      <c r="A23" s="17" t="inlineStr">
        <is>
          <t>B13</t>
        </is>
      </c>
      <c r="B23" s="17" t="inlineStr">
        <is>
          <t>useAdminWorld：取得の失敗（isError）</t>
        </is>
      </c>
      <c r="C23" s="17" t="inlineStr">
        <is>
          <t>api/world.ts:63</t>
        </is>
      </c>
    </row>
    <row r="24">
      <c r="A24" s="17" t="inlineStr">
        <is>
          <t>B14</t>
        </is>
      </c>
      <c r="B24" s="17" t="inlineStr">
        <is>
          <t>useAdminWorld：失敗が 3 回目（様式②を出す）</t>
        </is>
      </c>
      <c r="C24" s="17" t="inlineStr">
        <is>
          <t>api/world.ts:65</t>
        </is>
      </c>
    </row>
    <row r="25">
      <c r="A25" s="17" t="inlineStr">
        <is>
          <t>B15</t>
        </is>
      </c>
      <c r="B25" s="17" t="inlineStr">
        <is>
          <t>useAdminWorld：成功で失敗の回数を 0 に戻す</t>
        </is>
      </c>
      <c r="C25" s="17" t="inlineStr">
        <is>
          <t>api/world.ts:66</t>
        </is>
      </c>
    </row>
    <row r="26">
      <c r="A26" s="17" t="inlineStr">
        <is>
          <t>B16</t>
        </is>
      </c>
      <c r="B26" s="17" t="inlineStr">
        <is>
          <t>bootstrapSession：GET /admin/api/session が成功</t>
        </is>
      </c>
      <c r="C26" s="17" t="inlineStr">
        <is>
          <t>session/SessionProvider.tsx:47-55</t>
        </is>
      </c>
    </row>
    <row r="27">
      <c r="A27" s="17" t="inlineStr">
        <is>
          <t>B17</t>
        </is>
      </c>
      <c r="B27" s="17" t="inlineStr">
        <is>
          <t>bootstrapSession：409 ADMIN_NOT_SET</t>
        </is>
      </c>
      <c r="C27" s="17" t="inlineStr">
        <is>
          <t>session/SessionProvider.tsx:58</t>
        </is>
      </c>
    </row>
    <row r="28">
      <c r="A28" s="17" t="inlineStr">
        <is>
          <t>B18</t>
        </is>
      </c>
      <c r="B28" s="17" t="inlineStr">
        <is>
          <t>bootstrapSession：401（bootstrapFailed を立てない）</t>
        </is>
      </c>
      <c r="C28" s="17" t="inlineStr">
        <is>
          <t>session/SessionProvider.tsx:62-63</t>
        </is>
      </c>
    </row>
    <row r="29">
      <c r="A29" s="17" t="inlineStr">
        <is>
          <t>B19</t>
        </is>
      </c>
      <c r="B29" s="17" t="inlineStr">
        <is>
          <t>signOut：logout の失敗を握りつぶす</t>
        </is>
      </c>
      <c r="C29" s="17" t="inlineStr">
        <is>
          <t>session/SessionProvider.tsx:81</t>
        </is>
      </c>
    </row>
    <row r="30">
      <c r="A30" s="17" t="inlineStr">
        <is>
          <t>B20</t>
        </is>
      </c>
      <c r="B30" s="17" t="inlineStr">
        <is>
          <t>useSession：SessionProvider の外</t>
        </is>
      </c>
      <c r="C30" s="17" t="inlineStr">
        <is>
          <t>session/SessionProvider.tsx:102</t>
        </is>
      </c>
    </row>
    <row r="31">
      <c r="A31" s="17" t="inlineStr">
        <is>
          <t>B21</t>
        </is>
      </c>
      <c r="B31" s="17" t="inlineStr">
        <is>
          <t>RequireSession：status が loading</t>
        </is>
      </c>
      <c r="C31" s="17" t="inlineStr">
        <is>
          <t>session/RequireSession.tsx:16</t>
        </is>
      </c>
    </row>
    <row r="32">
      <c r="A32" s="17" t="inlineStr">
        <is>
          <t>B22</t>
        </is>
      </c>
      <c r="B32" s="17" t="inlineStr">
        <is>
          <t>RequireSession：status が ready でない（/login へ）</t>
        </is>
      </c>
      <c r="C32" s="17" t="inlineStr">
        <is>
          <t>session/RequireSession.tsx:19</t>
        </is>
      </c>
    </row>
    <row r="33">
      <c r="A33" s="17" t="inlineStr">
        <is>
          <t>B23</t>
        </is>
      </c>
      <c r="B33" s="17" t="inlineStr">
        <is>
          <t>loginPathFor：移動先が /（next を付けない）</t>
        </is>
      </c>
      <c r="C33" s="17" t="inlineStr">
        <is>
          <t>session/RequireSession.tsx:9</t>
        </is>
      </c>
    </row>
    <row r="35">
      <c r="A35" s="14" t="inlineStr">
        <is>
          <t>確認事項・潜在バグ</t>
        </is>
      </c>
    </row>
    <row r="36" ht="30" customHeight="1">
      <c r="A36" s="18" t="inlineStr">
        <is>
          <t>・確認事項 1：main.tsx（createRoot と QueryClient の既定の設定）はエントリーポイントで、document の #root に描画するだけのため単体テストの対象にしない。同じ構成は test/renderApp.tsx で組み、router の DEV・UT で通している。App.tsx は雛形（NOUS-42）で、TC-NOUS42_DEV-04 だけを載せた</t>
        </is>
      </c>
    </row>
    <row r="37" ht="30" customHeight="1">
      <c r="A37" s="18" t="inlineStr">
        <is>
          <t>・確認事項 2：useApiErrorHandler の 401 は、OK のあと /login に移るが ?expired=1 を付けない。P201 の L11「ログインの有効期限が切れました」（?expired=1 で来たとき）は、この経路では出ない。様式①で同じ文言を出しているため不足はないと読むが、L11 をどこから使う想定かの確認</t>
        </is>
      </c>
    </row>
  </sheetData>
  <mergeCells count="2">
    <mergeCell ref="A37:C37"/>
    <mergeCell ref="A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2026-10-26T06:10:18Z</dcterms:created>
  <dcterms:modified xsi:type="dcterms:W3CDTF">2026-10-26T06:10:18Z</dcterms:modified>
</cp:coreProperties>
</file>