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'観点表'!$A$4:$Q$27</definedName>
    <definedName name="_xlnm.Print_Titles" localSheetId="0">'観点表'!$4:$4</definedName>
    <definedName name="_xlnm._FilterDatabase" localSheetId="2" hidden="1">'テストデータ'!$A$4:$F$27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P201 管理ログイン（apps/admin/src/pages/LoginPage.tsx）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TC-NOUS69_DEV-01</t>
        </is>
      </c>
      <c r="C5" s="5" t="inlineStr">
        <is>
          <t>validatePassword</t>
        </is>
      </c>
      <c r="D5" s="4" t="inlineStr">
        <is>
          <t>異常系</t>
        </is>
      </c>
      <c r="E5" s="4" t="inlineStr">
        <is>
          <t>開発者テスト</t>
        </is>
      </c>
      <c r="F5" s="5" t="inlineStr">
        <is>
          <t>空・12 字未満・128 字超で所定の文言を返し、12〜128 字で null を返す</t>
        </is>
      </c>
      <c r="G5" s="5" t="inlineStr">
        <is>
          <t>前提：なし
入力：""、a×11・12・128・129</t>
        </is>
      </c>
      <c r="H5" s="5" t="inlineStr">
        <is>
          <t>空・12 字以上・null・null・128 字以内の文言</t>
        </is>
      </c>
      <c r="I5" s="5" t="inlineStr">
        <is>
          <t>B1-T, B1-F, B2-T, B2-F, B3-T, B3-F</t>
        </is>
      </c>
      <c r="J5" s="5" t="inlineStr">
        <is>
          <t>なし</t>
        </is>
      </c>
      <c r="K5" s="5" t="inlineStr"/>
      <c r="L5" s="5" t="inlineStr"/>
      <c r="M5" s="5" t="inlineStr">
        <is>
          <t>TC-NOUS69_DEV-01 validatePassword は空・12字未満・128字超で所定の文言を返し、12〜128字で null 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既存テスト：実装時のテスト（NOUS-69）</t>
        </is>
      </c>
    </row>
    <row r="6">
      <c r="A6" s="4" t="n">
        <v>2</v>
      </c>
      <c r="B6" s="4" t="inlineStr">
        <is>
          <t>TC-NOUS69_DEV-02</t>
        </is>
      </c>
      <c r="C6" s="5" t="inlineStr">
        <is>
          <t>togglePasswordVisible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表示の切り替えで input の type が password と text に切り替わる</t>
        </is>
      </c>
      <c r="G6" s="5" t="inlineStr">
        <is>
          <t>前提：セッション 401
入力：切り替えを 2 回押す</t>
        </is>
      </c>
      <c r="H6" s="5" t="inlineStr">
        <is>
          <t>password → text → password</t>
        </is>
      </c>
      <c r="I6" s="5" t="inlineStr">
        <is>
          <t>B26-T, B26-F</t>
        </is>
      </c>
      <c r="J6" s="5" t="inlineStr">
        <is>
          <t>fetch を mockFetch で差し替え、renderApp（createMemoryRouter と QueryClient）</t>
        </is>
      </c>
      <c r="K6" s="5" t="inlineStr"/>
      <c r="L6" s="5" t="inlineStr"/>
      <c r="M6" s="5" t="inlineStr">
        <is>
          <t>TC-NOUS69_DEV-02 パスワードの表示切り替えで input の type が password と text に切り替わる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既存テスト：実装時のテスト（NOUS-69）</t>
        </is>
      </c>
    </row>
    <row r="7">
      <c r="A7" s="4" t="n">
        <v>3</v>
      </c>
      <c r="B7" s="4" t="inlineStr">
        <is>
          <t>TC-NOUS69_DEV-03</t>
        </is>
      </c>
      <c r="C7" s="5" t="inlineStr">
        <is>
          <t>submitLogin / ログイン済み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ログイン成功で ?next= の遷移先へ移動し、ログイン済みなら / へ移動する</t>
        </is>
      </c>
      <c r="G7" s="5" t="inlineStr">
        <is>
          <t>前提：セッション 401 → 200
入力：/login?next=%2Fmetrics でログイン、ログイン済みで /login</t>
        </is>
      </c>
      <c r="H7" s="5" t="inlineStr">
        <is>
          <t>/metrics、/</t>
        </is>
      </c>
      <c r="I7" s="5" t="inlineStr">
        <is>
          <t>B11-F, B11-T, B12-T, B14-F, B15-F</t>
        </is>
      </c>
      <c r="J7" s="5" t="inlineStr">
        <is>
          <t>fetch を mockFetch で差し替え、renderApp（createMemoryRouter と QueryClient）</t>
        </is>
      </c>
      <c r="K7" s="5" t="inlineStr"/>
      <c r="L7" s="5" t="inlineStr"/>
      <c r="M7" s="5" t="inlineStr">
        <is>
          <t>TC-NOUS69_DEV-03 ログイン成功で ?next= の遷移先へ移動し、ログイン済みなら / へ移動する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既存テスト：実装時のテスト（NOUS-69）</t>
        </is>
      </c>
    </row>
    <row r="8">
      <c r="A8" s="4" t="n">
        <v>4</v>
      </c>
      <c r="B8" s="4" t="inlineStr">
        <is>
          <t>TC-NOUS69_DEV-04</t>
        </is>
      </c>
      <c r="C8" s="5" t="inlineStr">
        <is>
          <t>submitLogin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401 LOGIN_FAILED で「パスワードが正しくありません」を表示する</t>
        </is>
      </c>
      <c r="G8" s="5" t="inlineStr">
        <is>
          <t>前提：セッション 401
入力：login → 401</t>
        </is>
      </c>
      <c r="H8" s="5" t="inlineStr">
        <is>
          <t>様式② パスワードが正しくありません</t>
        </is>
      </c>
      <c r="I8" s="5" t="inlineStr">
        <is>
          <t>B15-T, B16-T, B12-F</t>
        </is>
      </c>
      <c r="J8" s="5" t="inlineStr">
        <is>
          <t>fetch を mockFetch で差し替え、renderApp（createMemoryRouter と QueryClient）</t>
        </is>
      </c>
      <c r="K8" s="5" t="inlineStr"/>
      <c r="L8" s="5" t="inlineStr"/>
      <c r="M8" s="5" t="inlineStr">
        <is>
          <t>TC-NOUS69_DEV-04 ログインの 401 LOGIN_FAILED で「パスワードが正しくありません」を表示する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既存テスト：実装時のテスト（NOUS-69）</t>
        </is>
      </c>
    </row>
    <row r="9">
      <c r="A9" s="4" t="n">
        <v>5</v>
      </c>
      <c r="B9" s="4" t="inlineStr">
        <is>
          <t>TC-NOUS69_DEV-05</t>
        </is>
      </c>
      <c r="C9" s="5" t="inlineStr">
        <is>
          <t>submitLogin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429 LOGIN_LOCKED で解除の時刻を含むロックの文言を表示する</t>
        </is>
      </c>
      <c r="G9" s="5" t="inlineStr">
        <is>
          <t>前提：セッション 401
入力：login → 429（fields.lockedUntil）</t>
        </is>
      </c>
      <c r="H9" s="5" t="inlineStr">
        <is>
          <t>様式② ログインの試行が続いたため、HH:MM まで受け付けません</t>
        </is>
      </c>
      <c r="I9" s="5" t="inlineStr">
        <is>
          <t>B16-F, B17-T, B5-T, B6-T</t>
        </is>
      </c>
      <c r="J9" s="5" t="inlineStr">
        <is>
          <t>fetch を mockFetch で差し替え、renderApp（createMemoryRouter と QueryClient）</t>
        </is>
      </c>
      <c r="K9" s="5" t="inlineStr"/>
      <c r="L9" s="5" t="inlineStr"/>
      <c r="M9" s="5" t="inlineStr">
        <is>
          <t>TC-NOUS69_DEV-05 ログインの 429 LOGIN_LOCKED で解除の時刻を含むロックの文言を表示する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既存テスト：実装時のテスト（NOUS-69）</t>
        </is>
      </c>
    </row>
    <row r="10">
      <c r="A10" s="4" t="n">
        <v>6</v>
      </c>
      <c r="B10" s="4" t="inlineStr">
        <is>
          <t>TC-NOUS69_DEV-06</t>
        </is>
      </c>
      <c r="C10" s="5" t="inlineStr">
        <is>
          <t>LoginPage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パスワード未設定（409 ADMIN_NOT_SET）で設定手順の案内を表示する</t>
        </is>
      </c>
      <c r="G10" s="5" t="inlineStr">
        <is>
          <t>前提：セッション 409 ADMIN_NOT_SET
入力：/login</t>
        </is>
      </c>
      <c r="H10" s="5" t="inlineStr">
        <is>
          <t>L15 の案内</t>
        </is>
      </c>
      <c r="I10" s="5" t="inlineStr">
        <is>
          <t>B23-T</t>
        </is>
      </c>
      <c r="J10" s="5" t="inlineStr">
        <is>
          <t>fetch を mockFetch で差し替え、renderApp（createMemoryRouter と QueryClient）</t>
        </is>
      </c>
      <c r="K10" s="5" t="inlineStr"/>
      <c r="L10" s="5" t="inlineStr"/>
      <c r="M10" s="5" t="inlineStr">
        <is>
          <t>TC-NOUS69_DEV-06 パスワード未設定（409 ADMIN_NOT_SET）で設定手順の案内を表示する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既存テスト：実装時のテスト（NOUS-69）</t>
        </is>
      </c>
    </row>
    <row r="11">
      <c r="A11" s="4" t="n">
        <v>7</v>
      </c>
      <c r="B11" s="4" t="inlineStr">
        <is>
          <t>TC-NOUS69_DEV-07</t>
        </is>
      </c>
      <c r="C11" s="5" t="inlineStr">
        <is>
          <t>submitLogin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ログイン時の通信失敗・500 エラーは様式①（ErrorModal）で表示する</t>
        </is>
      </c>
      <c r="G11" s="5" t="inlineStr">
        <is>
          <t>前提：セッション 401
入力：login → 500、通信の失敗</t>
        </is>
      </c>
      <c r="H11" s="5" t="inlineStr">
        <is>
          <t>様式① 管理サーバーに接続できません…</t>
        </is>
      </c>
      <c r="I11" s="5" t="inlineStr">
        <is>
          <t>B17-F, B18-F, B19-F, B21-T, B22-T, B15-F</t>
        </is>
      </c>
      <c r="J11" s="5" t="inlineStr">
        <is>
          <t>fetch を mockFetch で差し替え、renderApp（createMemoryRouter と QueryClient）</t>
        </is>
      </c>
      <c r="K11" s="5" t="inlineStr"/>
      <c r="L11" s="5" t="inlineStr"/>
      <c r="M11" s="5" t="inlineStr">
        <is>
          <t>TC-NOUS69_DEV-07 ログイン時の通信失敗・500 エラーは様式①（ErrorModal）で表示する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既存テスト：実装時のテスト（NOUS-69）</t>
        </is>
      </c>
    </row>
    <row r="12">
      <c r="A12" s="4" t="n">
        <v>8</v>
      </c>
      <c r="B12" s="4" t="inlineStr">
        <is>
          <t>TC-UT_P201-001</t>
        </is>
      </c>
      <c r="C12" s="5" t="inlineStr">
        <is>
          <t>validatePassword</t>
        </is>
      </c>
      <c r="D12" s="4" t="inlineStr">
        <is>
          <t>正常系</t>
        </is>
      </c>
      <c r="E12" s="4" t="inlineStr">
        <is>
          <t>境界値</t>
        </is>
      </c>
      <c r="F12" s="5" t="inlineStr">
        <is>
          <t>パスワードの文字数はコードポイントで数え、絵文字 12 字は通り 11 字は 12 字未満にする</t>
        </is>
      </c>
      <c r="G12" s="5" t="inlineStr">
        <is>
          <t>前提：なし
入力：😀×12、😀×11</t>
        </is>
      </c>
      <c r="H12" s="5" t="inlineStr">
        <is>
          <t>null、「12 字以上で入力してください」</t>
        </is>
      </c>
      <c r="I12" s="5" t="inlineStr">
        <is>
          <t>B2-T, B2-F</t>
        </is>
      </c>
      <c r="J12" s="5" t="inlineStr">
        <is>
          <t>なし</t>
        </is>
      </c>
      <c r="K12" s="5" t="inlineStr"/>
      <c r="L12" s="5" t="inlineStr"/>
      <c r="M12" s="5" t="inlineStr">
        <is>
          <t>TC-UT_P201-001 パスワードの文字数はコードポイントで数え、絵文字 12 字は通り 11 字は 12 字未満にする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既存テスト：一部 TC-NOUS69_DEV-01（ASCII だけ）
P201 は文字数を「字」で決めている。サロゲートペアは 1 字と読んだ</t>
        </is>
      </c>
    </row>
    <row r="13">
      <c r="A13" s="4" t="n">
        <v>9</v>
      </c>
      <c r="B13" s="4" t="inlineStr">
        <is>
          <t>TC-UT_P201-002</t>
        </is>
      </c>
      <c r="C13" s="5" t="inlineStr">
        <is>
          <t>LoginPage（入力）</t>
        </is>
      </c>
      <c r="D13" s="4" t="inlineStr">
        <is>
          <t>異常系</t>
        </is>
      </c>
      <c r="E13" s="4" t="inlineStr">
        <is>
          <t>境界値</t>
        </is>
      </c>
      <c r="F13" s="5" t="inlineStr">
        <is>
          <t>入力中に 129 字になったらすぐ「128 字以内で入力してください」を出し、128 字に戻すと消す</t>
        </is>
      </c>
      <c r="G13" s="5" t="inlineStr">
        <is>
          <t>前提：セッション 401
入力：129 字を貼り付け、1 字消す</t>
        </is>
      </c>
      <c r="H13" s="5" t="inlineStr">
        <is>
          <t>129 字で文言、128 字で消える</t>
        </is>
      </c>
      <c r="I13" s="5" t="inlineStr">
        <is>
          <t>B13-T, B13-F</t>
        </is>
      </c>
      <c r="J13" s="5" t="inlineStr">
        <is>
          <t>fetch を mockFetch で差し替え、renderApp（createMemoryRouter と QueryClient）</t>
        </is>
      </c>
      <c r="K13" s="5" t="inlineStr"/>
      <c r="L13" s="5" t="inlineStr"/>
      <c r="M13" s="5" t="inlineStr">
        <is>
          <t>TC-UT_P201-002 入力中に 129 字になったらすぐ「128 字以内で入力してください」を出し、128 字に戻すと消す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既存テスト：なし（DEV-01 は関数だけ）
P201 E03・6章 様式④「129 字以上を入力」</t>
        </is>
      </c>
    </row>
    <row r="14">
      <c r="A14" s="4" t="n">
        <v>10</v>
      </c>
      <c r="B14" s="4" t="inlineStr">
        <is>
          <t>TC-UT_P201-003</t>
        </is>
      </c>
      <c r="C14" s="5" t="inlineStr">
        <is>
          <t>submitLogin</t>
        </is>
      </c>
      <c r="D14" s="4" t="inlineStr">
        <is>
          <t>異常系</t>
        </is>
      </c>
      <c r="E14" s="4" t="inlineStr">
        <is>
          <t>分岐網羅</t>
        </is>
      </c>
      <c r="F14" s="5" t="inlineStr">
        <is>
          <t>空のまま送信すると「パスワードを入力してください」を出し、ログインの API を呼ばない</t>
        </is>
      </c>
      <c r="G14" s="5" t="inlineStr">
        <is>
          <t>前提：セッション 401
入力：空でログインを押す</t>
        </is>
      </c>
      <c r="H14" s="5" t="inlineStr">
        <is>
          <t>文言を出し、POST /admin/api/login は 0 回</t>
        </is>
      </c>
      <c r="I14" s="5" t="inlineStr">
        <is>
          <t>B14-T, B1-T</t>
        </is>
      </c>
      <c r="J14" s="5" t="inlineStr">
        <is>
          <t>fetch を mockFetch で差し替え、renderApp（createMemoryRouter と QueryClient）</t>
        </is>
      </c>
      <c r="K14" s="5" t="inlineStr"/>
      <c r="L14" s="5" t="inlineStr"/>
      <c r="M14" s="5" t="inlineStr">
        <is>
          <t>TC-UT_P201-003 空のまま送信すると「パスワードを入力してください」を出し、ログインの API を呼ばない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TC-NOUS69_DEV-01（関数だけ）</t>
        </is>
      </c>
    </row>
    <row r="15">
      <c r="A15" s="4" t="n">
        <v>11</v>
      </c>
      <c r="B15" s="4" t="inlineStr">
        <is>
          <t>TC-UT_P201-004</t>
        </is>
      </c>
      <c r="C15" s="5" t="inlineStr">
        <is>
          <t>submitLogin</t>
        </is>
      </c>
      <c r="D15" s="4" t="inlineStr">
        <is>
          <t>正常系</t>
        </is>
      </c>
      <c r="E15" s="4" t="inlineStr">
        <is>
          <t>状態遷移</t>
        </is>
      </c>
      <c r="F15" s="5" t="inlineStr">
        <is>
          <t>送信中はボタンを「確認中…」にして押せなくし、入力欄も無効にする</t>
        </is>
      </c>
      <c r="G15" s="5" t="inlineStr">
        <is>
          <t>前提：セッション 401、login は返らない
入力：正しい長さで送信</t>
        </is>
      </c>
      <c r="H15" s="5" t="inlineStr">
        <is>
          <t>ボタン「確認中…」が disabled、入力欄も disabled</t>
        </is>
      </c>
      <c r="I15" s="5" t="inlineStr">
        <is>
          <t>B14-F</t>
        </is>
      </c>
      <c r="J15" s="5" t="inlineStr">
        <is>
          <t>fetch を返らない Promise に差し替え、renderApp</t>
        </is>
      </c>
      <c r="K15" s="5" t="inlineStr"/>
      <c r="L15" s="5" t="inlineStr"/>
      <c r="M15" s="5" t="inlineStr">
        <is>
          <t>TC-UT_P201-004 送信中はボタンを「確認中…」にして押せなくし、入力欄も無効にする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
P201 L05「送信中は「確認中…」で押せない」</t>
        </is>
      </c>
    </row>
    <row r="16">
      <c r="A16" s="4" t="n">
        <v>12</v>
      </c>
      <c r="B16" s="4" t="inlineStr">
        <is>
          <t>TC-UT_P201-005</t>
        </is>
      </c>
      <c r="C16" s="5" t="inlineStr">
        <is>
          <t>submitLogin</t>
        </is>
      </c>
      <c r="D16" s="4" t="inlineStr">
        <is>
          <t>異常系</t>
        </is>
      </c>
      <c r="E16" s="4" t="inlineStr">
        <is>
          <t>同値分割</t>
        </is>
      </c>
      <c r="F16" s="5" t="inlineStr">
        <is>
          <t>ログインの 400 VALIDATION_ERROR は fields.password を入力欄の下（様式④）に出す</t>
        </is>
      </c>
      <c r="G16" s="5" t="inlineStr">
        <is>
          <t>前提：セッション 401
入力：login → 400、fields.password</t>
        </is>
      </c>
      <c r="H16" s="5" t="inlineStr">
        <is>
          <t>入力欄の下に fields.password の文言、aria-invalid=true</t>
        </is>
      </c>
      <c r="I16" s="5" t="inlineStr">
        <is>
          <t>B19-T, B20-T</t>
        </is>
      </c>
      <c r="J16" s="5" t="inlineStr">
        <is>
          <t>fetch を mockFetch で差し替え、renderApp（createMemoryRouter と QueryClient）</t>
        </is>
      </c>
      <c r="K16" s="5" t="inlineStr"/>
      <c r="L16" s="5" t="inlineStr"/>
      <c r="M16" s="5" t="inlineStr">
        <is>
          <t>TC-UT_P201-005 ログインの 400 VALIDATION_ERROR は fields.password を入力欄の下（様式④）に出す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</t>
        </is>
      </c>
    </row>
    <row r="17">
      <c r="A17" s="4" t="n">
        <v>13</v>
      </c>
      <c r="B17" s="4" t="inlineStr">
        <is>
          <t>TC-UT_P201-006</t>
        </is>
      </c>
      <c r="C17" s="5" t="inlineStr">
        <is>
          <t>submitLogin</t>
        </is>
      </c>
      <c r="D17" s="4" t="inlineStr">
        <is>
          <t>異常系</t>
        </is>
      </c>
      <c r="E17" s="4" t="inlineStr">
        <is>
          <t>同値分割</t>
        </is>
      </c>
      <c r="F17" s="5" t="inlineStr">
        <is>
          <t>画面で扱わない 4xx（403）は、サーバーの message を様式②に出す</t>
        </is>
      </c>
      <c r="G17" s="5" t="inlineStr">
        <is>
          <t>前提：セッション 401
入力：login → 403 FORBIDDEN_NETWORK</t>
        </is>
      </c>
      <c r="H17" s="5" t="inlineStr">
        <is>
          <t>様式② にサーバーの message</t>
        </is>
      </c>
      <c r="I17" s="5" t="inlineStr">
        <is>
          <t>B18-F, B19-F, B21-F</t>
        </is>
      </c>
      <c r="J17" s="5" t="inlineStr">
        <is>
          <t>fetch を mockFetch で差し替え、renderApp（createMemoryRouter と QueryClient）</t>
        </is>
      </c>
      <c r="K17" s="5" t="inlineStr"/>
      <c r="L17" s="5" t="inlineStr"/>
      <c r="M17" s="5" t="inlineStr">
        <is>
          <t>TC-UT_P201-006 画面で扱わない 4xx（403）は、サーバーの message を様式②に出す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
設計書に 403 の記載なし。実装の値</t>
        </is>
      </c>
    </row>
    <row r="18">
      <c r="A18" s="4" t="n">
        <v>14</v>
      </c>
      <c r="B18" s="4" t="inlineStr">
        <is>
          <t>TC-UT_P201-007</t>
        </is>
      </c>
      <c r="C18" s="5" t="inlineStr">
        <is>
          <t>extractLockedUntil</t>
        </is>
      </c>
      <c r="D18" s="4" t="inlineStr">
        <is>
          <t>正常系</t>
        </is>
      </c>
      <c r="E18" s="4" t="inlineStr">
        <is>
          <t>分岐網羅</t>
        </is>
      </c>
      <c r="F18" s="5" t="inlineStr">
        <is>
          <t>ロックの解除の時刻は fields・message の順に探し、ISO は JST の HH:MM にし、見つからなければ「しばらく」にする</t>
        </is>
      </c>
      <c r="G18" s="5" t="inlineStr">
        <is>
          <t>前提：なし
入力：fields 10:30、fields ISO 01:15Z、message に 11:45、手がかりなし、message に ISO 01:15Z、fields まもなく、message に読めない ISO</t>
        </is>
      </c>
      <c r="H18" s="5" t="inlineStr">
        <is>
          <t>10:30、10:15、11:45、しばらく、10:15、まもなく、10:00</t>
        </is>
      </c>
      <c r="I18" s="5" t="inlineStr">
        <is>
          <t>B5-T, B5-F, B6-T, B6-F, B7-T, B7-F, B4-T, B4-F, B8-T, B8-F, B9-T, B9-F, B10-T, B10-F</t>
        </is>
      </c>
      <c r="J18" s="5" t="inlineStr">
        <is>
          <t>なし</t>
        </is>
      </c>
      <c r="K18" s="5" t="inlineStr"/>
      <c r="L18" s="5" t="inlineStr"/>
      <c r="M18" s="5" t="inlineStr">
        <is>
          <t>TC-UT_P201-007 ロックの解除の時刻は fields・message の順に探し、ISO は JST の HH:MM にし、見つからなければ「しばらく」にする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TC-NOUS69_DEV-05（fields の ISO だけ）
「しばらく」と、読めない値をそのまま出すことは設計書に記載なし。実装の値</t>
        </is>
      </c>
    </row>
    <row r="19">
      <c r="A19" s="4" t="n">
        <v>15</v>
      </c>
      <c r="B19" s="4" t="inlineStr">
        <is>
          <t>TC-UT_P201-008</t>
        </is>
      </c>
      <c r="C19" s="5" t="inlineStr">
        <is>
          <t>resolveNextPath</t>
        </is>
      </c>
      <c r="D19" s="4" t="inlineStr">
        <is>
          <t>異常系</t>
        </is>
      </c>
      <c r="E19" s="4" t="inlineStr">
        <is>
          <t>同値分割</t>
        </is>
      </c>
      <c r="F19" s="5" t="inlineStr">
        <is>
          <t>next が「//」で始まる（別のサイトを指す）ときは、ログインの後に / へ移る</t>
        </is>
      </c>
      <c r="G19" s="5" t="inlineStr">
        <is>
          <t>前提：セッション 401、login 200
入力：/login?next=%2F%2Fevil.example%2Fx でログイン</t>
        </is>
      </c>
      <c r="H19" s="5" t="inlineStr">
        <is>
          <t>/ へ移る</t>
        </is>
      </c>
      <c r="I19" s="5" t="inlineStr">
        <is>
          <t>B11-T</t>
        </is>
      </c>
      <c r="J19" s="5" t="inlineStr">
        <is>
          <t>fetch を mockFetch で差し替え、renderApp（createMemoryRouter と QueryClient）</t>
        </is>
      </c>
      <c r="K19" s="5" t="inlineStr"/>
      <c r="L19" s="5" t="inlineStr"/>
      <c r="M19" s="5" t="inlineStr">
        <is>
          <t>TC-UT_P201-008 next が「//」で始まる（別のサイトを指す）ときは、ログインの後に / へ移る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既存テスト：一部 TC-NOUS69_DEV-03（正しい next だけ）
別のサイトへの移動を防ぐ（設計書に記載なし。実装の値）</t>
        </is>
      </c>
    </row>
    <row r="20">
      <c r="A20" s="4" t="n">
        <v>16</v>
      </c>
      <c r="B20" s="4" t="inlineStr">
        <is>
          <t>TC-UT_P201-009</t>
        </is>
      </c>
      <c r="C20" s="5" t="inlineStr">
        <is>
          <t>LoginPage</t>
        </is>
      </c>
      <c r="D20" s="4" t="inlineStr">
        <is>
          <t>正常系</t>
        </is>
      </c>
      <c r="E20" s="4" t="inlineStr">
        <is>
          <t>分岐網羅</t>
        </is>
      </c>
      <c r="F20" s="5" t="inlineStr">
        <is>
          <t>?expired=1 で来たときは「ログインの有効期限が切れました」を様式②の色で出す</t>
        </is>
      </c>
      <c r="G20" s="5" t="inlineStr">
        <is>
          <t>前提：セッション 401
入力：/login?expired=1</t>
        </is>
      </c>
      <c r="H20" s="5" t="inlineStr">
        <is>
          <t>alert に「ログインの有効期限が切れました」</t>
        </is>
      </c>
      <c r="I20" s="5" t="inlineStr">
        <is>
          <t>B24-T, B23-F</t>
        </is>
      </c>
      <c r="J20" s="5" t="inlineStr">
        <is>
          <t>fetch を mockFetch で差し替え、renderApp（createMemoryRouter と QueryClient）</t>
        </is>
      </c>
      <c r="K20" s="5" t="inlineStr"/>
      <c r="L20" s="5" t="inlineStr"/>
      <c r="M20" s="5" t="inlineStr">
        <is>
          <t>TC-UT_P201-009 ?expired=1 で来たときは「ログインの有効期限が切れました」を様式②の色で出す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</t>
        </is>
      </c>
    </row>
    <row r="21">
      <c r="A21" s="4" t="n">
        <v>17</v>
      </c>
      <c r="B21" s="4" t="inlineStr">
        <is>
          <t>TC-UT_P201-010</t>
        </is>
      </c>
      <c r="C21" s="5" t="inlineStr">
        <is>
          <t>LoginPage（E01）</t>
        </is>
      </c>
      <c r="D21" s="4" t="inlineStr">
        <is>
          <t>異常系</t>
        </is>
      </c>
      <c r="E21" s="4" t="inlineStr">
        <is>
          <t>状態遷移</t>
        </is>
      </c>
      <c r="F21" s="5" t="inlineStr">
        <is>
          <t>起動時のセッションの取得が通信の失敗なら様式①を出し、OK で閉じた後は出し直さない</t>
        </is>
      </c>
      <c r="G21" s="5" t="inlineStr">
        <is>
          <t>前提：fetch が常に TypeError
入力：/login を開き OK を押す</t>
        </is>
      </c>
      <c r="H21" s="5" t="inlineStr">
        <is>
          <t>様式①が消え、パスワードの入力欄が出ている</t>
        </is>
      </c>
      <c r="I21" s="5" t="inlineStr">
        <is>
          <t>B25-T, B25-F</t>
        </is>
      </c>
      <c r="J21" s="5" t="inlineStr">
        <is>
          <t>fetch を vi.stubGlobal、renderApp</t>
        </is>
      </c>
      <c r="K21" s="5" t="inlineStr"/>
      <c r="L21" s="5" t="inlineStr"/>
      <c r="M21" s="5" t="inlineStr">
        <is>
          <t>TC-UT_P201-010 起動時のセッションの取得が通信の失敗なら様式①を出し、OK で閉じた後は出し直さない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P201 E01 は 500 で「管理サーバーに接続できません」。通信の失敗も同じ扱い</t>
        </is>
      </c>
    </row>
    <row r="22">
      <c r="A22" s="4" t="n">
        <v>18</v>
      </c>
      <c r="B22" s="4" t="inlineStr">
        <is>
          <t>TC-UT_P201-011</t>
        </is>
      </c>
      <c r="C22" s="5" t="inlineStr">
        <is>
          <t>LoginPage</t>
        </is>
      </c>
      <c r="D22" s="4" t="inlineStr">
        <is>
          <t>正常系</t>
        </is>
      </c>
      <c r="E22" s="4" t="inlineStr">
        <is>
          <t>同値分割</t>
        </is>
      </c>
      <c r="F22" s="5" t="inlineStr">
        <is>
          <t>ページのタイトルを「管理ログイン - NOUS」にし、サービス名・見出し・注意書きを出す</t>
        </is>
      </c>
      <c r="G22" s="5" t="inlineStr">
        <is>
          <t>前提：セッション 401
入力：/login</t>
        </is>
      </c>
      <c r="H22" s="5" t="inlineStr">
        <is>
          <t>title、NOUS 管理、管理ログイン、注意書き</t>
        </is>
      </c>
      <c r="I22" s="5" t="inlineStr">
        <is>
          <t>B24-F</t>
        </is>
      </c>
      <c r="J22" s="5" t="inlineStr">
        <is>
          <t>fetch を mockFetch で差し替え、renderApp（createMemoryRouter と QueryClient）</t>
        </is>
      </c>
      <c r="K22" s="5" t="inlineStr"/>
      <c r="L22" s="5" t="inlineStr"/>
      <c r="M22" s="5" t="inlineStr">
        <is>
          <t>TC-UT_P201-011 ページのタイトルを「管理ログイン - NOUS」にし、サービス名・見出し・注意書きを出す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
P201 L01・L02・L06・L12</t>
        </is>
      </c>
    </row>
    <row r="23">
      <c r="A23" s="4" t="n">
        <v>19</v>
      </c>
      <c r="B23" s="4" t="inlineStr">
        <is>
          <t>TC-UT_P201-012</t>
        </is>
      </c>
      <c r="C23" s="5" t="inlineStr">
        <is>
          <t>submitLogin</t>
        </is>
      </c>
      <c r="D23" s="4" t="inlineStr">
        <is>
          <t>正常系</t>
        </is>
      </c>
      <c r="E23" s="4" t="inlineStr">
        <is>
          <t>同値分割</t>
        </is>
      </c>
      <c r="F23" s="5" t="inlineStr">
        <is>
          <t>パスワードの入力欄で Enter を押すと送信する</t>
        </is>
      </c>
      <c r="G23" s="5" t="inlineStr">
        <is>
          <t>前提：セッション 401、login 401
入力：入力して Enter</t>
        </is>
      </c>
      <c r="H23" s="5" t="inlineStr">
        <is>
          <t>POST /admin/api/login が 1 回</t>
        </is>
      </c>
      <c r="I23" s="5" t="inlineStr">
        <is>
          <t>B14-F, B16-T</t>
        </is>
      </c>
      <c r="J23" s="5" t="inlineStr">
        <is>
          <t>fetch を mockFetch で差し替え、renderApp（createMemoryRouter と QueryClient）</t>
        </is>
      </c>
      <c r="K23" s="5" t="inlineStr"/>
      <c r="L23" s="5" t="inlineStr"/>
      <c r="M23" s="5" t="inlineStr">
        <is>
          <t>TC-UT_P201-012 パスワードの入力欄で Enter を押すと送信する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
P201 L14</t>
        </is>
      </c>
    </row>
    <row r="24">
      <c r="A24" s="4" t="n">
        <v>20</v>
      </c>
      <c r="B24" s="4" t="inlineStr">
        <is>
          <t>TC-UT_P201-013</t>
        </is>
      </c>
      <c r="C24" s="5" t="inlineStr">
        <is>
          <t>LoginPage（L09）</t>
        </is>
      </c>
      <c r="D24" s="4" t="inlineStr">
        <is>
          <t>異常系</t>
        </is>
      </c>
      <c r="E24" s="4" t="inlineStr">
        <is>
          <t>境界値</t>
        </is>
      </c>
      <c r="F24" s="5" t="inlineStr">
        <is>
          <t>ログインに 3 回続けて失敗したら「あと 2 回失敗すると 15 分ロックされます」を出す</t>
        </is>
      </c>
      <c r="G24" s="5" t="inlineStr">
        <is>
          <t>前提：セッション 401、login は常に 401
入力：3 回失敗する</t>
        </is>
      </c>
      <c r="H24" s="5" t="inlineStr">
        <is>
          <t>「あと 2 回失敗すると 15 分ロックされます」</t>
        </is>
      </c>
      <c r="I24" s="5" t="inlineStr">
        <is>
          <t>B16-T</t>
        </is>
      </c>
      <c r="J24" s="5" t="inlineStr">
        <is>
          <t>fetch を mockFetch で差し替え、renderApp（createMemoryRouter と QueryClient）</t>
        </is>
      </c>
      <c r="K24" s="5" t="inlineStr"/>
      <c r="L24" s="5" t="inlineStr"/>
      <c r="M24" s="5" t="inlineStr">
        <is>
          <t>TC-UT_P201-013 ログインに 3 回続けて失敗したら「あと 2 回失敗すると 15 分ロックされます」を出す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
疑い：実装されていない（疑い 1）
P201 L09（失敗が 3 回以上、N=5−失敗回数）</t>
        </is>
      </c>
    </row>
    <row r="25">
      <c r="A25" s="4" t="n">
        <v>21</v>
      </c>
      <c r="B25" s="4" t="inlineStr">
        <is>
          <t>TC-UT_P201-014</t>
        </is>
      </c>
      <c r="C25" s="5" t="inlineStr">
        <is>
          <t>submitLogin</t>
        </is>
      </c>
      <c r="D25" s="4" t="inlineStr">
        <is>
          <t>異常系</t>
        </is>
      </c>
      <c r="E25" s="4" t="inlineStr">
        <is>
          <t>依存</t>
        </is>
      </c>
      <c r="F25" s="5" t="inlineStr">
        <is>
          <t>ログインの応答が 200 でも本文が読めなければ様式①（管理サーバーに接続できません）にする</t>
        </is>
      </c>
      <c r="G25" s="5" t="inlineStr">
        <is>
          <t>前提：セッション 401、その後 fetch は本文なしの 200
入力：正しい長さで送信</t>
        </is>
      </c>
      <c r="H25" s="5" t="inlineStr">
        <is>
          <t>様式① 管理サーバーに接続できません…</t>
        </is>
      </c>
      <c r="I25" s="5" t="inlineStr">
        <is>
          <t>B15-F, B22-T</t>
        </is>
      </c>
      <c r="J25" s="5" t="inlineStr">
        <is>
          <t>fetch を vi.stubGlobal</t>
        </is>
      </c>
      <c r="K25" s="5" t="inlineStr"/>
      <c r="L25" s="5" t="inlineStr"/>
      <c r="M25" s="5" t="inlineStr">
        <is>
          <t>TC-UT_P201-014 ログインの応答が 200 でも本文が読めなければ様式①（管理サーバーに接続できません）にする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TC-UT_P201-016</t>
        </is>
      </c>
      <c r="C26" s="5" t="inlineStr">
        <is>
          <t>submitLogin</t>
        </is>
      </c>
      <c r="D26" s="4" t="inlineStr">
        <is>
          <t>異常系</t>
        </is>
      </c>
      <c r="E26" s="4" t="inlineStr">
        <is>
          <t>分岐網羅</t>
        </is>
      </c>
      <c r="F26" s="5" t="inlineStr">
        <is>
          <t>ログインの 409 ADMIN_NOT_SET は、パスワード未設定の案内を様式②に出す</t>
        </is>
      </c>
      <c r="G26" s="5" t="inlineStr">
        <is>
          <t>前提：セッション 401
入力：login → 409 ADMIN_NOT_SET</t>
        </is>
      </c>
      <c r="H26" s="5" t="inlineStr">
        <is>
          <t>様式② に L15 の案内</t>
        </is>
      </c>
      <c r="I26" s="5" t="inlineStr">
        <is>
          <t>B18-T</t>
        </is>
      </c>
      <c r="J26" s="5" t="inlineStr">
        <is>
          <t>fetch を mockFetch で差し替え、renderApp（createMemoryRouter と QueryClient）</t>
        </is>
      </c>
      <c r="K26" s="5" t="inlineStr"/>
      <c r="L26" s="5" t="inlineStr"/>
      <c r="M26" s="5" t="inlineStr">
        <is>
          <t>TC-UT_P201-016 ログインの 409 ADMIN_NOT_SET は、パスワード未設定の案内を様式②に出す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TC-NOUS69_DEV-06（GET session の 409 だけ）</t>
        </is>
      </c>
    </row>
    <row r="27">
      <c r="A27" s="4" t="n">
        <v>23</v>
      </c>
      <c r="B27" s="4" t="inlineStr">
        <is>
          <t>TC-UT_P201-015</t>
        </is>
      </c>
      <c r="C27" s="5" t="inlineStr">
        <is>
          <t>submitLogin</t>
        </is>
      </c>
      <c r="D27" s="4" t="inlineStr">
        <is>
          <t>異常系</t>
        </is>
      </c>
      <c r="E27" s="4" t="inlineStr">
        <is>
          <t>分岐網羅</t>
        </is>
      </c>
      <c r="F27" s="5" t="inlineStr">
        <is>
          <t>ログインの 400 で fields がなければ、サーバーの message を入力欄の下に出す</t>
        </is>
      </c>
      <c r="G27" s="5" t="inlineStr">
        <is>
          <t>前提：セッション 401
入力：login → 400、fields なし</t>
        </is>
      </c>
      <c r="H27" s="5" t="inlineStr">
        <is>
          <t>入力欄の下に「入力の内容を確認してください」</t>
        </is>
      </c>
      <c r="I27" s="5" t="inlineStr">
        <is>
          <t>B19-T, B20-F</t>
        </is>
      </c>
      <c r="J27" s="5" t="inlineStr">
        <is>
          <t>fetch を mockFetch で差し替え、renderApp（createMemoryRouter と QueryClient）</t>
        </is>
      </c>
      <c r="K27" s="5" t="inlineStr"/>
      <c r="L27" s="5" t="inlineStr"/>
      <c r="M27" s="5" t="inlineStr">
        <is>
          <t>TC-UT_P201-015 ログインの 400 で fields がなければ、サーバーの message を入力欄の下に出す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</t>
        </is>
      </c>
    </row>
  </sheetData>
  <autoFilter ref="A4:Q27"/>
  <conditionalFormatting sqref="A5:Q77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7" showDropDown="0" showInputMessage="0" showErrorMessage="0" allowBlank="1" type="list">
      <formula1>"未実施,OK,NG,保留,対象外"</formula1>
    </dataValidation>
    <dataValidation sqref="D5:D77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COUNTA(観点表!$B$5:$B$77)</f>
        <v/>
      </c>
    </row>
    <row r="6">
      <c r="A6" s="10" t="inlineStr">
        <is>
          <t>正常系</t>
        </is>
      </c>
      <c r="B6" s="10">
        <f>COUNTIF(観点表!$D$5:$D$77,"正常系")</f>
        <v/>
      </c>
    </row>
    <row r="7">
      <c r="A7" s="10" t="inlineStr">
        <is>
          <t>異常系</t>
        </is>
      </c>
      <c r="B7" s="10">
        <f>COUNTIF(観点表!$D$5:$D$77,"異常系")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依存</t>
        </is>
      </c>
      <c r="B10" s="10">
        <f>COUNTIF(観点表!$E$5:$E$77,"依存")</f>
        <v/>
      </c>
    </row>
    <row r="11">
      <c r="A11" s="10" t="inlineStr">
        <is>
          <t>分岐網羅</t>
        </is>
      </c>
      <c r="B11" s="10">
        <f>COUNTIF(観点表!$E$5:$E$77,"分岐網羅")</f>
        <v/>
      </c>
    </row>
    <row r="12">
      <c r="A12" s="10" t="inlineStr">
        <is>
          <t>同値分割</t>
        </is>
      </c>
      <c r="B12" s="10">
        <f>COUNTIF(観点表!$E$5:$E$77,"同値分割")</f>
        <v/>
      </c>
    </row>
    <row r="13">
      <c r="A13" s="10" t="inlineStr">
        <is>
          <t>境界値</t>
        </is>
      </c>
      <c r="B13" s="10">
        <f>COUNTIF(観点表!$E$5:$E$77,"境界値")</f>
        <v/>
      </c>
    </row>
    <row r="14">
      <c r="A14" s="10" t="inlineStr">
        <is>
          <t>状態遷移</t>
        </is>
      </c>
      <c r="B14" s="10">
        <f>COUNTIF(観点表!$E$5:$E$77,"状態遷移")</f>
        <v/>
      </c>
    </row>
    <row r="15">
      <c r="A15" s="10" t="inlineStr">
        <is>
          <t>開発者テスト</t>
        </is>
      </c>
      <c r="B15" s="10">
        <f>COUNTIF(観点表!$E$5:$E$77,"開発者テスト")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COUNTIF(観点表!$K$5:$K$77,"?*")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COUNTIF(観点表!$N$5:$N$77,"未実施")</f>
        <v/>
      </c>
    </row>
    <row r="23">
      <c r="A23" s="10" t="inlineStr">
        <is>
          <t>OK</t>
        </is>
      </c>
      <c r="B23" s="10">
        <f>COUNTIF(観点表!$N$5:$N$77,"OK")</f>
        <v/>
      </c>
    </row>
    <row r="24">
      <c r="A24" s="10" t="inlineStr">
        <is>
          <t>NG</t>
        </is>
      </c>
      <c r="B24" s="10">
        <f>COUNTIF(観点表!$N$5:$N$77,"NG")</f>
        <v/>
      </c>
    </row>
    <row r="25">
      <c r="A25" s="10" t="inlineStr">
        <is>
          <t>保留</t>
        </is>
      </c>
      <c r="B25" s="10">
        <f>COUNTIF(観点表!$N$5:$N$77,"保留")</f>
        <v/>
      </c>
    </row>
    <row r="26">
      <c r="A26" s="10" t="inlineStr">
        <is>
          <t>対象外</t>
        </is>
      </c>
      <c r="B26" s="10">
        <f>COUNTIF(観点表!$N$5:$N$77,"対象外")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TC-NOUS69_DEV-01</t>
        </is>
      </c>
      <c r="B5" s="13" t="inlineStr">
        <is>
          <t>空・12 字未満・128 字超で所定の文言を返し、12〜128 字で null を返す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TC-NOUS69_DEV-02</t>
        </is>
      </c>
      <c r="B6" s="13" t="inlineStr">
        <is>
          <t>表示の切り替えで input の type が password と text に切り替わる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TC-NOUS69_DEV-03</t>
        </is>
      </c>
      <c r="B7" s="13" t="inlineStr">
        <is>
          <t>ログイン成功で ?next= の遷移先へ移動し、ログイン済みなら / へ移動する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TC-NOUS69_DEV-04</t>
        </is>
      </c>
      <c r="B8" s="13" t="inlineStr">
        <is>
          <t>401 LOGIN_FAILED で「パスワードが正しくありません」を表示する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TC-NOUS69_DEV-05</t>
        </is>
      </c>
      <c r="B9" s="13" t="inlineStr">
        <is>
          <t>429 LOGIN_LOCKED で解除の時刻を含むロックの文言を表示する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TC-NOUS69_DEV-06</t>
        </is>
      </c>
      <c r="B10" s="13" t="inlineStr">
        <is>
          <t>パスワード未設定（409 ADMIN_NOT_SET）で設定手順の案内を表示する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TC-NOUS69_DEV-07</t>
        </is>
      </c>
      <c r="B11" s="13" t="inlineStr">
        <is>
          <t>ログイン時の通信失敗・500 エラーは様式①（ErrorModal）で表示する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TC-UT_P201-001</t>
        </is>
      </c>
      <c r="B12" s="13" t="inlineStr">
        <is>
          <t>パスワードの文字数はコードポイントで数え、絵文字 12 字は通り 11 字は 12 字未満にする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TC-UT_P201-002</t>
        </is>
      </c>
      <c r="B13" s="13" t="inlineStr">
        <is>
          <t>入力中に 129 字になったらすぐ「128 字以内で入力してください」を出し、128 字に戻すと消す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TC-UT_P201-003</t>
        </is>
      </c>
      <c r="B14" s="13" t="inlineStr">
        <is>
          <t>空のまま送信すると「パスワードを入力してください」を出し、ログインの API を呼ばない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TC-UT_P201-004</t>
        </is>
      </c>
      <c r="B15" s="13" t="inlineStr">
        <is>
          <t>送信中はボタンを「確認中…」にして押せなくし、入力欄も無効にする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TC-UT_P201-005</t>
        </is>
      </c>
      <c r="B16" s="13" t="inlineStr">
        <is>
          <t>ログインの 400 VALIDATION_ERROR は fields.password を入力欄の下（様式④）に出す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TC-UT_P201-006</t>
        </is>
      </c>
      <c r="B17" s="13" t="inlineStr">
        <is>
          <t>画面で扱わない 4xx（403）は、サーバーの message を様式②に出す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TC-UT_P201-007</t>
        </is>
      </c>
      <c r="B18" s="13" t="inlineStr">
        <is>
          <t>ロックの解除の時刻は fields・message の順に探し、ISO は JST の HH:MM にし、見つからなければ「しばらく」にする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TC-UT_P201-008</t>
        </is>
      </c>
      <c r="B19" s="13" t="inlineStr">
        <is>
          <t>next が「//」で始まる（別のサイトを指す）ときは、ログインの後に / へ移る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TC-UT_P201-009</t>
        </is>
      </c>
      <c r="B20" s="13" t="inlineStr">
        <is>
          <t>?expired=1 で来たときは「ログインの有効期限が切れました」を様式②の色で出す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TC-UT_P201-010</t>
        </is>
      </c>
      <c r="B21" s="13" t="inlineStr">
        <is>
          <t>起動時のセッションの取得が通信の失敗なら様式①を出し、OK で閉じた後は出し直さない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TC-UT_P201-011</t>
        </is>
      </c>
      <c r="B22" s="13" t="inlineStr">
        <is>
          <t>ページのタイトルを「管理ログイン - NOUS」にし、サービス名・見出し・注意書きを出す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TC-UT_P201-012</t>
        </is>
      </c>
      <c r="B23" s="13" t="inlineStr">
        <is>
          <t>パスワードの入力欄で Enter を押すと送信する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TC-UT_P201-013</t>
        </is>
      </c>
      <c r="B24" s="13" t="inlineStr">
        <is>
          <t>ログインに 3 回続けて失敗したら「あと 2 回失敗すると 15 分ロックされます」を出す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TC-UT_P201-014</t>
        </is>
      </c>
      <c r="B25" s="13" t="inlineStr">
        <is>
          <t>ログインの応答が 200 でも本文が読めなければ様式①（管理サーバーに接続できません）にする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TC-UT_P201-016</t>
        </is>
      </c>
      <c r="B26" s="13" t="inlineStr">
        <is>
          <t>ログインの 409 ADMIN_NOT_SET は、パスワード未設定の案内を様式②に出す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TC-UT_P201-015</t>
        </is>
      </c>
      <c r="B27" s="13" t="inlineStr">
        <is>
          <t>ログインの 400 で fields がなければ、サーバーの message を入力欄の下に出す</t>
        </is>
      </c>
      <c r="C27" s="13" t="inlineStr">
        <is>
          <t>未作成</t>
        </is>
      </c>
      <c r="D27" s="13" t="inlineStr"/>
      <c r="E27" s="13" t="inlineStr"/>
      <c r="F27" s="13" t="inlineStr"/>
    </row>
  </sheetData>
  <autoFilter ref="A4:F2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P201 管理ログイン（apps/admin/src/pages/LoginPage.tsx）</t>
        </is>
      </c>
    </row>
    <row r="4">
      <c r="A4" s="14" t="inlineStr">
        <is>
          <t>対象ファイル</t>
        </is>
      </c>
      <c r="B4" s="15" t="inlineStr">
        <is>
          <t>apps/admin/src/pages/LoginPage.tsx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apps/admin/src/pages/LoginPage.test.tsx（実装時、NOUS-69）, apps/admin/src/pages/LoginPage.ut.test.tsx（単体テストで追加）</t>
        </is>
      </c>
    </row>
    <row r="7">
      <c r="A7" s="14" t="inlineStr">
        <is>
          <t>外部依存</t>
        </is>
      </c>
      <c r="B7" s="15" t="inlineStr">
        <is>
          <t>fetch（mockFetch・vi.stubGlobal）, SessionProvider（GET /admin/api/session・POST /admin/api/login）, React Router（?next・?expired）, Intl.DateTimeFormat（Asia/Tokyo）, document.title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validatePassword：空</t>
        </is>
      </c>
      <c r="C11" s="17" t="inlineStr">
        <is>
          <t>LoginPage.tsx:21</t>
        </is>
      </c>
    </row>
    <row r="12">
      <c r="A12" s="17" t="inlineStr">
        <is>
          <t>B2</t>
        </is>
      </c>
      <c r="B12" s="17" t="inlineStr">
        <is>
          <t>validatePassword：12 字未満</t>
        </is>
      </c>
      <c r="C12" s="17" t="inlineStr">
        <is>
          <t>LoginPage.tsx:23</t>
        </is>
      </c>
    </row>
    <row r="13">
      <c r="A13" s="17" t="inlineStr">
        <is>
          <t>B3</t>
        </is>
      </c>
      <c r="B13" s="17" t="inlineStr">
        <is>
          <t>validatePassword：128 字を超える</t>
        </is>
      </c>
      <c r="C13" s="17" t="inlineStr">
        <is>
          <t>LoginPage.tsx:24</t>
        </is>
      </c>
    </row>
    <row r="14">
      <c r="A14" s="17" t="inlineStr">
        <is>
          <t>B4</t>
        </is>
      </c>
      <c r="B14" s="17" t="inlineStr">
        <is>
          <t>formatJstHhMm：日時として読めない</t>
        </is>
      </c>
      <c r="C14" s="17" t="inlineStr">
        <is>
          <t>LoginPage.tsx:30</t>
        </is>
      </c>
    </row>
    <row r="15">
      <c r="A15" s="17" t="inlineStr">
        <is>
          <t>B5</t>
        </is>
      </c>
      <c r="B15" s="17" t="inlineStr">
        <is>
          <t>extractLockedUntil：fields.lockedUntil がある</t>
        </is>
      </c>
      <c r="C15" s="17" t="inlineStr">
        <is>
          <t>LoginPage.tsx:41</t>
        </is>
      </c>
    </row>
    <row r="16">
      <c r="A16" s="17" t="inlineStr">
        <is>
          <t>B6</t>
        </is>
      </c>
      <c r="B16" s="17" t="inlineStr">
        <is>
          <t>extractLockedUntil：fields が HH:MM の形</t>
        </is>
      </c>
      <c r="C16" s="17" t="inlineStr">
        <is>
          <t>LoginPage.tsx:42</t>
        </is>
      </c>
    </row>
    <row r="17">
      <c r="A17" s="17" t="inlineStr">
        <is>
          <t>B7</t>
        </is>
      </c>
      <c r="B17" s="17" t="inlineStr">
        <is>
          <t>extractLockedUntil：fields を JST の HH:MM にできた</t>
        </is>
      </c>
      <c r="C17" s="17" t="inlineStr">
        <is>
          <t>LoginPage.tsx:44</t>
        </is>
      </c>
    </row>
    <row r="18">
      <c r="A18" s="17" t="inlineStr">
        <is>
          <t>B8</t>
        </is>
      </c>
      <c r="B18" s="17" t="inlineStr">
        <is>
          <t>extractLockedUntil：message に ISO の日時がある</t>
        </is>
      </c>
      <c r="C18" s="17" t="inlineStr">
        <is>
          <t>LoginPage.tsx:48</t>
        </is>
      </c>
    </row>
    <row r="19">
      <c r="A19" s="17" t="inlineStr">
        <is>
          <t>B9</t>
        </is>
      </c>
      <c r="B19" s="17" t="inlineStr">
        <is>
          <t>extractLockedUntil：message の ISO を JST の HH:MM にできた</t>
        </is>
      </c>
      <c r="C19" s="17" t="inlineStr">
        <is>
          <t>LoginPage.tsx:50</t>
        </is>
      </c>
    </row>
    <row r="20">
      <c r="A20" s="17" t="inlineStr">
        <is>
          <t>B10</t>
        </is>
      </c>
      <c r="B20" s="17" t="inlineStr">
        <is>
          <t>extractLockedUntil：message に HH:MM がある</t>
        </is>
      </c>
      <c r="C20" s="17" t="inlineStr">
        <is>
          <t>LoginPage.tsx:53</t>
        </is>
      </c>
    </row>
    <row r="21">
      <c r="A21" s="17" t="inlineStr">
        <is>
          <t>B11</t>
        </is>
      </c>
      <c r="B21" s="17" t="inlineStr">
        <is>
          <t>resolveNextPath：next がない・/ で始まらない・// で始まる（/ にする）</t>
        </is>
      </c>
      <c r="C21" s="17" t="inlineStr">
        <is>
          <t>LoginPage.tsx:58</t>
        </is>
      </c>
    </row>
    <row r="22">
      <c r="A22" s="17" t="inlineStr">
        <is>
          <t>B12</t>
        </is>
      </c>
      <c r="B22" s="17" t="inlineStr">
        <is>
          <t>ログイン済み（status ready）なら next へ移る</t>
        </is>
      </c>
      <c r="C22" s="17" t="inlineStr">
        <is>
          <t>LoginPage.tsx:85</t>
        </is>
      </c>
    </row>
    <row r="23">
      <c r="A23" s="17" t="inlineStr">
        <is>
          <t>B13</t>
        </is>
      </c>
      <c r="B23" s="17" t="inlineStr">
        <is>
          <t>入力中に 128 字を超える</t>
        </is>
      </c>
      <c r="C23" s="17" t="inlineStr">
        <is>
          <t>LoginPage.tsx:95</t>
        </is>
      </c>
    </row>
    <row r="24">
      <c r="A24" s="17" t="inlineStr">
        <is>
          <t>B14</t>
        </is>
      </c>
      <c r="B24" s="17" t="inlineStr">
        <is>
          <t>submitLogin：検証のエラーがある</t>
        </is>
      </c>
      <c r="C24" s="17" t="inlineStr">
        <is>
          <t>LoginPage.tsx:107</t>
        </is>
      </c>
    </row>
    <row r="25">
      <c r="A25" s="17" t="inlineStr">
        <is>
          <t>B15</t>
        </is>
      </c>
      <c r="B25" s="17" t="inlineStr">
        <is>
          <t>submitLogin：ApiError</t>
        </is>
      </c>
      <c r="C25" s="17" t="inlineStr">
        <is>
          <t>LoginPage.tsx:121</t>
        </is>
      </c>
    </row>
    <row r="26">
      <c r="A26" s="17" t="inlineStr">
        <is>
          <t>B16</t>
        </is>
      </c>
      <c r="B26" s="17" t="inlineStr">
        <is>
          <t>submitLogin：401</t>
        </is>
      </c>
      <c r="C26" s="17" t="inlineStr">
        <is>
          <t>LoginPage.tsx:122</t>
        </is>
      </c>
    </row>
    <row r="27">
      <c r="A27" s="17" t="inlineStr">
        <is>
          <t>B17</t>
        </is>
      </c>
      <c r="B27" s="17" t="inlineStr">
        <is>
          <t>submitLogin：429</t>
        </is>
      </c>
      <c r="C27" s="17" t="inlineStr">
        <is>
          <t>LoginPage.tsx:126</t>
        </is>
      </c>
    </row>
    <row r="28">
      <c r="A28" s="17" t="inlineStr">
        <is>
          <t>B18</t>
        </is>
      </c>
      <c r="B28" s="17" t="inlineStr">
        <is>
          <t>submitLogin：409 ADMIN_NOT_SET</t>
        </is>
      </c>
      <c r="C28" s="17" t="inlineStr">
        <is>
          <t>LoginPage.tsx:132</t>
        </is>
      </c>
    </row>
    <row r="29">
      <c r="A29" s="17" t="inlineStr">
        <is>
          <t>B19</t>
        </is>
      </c>
      <c r="B29" s="17" t="inlineStr">
        <is>
          <t>submitLogin：400</t>
        </is>
      </c>
      <c r="C29" s="17" t="inlineStr">
        <is>
          <t>LoginPage.tsx:136</t>
        </is>
      </c>
    </row>
    <row r="30">
      <c r="A30" s="17" t="inlineStr">
        <is>
          <t>B20</t>
        </is>
      </c>
      <c r="B30" s="17" t="inlineStr">
        <is>
          <t>submitLogin：400 の fields.password がある</t>
        </is>
      </c>
      <c r="C30" s="17" t="inlineStr">
        <is>
          <t>LoginPage.tsx:137</t>
        </is>
      </c>
    </row>
    <row r="31">
      <c r="A31" s="17" t="inlineStr">
        <is>
          <t>B21</t>
        </is>
      </c>
      <c r="B31" s="17" t="inlineStr">
        <is>
          <t>submitLogin：500 以上</t>
        </is>
      </c>
      <c r="C31" s="17" t="inlineStr">
        <is>
          <t>LoginPage.tsx:140</t>
        </is>
      </c>
    </row>
    <row r="32">
      <c r="A32" s="17" t="inlineStr">
        <is>
          <t>B22</t>
        </is>
      </c>
      <c r="B32" s="17" t="inlineStr">
        <is>
          <t>submitLogin：NetworkError</t>
        </is>
      </c>
      <c r="C32" s="17" t="inlineStr">
        <is>
          <t>LoginPage.tsx:147</t>
        </is>
      </c>
    </row>
    <row r="33">
      <c r="A33" s="17" t="inlineStr">
        <is>
          <t>B23</t>
        </is>
      </c>
      <c r="B33" s="17" t="inlineStr">
        <is>
          <t>パスワード未設定（status notSet）の案内を出す</t>
        </is>
      </c>
      <c r="C33" s="17" t="inlineStr">
        <is>
          <t>LoginPage.tsx:159</t>
        </is>
      </c>
    </row>
    <row r="34">
      <c r="A34" s="17" t="inlineStr">
        <is>
          <t>B24</t>
        </is>
      </c>
      <c r="B34" s="17" t="inlineStr">
        <is>
          <t>?expired=1 の案内を出す</t>
        </is>
      </c>
      <c r="C34" s="17" t="inlineStr">
        <is>
          <t>LoginPage.tsx:160</t>
        </is>
      </c>
    </row>
    <row r="35">
      <c r="A35" s="17" t="inlineStr">
        <is>
          <t>B25</t>
        </is>
      </c>
      <c r="B35" s="17" t="inlineStr">
        <is>
          <t>起動時の通信の失敗の様式①を出す（bootstrapFailed かつ閉じていない）</t>
        </is>
      </c>
      <c r="C35" s="17" t="inlineStr">
        <is>
          <t>LoginPage.tsx:162</t>
        </is>
      </c>
    </row>
    <row r="36">
      <c r="A36" s="17" t="inlineStr">
        <is>
          <t>B26</t>
        </is>
      </c>
      <c r="B36" s="17" t="inlineStr">
        <is>
          <t>パスワードを表示する（visible）</t>
        </is>
      </c>
      <c r="C36" s="17" t="inlineStr">
        <is>
          <t>LoginPage.tsx:208</t>
        </is>
      </c>
    </row>
    <row r="38">
      <c r="A38" s="14" t="inlineStr">
        <is>
          <t>確認事項・潜在バグ</t>
        </is>
      </c>
    </row>
    <row r="39" ht="30" customHeight="1">
      <c r="A39" s="18" t="inlineStr">
        <is>
          <t>・疑い 1：画面基本設計書 P201 の L09「あと N 回失敗すると 15 分ロックされます」（失敗が 3 回以上のとき、N=5−失敗回数）が実装されていない。LoginPage に失敗の回数を数える処理と文言がない。TC-UT_P201-013 は仕様どおり 3 回目の失敗の後にこの文言を期待するので、実施では NG になる見込み。ログインの API は残りの回数を返さないため、画面で数えるか API で返すかの決めも要る</t>
        </is>
      </c>
    </row>
    <row r="40" ht="30" customHeight="1">
      <c r="A40" s="18" t="inlineStr">
        <is>
          <t>・確認事項 1：submitLogin の送信中の再送の防止（LoginPage.tsx:104 の if (submitting) return）は、送信中は入力欄とボタンを disabled にするため画面の操作では通らない。TC-UT_P201-004 で、送信中に押せないことを確かめている</t>
        </is>
      </c>
    </row>
    <row r="41" ht="30" customHeight="1">
      <c r="A41" s="18" t="inlineStr">
        <is>
          <t>・確認事項 2：submitLogin で ApiError・NetworkError 以外の例外を様式①にする分岐（LoginPage.tsx:153）は、signIn（adminFetch）がこの2つしか投げないため通らない。B22-F（ApiError でも NetworkError でもない）はこの分岐のことで、理由は同じ</t>
        </is>
      </c>
    </row>
  </sheetData>
  <mergeCells count="3">
    <mergeCell ref="A40:C40"/>
    <mergeCell ref="A41:C41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2026-10-26T06:10:18Z</dcterms:created>
  <dcterms:modified xsi:type="dcterms:W3CDTF">2026-10-26T06:10:18Z</dcterms:modified>
</cp:coreProperties>
</file>