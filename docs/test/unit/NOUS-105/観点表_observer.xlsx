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点表" sheetId="1" state="visible" r:id="rId1"/>
    <sheet name="サマリ" sheetId="2" state="visible" r:id="rId2"/>
    <sheet name="テストデータ" sheetId="3" state="visible" r:id="rId3"/>
    <sheet name="対象概要" sheetId="4" state="visible" r:id="rId4"/>
  </sheets>
  <definedNames>
    <definedName name="_xlnm._FilterDatabase" localSheetId="0" hidden="1">'観点表'!$A$4:$Q$50</definedName>
    <definedName name="_xlnm.Print_Titles" localSheetId="0">'観点表'!$4:$4</definedName>
    <definedName name="_xlnm._FilterDatabase" localSheetId="2" hidden="1">'テストデータ'!$A$4:$F$50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i val="1"/>
      <color rgb="00595959"/>
      <sz val="9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2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5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11" customWidth="1" min="5" max="5"/>
    <col width="30" customWidth="1" min="6" max="6"/>
    <col width="32" customWidth="1" min="7" max="7"/>
    <col width="32" customWidth="1" min="8" max="8"/>
    <col width="13" customWidth="1" min="9" max="9"/>
    <col width="22" customWidth="1" min="10" max="10"/>
    <col width="30" customWidth="1" min="11" max="11"/>
    <col width="26" customWidth="1" min="12" max="12"/>
    <col width="30" customWidth="1" min="13" max="13"/>
    <col width="10" customWidth="1" min="14" max="14"/>
    <col width="11" customWidth="1" min="15" max="15"/>
    <col width="10" customWidth="1" min="16" max="16"/>
    <col width="30" customWidth="1" min="17" max="17"/>
  </cols>
  <sheetData>
    <row r="1">
      <c r="A1" s="1" t="inlineStr">
        <is>
          <t>テスト観点表: 観察サーバーの共通と招待（observer の observerServer・middleware・inviteRoutes・inviteService・context）</t>
        </is>
      </c>
    </row>
    <row r="2">
      <c r="A2" s="2" t="inlineStr">
        <is>
          <t>黄色の列（実施結果・実施日・確認者・備考）を記入してください。観点やテストデータを修正した場合は import_test_matrix.py で JSON に取り込めます。</t>
        </is>
      </c>
    </row>
    <row r="4" ht="28" customHeight="1">
      <c r="A4" s="3" t="inlineStr">
        <is>
          <t>No</t>
        </is>
      </c>
      <c r="B4" s="3" t="inlineStr">
        <is>
          <t>ID</t>
        </is>
      </c>
      <c r="C4" s="3" t="inlineStr">
        <is>
          <t>対象</t>
        </is>
      </c>
      <c r="D4" s="3" t="inlineStr">
        <is>
          <t>分類</t>
        </is>
      </c>
      <c r="E4" s="3" t="inlineStr">
        <is>
          <t>技法</t>
        </is>
      </c>
      <c r="F4" s="3" t="inlineStr">
        <is>
          <t>観点</t>
        </is>
      </c>
      <c r="G4" s="3" t="inlineStr">
        <is>
          <t>入力・前提条件</t>
        </is>
      </c>
      <c r="H4" s="3" t="inlineStr">
        <is>
          <t>期待結果</t>
        </is>
      </c>
      <c r="I4" s="3" t="inlineStr">
        <is>
          <t>網羅する分岐</t>
        </is>
      </c>
      <c r="J4" s="3" t="inlineStr">
        <is>
          <t>モック</t>
        </is>
      </c>
      <c r="K4" s="3" t="inlineStr">
        <is>
          <t>テストデータ（具体値）</t>
        </is>
      </c>
      <c r="L4" s="3" t="inlineStr">
        <is>
          <t>データ参照</t>
        </is>
      </c>
      <c r="M4" s="3" t="inlineStr">
        <is>
          <t>テスト関数名</t>
        </is>
      </c>
      <c r="N4" s="3" t="inlineStr">
        <is>
          <t>実施結果</t>
        </is>
      </c>
      <c r="O4" s="3" t="inlineStr">
        <is>
          <t>実施日</t>
        </is>
      </c>
      <c r="P4" s="3" t="inlineStr">
        <is>
          <t>確認者</t>
        </is>
      </c>
      <c r="Q4" s="3" t="inlineStr">
        <is>
          <t>備考</t>
        </is>
      </c>
    </row>
    <row r="5">
      <c r="A5" s="4" t="n">
        <v>1</v>
      </c>
      <c r="B5" s="4" t="inlineStr">
        <is>
          <t>TC-NOUS55_DEV-01</t>
        </is>
      </c>
      <c r="C5" s="5" t="inlineStr">
        <is>
          <t>isPrivateIPv4</t>
        </is>
      </c>
      <c r="D5" s="4" t="inlineStr">
        <is>
          <t>正常系</t>
        </is>
      </c>
      <c r="E5" s="4" t="inlineStr">
        <is>
          <t>開発者テスト</t>
        </is>
      </c>
      <c r="F5" s="5" t="inlineStr">
        <is>
          <t>私設 IPv4 と 127.0.0.0/8 は true</t>
        </is>
      </c>
      <c r="G5" s="5" t="inlineStr">
        <is>
          <t>前提：なし
入力：10.0.0.1・10.255.255.255・172.16.0.1・172.31.255.255・192.168.0.1・127.0.0.1</t>
        </is>
      </c>
      <c r="H5" s="5" t="inlineStr">
        <is>
          <t>true</t>
        </is>
      </c>
      <c r="I5" s="5" t="inlineStr">
        <is>
          <t>B1-F, B2-F, B3-T</t>
        </is>
      </c>
      <c r="J5" s="5" t="inlineStr">
        <is>
          <t>なし</t>
        </is>
      </c>
      <c r="K5" s="5" t="inlineStr"/>
      <c r="L5" s="5" t="inlineStr"/>
      <c r="M5" s="5" t="inlineStr">
        <is>
          <t>TC-NOUS55_DEV-01 私設 IPv4 と 127.0.0.0/8 は true</t>
        </is>
      </c>
      <c r="N5" s="6" t="inlineStr">
        <is>
          <t>未実施</t>
        </is>
      </c>
      <c r="O5" s="6" t="inlineStr"/>
      <c r="P5" s="6" t="inlineStr"/>
      <c r="Q5" s="7" t="inlineStr">
        <is>
          <t>既存テスト：実装時のテスト（NOUS-55）</t>
        </is>
      </c>
    </row>
    <row r="6">
      <c r="A6" s="4" t="n">
        <v>2</v>
      </c>
      <c r="B6" s="4" t="inlineStr">
        <is>
          <t>TC-NOUS55_DEV-02</t>
        </is>
      </c>
      <c r="C6" s="5" t="inlineStr">
        <is>
          <t>isPrivateIPv4</t>
        </is>
      </c>
      <c r="D6" s="4" t="inlineStr">
        <is>
          <t>異常系</t>
        </is>
      </c>
      <c r="E6" s="4" t="inlineStr">
        <is>
          <t>開発者テスト</t>
        </is>
      </c>
      <c r="F6" s="5" t="inlineStr">
        <is>
          <t>公開のアドレス・範囲の境界の外・IPv6・不正な形は false</t>
        </is>
      </c>
      <c r="G6" s="5" t="inlineStr">
        <is>
          <t>前提：なし
入力：172.15.255.255・172.32.0.1・192.169.0.1・8.8.8.8・256.1.1.1・::1・fe80::1・空・192.168.1</t>
        </is>
      </c>
      <c r="H6" s="5" t="inlineStr">
        <is>
          <t>false</t>
        </is>
      </c>
      <c r="I6" s="5" t="inlineStr">
        <is>
          <t>B1-T, B2-T, B3-F</t>
        </is>
      </c>
      <c r="J6" s="5" t="inlineStr">
        <is>
          <t>なし</t>
        </is>
      </c>
      <c r="K6" s="5" t="inlineStr"/>
      <c r="L6" s="5" t="inlineStr"/>
      <c r="M6" s="5" t="inlineStr">
        <is>
          <t>TC-NOUS55_DEV-02 公開のアドレス・範囲の境界の外・IPv6・不正な形は false</t>
        </is>
      </c>
      <c r="N6" s="6" t="inlineStr">
        <is>
          <t>未実施</t>
        </is>
      </c>
      <c r="O6" s="6" t="inlineStr"/>
      <c r="P6" s="6" t="inlineStr"/>
      <c r="Q6" s="7" t="inlineStr">
        <is>
          <t>既存テスト：実装時のテスト（NOUS-55）</t>
        </is>
      </c>
    </row>
    <row r="7">
      <c r="A7" s="4" t="n">
        <v>3</v>
      </c>
      <c r="B7" s="4" t="inlineStr">
        <is>
          <t>TC-NOUS55_DEV-03</t>
        </is>
      </c>
      <c r="C7" s="5" t="inlineStr">
        <is>
          <t>normalizeRemoteAddress</t>
        </is>
      </c>
      <c r="D7" s="4" t="inlineStr">
        <is>
          <t>正常系</t>
        </is>
      </c>
      <c r="E7" s="4" t="inlineStr">
        <is>
          <t>開発者テスト</t>
        </is>
      </c>
      <c r="F7" s="5" t="inlineStr">
        <is>
          <t>'::ffff:' の接頭辞を外す</t>
        </is>
      </c>
      <c r="G7" s="5" t="inlineStr">
        <is>
          <t>前提：なし
入力：::ffff:192.168.1.5、192.168.1.5</t>
        </is>
      </c>
      <c r="H7" s="5" t="inlineStr">
        <is>
          <t>どちらも 192.168.1.5</t>
        </is>
      </c>
      <c r="I7" s="5" t="inlineStr">
        <is>
          <t>B4-T, B4-F</t>
        </is>
      </c>
      <c r="J7" s="5" t="inlineStr">
        <is>
          <t>なし</t>
        </is>
      </c>
      <c r="K7" s="5" t="inlineStr"/>
      <c r="L7" s="5" t="inlineStr"/>
      <c r="M7" s="5" t="inlineStr">
        <is>
          <t>TC-NOUS55_DEV-03 '::ffff:' の接頭辞を外す</t>
        </is>
      </c>
      <c r="N7" s="6" t="inlineStr">
        <is>
          <t>未実施</t>
        </is>
      </c>
      <c r="O7" s="6" t="inlineStr"/>
      <c r="P7" s="6" t="inlineStr"/>
      <c r="Q7" s="7" t="inlineStr">
        <is>
          <t>既存テスト：実装時のテスト（NOUS-55）</t>
        </is>
      </c>
    </row>
    <row r="8">
      <c r="A8" s="4" t="n">
        <v>4</v>
      </c>
      <c r="B8" s="4" t="inlineStr">
        <is>
          <t>TC-NOUS55_DEV-04</t>
        </is>
      </c>
      <c r="C8" s="5" t="inlineStr">
        <is>
          <t>privateNetworkOnly</t>
        </is>
      </c>
      <c r="D8" s="4" t="inlineStr">
        <is>
          <t>異常系</t>
        </is>
      </c>
      <c r="E8" s="4" t="inlineStr">
        <is>
          <t>開発者テスト</t>
        </is>
      </c>
      <c r="F8" s="5" t="inlineStr">
        <is>
          <t>私設アドレス以外からは 403 FORBIDDEN_NETWORK（ヘッダーも付く）</t>
        </is>
      </c>
      <c r="G8" s="5" t="inlineStr">
        <is>
          <t>前提：なし
入力：GET /api/world、送信元 203.0.113.5</t>
        </is>
      </c>
      <c r="H8" s="5" t="inlineStr">
        <is>
          <t>403 FORBIDDEN_NETWORK、CSP が付く、warn に送信元</t>
        </is>
      </c>
      <c r="I8" s="5" t="inlineStr">
        <is>
          <t>B5-F, B6-T, B15-F, B18-T, B19-F</t>
        </is>
      </c>
      <c r="J8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8" s="5" t="inlineStr"/>
      <c r="L8" s="5" t="inlineStr"/>
      <c r="M8" s="5" t="inlineStr">
        <is>
          <t>TC-NOUS55_DEV-04 私設アドレス以外からは 403 FORBIDDEN_NETWORK（ヘッダーも付く）</t>
        </is>
      </c>
      <c r="N8" s="6" t="inlineStr">
        <is>
          <t>未実施</t>
        </is>
      </c>
      <c r="O8" s="6" t="inlineStr"/>
      <c r="P8" s="6" t="inlineStr"/>
      <c r="Q8" s="7" t="inlineStr">
        <is>
          <t>既存テスト：実装時のテスト（NOUS-55）</t>
        </is>
      </c>
    </row>
    <row r="9">
      <c r="A9" s="4" t="n">
        <v>5</v>
      </c>
      <c r="B9" s="4" t="inlineStr">
        <is>
          <t>TC-NOUS55_DEV-05</t>
        </is>
      </c>
      <c r="C9" s="5" t="inlineStr">
        <is>
          <t>privateNetworkOnly</t>
        </is>
      </c>
      <c r="D9" s="4" t="inlineStr">
        <is>
          <t>異常系</t>
        </is>
      </c>
      <c r="E9" s="4" t="inlineStr">
        <is>
          <t>開発者テスト</t>
        </is>
      </c>
      <c r="F9" s="5" t="inlineStr">
        <is>
          <t>送信元が分からない要求も 403</t>
        </is>
      </c>
      <c r="G9" s="5" t="inlineStr">
        <is>
          <t>前提：なし
入力：GET /api/world、env なし</t>
        </is>
      </c>
      <c r="H9" s="5" t="inlineStr">
        <is>
          <t>403</t>
        </is>
      </c>
      <c r="I9" s="5" t="inlineStr">
        <is>
          <t>B5-T, B6-T</t>
        </is>
      </c>
      <c r="J9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9" s="5" t="inlineStr"/>
      <c r="L9" s="5" t="inlineStr"/>
      <c r="M9" s="5" t="inlineStr">
        <is>
          <t>TC-NOUS55_DEV-05 送信元が分からない要求も 403</t>
        </is>
      </c>
      <c r="N9" s="6" t="inlineStr">
        <is>
          <t>未実施</t>
        </is>
      </c>
      <c r="O9" s="6" t="inlineStr"/>
      <c r="P9" s="6" t="inlineStr"/>
      <c r="Q9" s="7" t="inlineStr">
        <is>
          <t>既存テスト：実装時のテスト（NOUS-55）</t>
        </is>
      </c>
    </row>
    <row r="10">
      <c r="A10" s="4" t="n">
        <v>6</v>
      </c>
      <c r="B10" s="4" t="inlineStr">
        <is>
          <t>TC-NOUS55_DEV-06</t>
        </is>
      </c>
      <c r="C10" s="5" t="inlineStr">
        <is>
          <t>privateNetworkOnly</t>
        </is>
      </c>
      <c r="D10" s="4" t="inlineStr">
        <is>
          <t>正常系</t>
        </is>
      </c>
      <c r="E10" s="4" t="inlineStr">
        <is>
          <t>開発者テスト</t>
        </is>
      </c>
      <c r="F10" s="5" t="inlineStr">
        <is>
          <t>IPv4 射影の IPv6（::ffff:192.168.x.x）は通す</t>
        </is>
      </c>
      <c r="G10" s="5" t="inlineStr">
        <is>
          <t>前提：有効な招待
入力：GET /invite/:token、送信元 ::ffff:192.168.1.20</t>
        </is>
      </c>
      <c r="H10" s="5" t="inlineStr">
        <is>
          <t>302</t>
        </is>
      </c>
      <c r="I10" s="5" t="inlineStr">
        <is>
          <t>B4-T, B6-F</t>
        </is>
      </c>
      <c r="J10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10" s="5" t="inlineStr"/>
      <c r="L10" s="5" t="inlineStr"/>
      <c r="M10" s="5" t="inlineStr">
        <is>
          <t>TC-NOUS55_DEV-06 IPv4 射影の IPv6（::ffff:192.168.x.x）は通す</t>
        </is>
      </c>
      <c r="N10" s="6" t="inlineStr">
        <is>
          <t>未実施</t>
        </is>
      </c>
      <c r="O10" s="6" t="inlineStr"/>
      <c r="P10" s="6" t="inlineStr"/>
      <c r="Q10" s="7" t="inlineStr">
        <is>
          <t>既存テスト：実装時のテスト（NOUS-55）</t>
        </is>
      </c>
    </row>
    <row r="11">
      <c r="A11" s="4" t="n">
        <v>7</v>
      </c>
      <c r="B11" s="4" t="inlineStr">
        <is>
          <t>TC-NOUS55_DEV-07</t>
        </is>
      </c>
      <c r="C11" s="5" t="inlineStr">
        <is>
          <t>readOnly</t>
        </is>
      </c>
      <c r="D11" s="4" t="inlineStr">
        <is>
          <t>異常系</t>
        </is>
      </c>
      <c r="E11" s="4" t="inlineStr">
        <is>
          <t>開発者テスト</t>
        </is>
      </c>
      <c r="F11" s="5" t="inlineStr">
        <is>
          <t>GET・HEAD 以外は 405 WRITE_NOT_ALLOWED と Allow: GET, HEAD</t>
        </is>
      </c>
      <c r="G11" s="5" t="inlineStr">
        <is>
          <t>前提：なし
入力：POST・PUT・PATCH・DELETE /api/world</t>
        </is>
      </c>
      <c r="H11" s="5" t="inlineStr">
        <is>
          <t>405 WRITE_NOT_ALLOWED、Allow: GET, HEAD、nosniff</t>
        </is>
      </c>
      <c r="I11" s="5" t="inlineStr">
        <is>
          <t>B7-T, B18-T, B19-T</t>
        </is>
      </c>
      <c r="J11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11" s="5" t="inlineStr"/>
      <c r="L11" s="5" t="inlineStr"/>
      <c r="M11" s="5" t="inlineStr">
        <is>
          <t>TC-NOUS55_DEV-07 GET・HEAD 以外は 405 WRITE_NOT_ALLOWED と Allow: GET, HEAD</t>
        </is>
      </c>
      <c r="N11" s="6" t="inlineStr">
        <is>
          <t>未実施</t>
        </is>
      </c>
      <c r="O11" s="6" t="inlineStr"/>
      <c r="P11" s="6" t="inlineStr"/>
      <c r="Q11" s="7" t="inlineStr">
        <is>
          <t>既存テスト：実装時のテスト（NOUS-55）</t>
        </is>
      </c>
    </row>
    <row r="12">
      <c r="A12" s="4" t="n">
        <v>8</v>
      </c>
      <c r="B12" s="4" t="inlineStr">
        <is>
          <t>TC-NOUS55_DEV-08</t>
        </is>
      </c>
      <c r="C12" s="5" t="inlineStr">
        <is>
          <t>readOnly</t>
        </is>
      </c>
      <c r="D12" s="4" t="inlineStr">
        <is>
          <t>正常系</t>
        </is>
      </c>
      <c r="E12" s="4" t="inlineStr">
        <is>
          <t>開発者テスト</t>
        </is>
      </c>
      <c r="F12" s="5" t="inlineStr">
        <is>
          <t>HEAD は 405 にしない</t>
        </is>
      </c>
      <c r="G12" s="5" t="inlineStr">
        <is>
          <t>前提：有効な招待
入力：HEAD /invite/:token</t>
        </is>
      </c>
      <c r="H12" s="5" t="inlineStr">
        <is>
          <t>405 でない</t>
        </is>
      </c>
      <c r="I12" s="5" t="inlineStr">
        <is>
          <t>B7-F</t>
        </is>
      </c>
      <c r="J12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12" s="5" t="inlineStr"/>
      <c r="L12" s="5" t="inlineStr"/>
      <c r="M12" s="5" t="inlineStr">
        <is>
          <t>TC-NOUS55_DEV-08 HEAD は 405 にしない</t>
        </is>
      </c>
      <c r="N12" s="6" t="inlineStr">
        <is>
          <t>未実施</t>
        </is>
      </c>
      <c r="O12" s="6" t="inlineStr"/>
      <c r="P12" s="6" t="inlineStr"/>
      <c r="Q12" s="7" t="inlineStr">
        <is>
          <t>既存テスト：実装時のテスト（NOUS-55）
確認事項 1 を参照</t>
        </is>
      </c>
    </row>
    <row r="13">
      <c r="A13" s="4" t="n">
        <v>9</v>
      </c>
      <c r="B13" s="4" t="inlineStr">
        <is>
          <t>TC-NOUS55_DEV-09</t>
        </is>
      </c>
      <c r="C13" s="5" t="inlineStr">
        <is>
          <t>securityHeaders</t>
        </is>
      </c>
      <c r="D13" s="4" t="inlineStr">
        <is>
          <t>正常系</t>
        </is>
      </c>
      <c r="E13" s="4" t="inlineStr">
        <is>
          <t>開発者テスト</t>
        </is>
      </c>
      <c r="F13" s="5" t="inlineStr">
        <is>
          <t>応答に CSP・nosniff・no-referrer が付く</t>
        </is>
      </c>
      <c r="G13" s="5" t="inlineStr">
        <is>
          <t>前提：有効な招待
入力：GET /invite/:token</t>
        </is>
      </c>
      <c r="H13" s="5" t="inlineStr">
        <is>
          <t>CSP・nosniff・no-referrer が設計の値で付く</t>
        </is>
      </c>
      <c r="I13" s="5" t="inlineStr">
        <is>
          <t>B6-F, B7-F</t>
        </is>
      </c>
      <c r="J13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13" s="5" t="inlineStr"/>
      <c r="L13" s="5" t="inlineStr"/>
      <c r="M13" s="5" t="inlineStr">
        <is>
          <t>TC-NOUS55_DEV-09 応答に CSP・nosniff・no-referrer が付く</t>
        </is>
      </c>
      <c r="N13" s="6" t="inlineStr">
        <is>
          <t>未実施</t>
        </is>
      </c>
      <c r="O13" s="6" t="inlineStr"/>
      <c r="P13" s="6" t="inlineStr"/>
      <c r="Q13" s="7" t="inlineStr">
        <is>
          <t>既存テスト：実装時のテスト（NOUS-55）</t>
        </is>
      </c>
    </row>
    <row r="14">
      <c r="A14" s="4" t="n">
        <v>10</v>
      </c>
      <c r="B14" s="4" t="inlineStr">
        <is>
          <t>TC-NOUS55_DEV-10</t>
        </is>
      </c>
      <c r="C14" s="5" t="inlineStr">
        <is>
          <t>inviteHandler / acceptInvite</t>
        </is>
      </c>
      <c r="D14" s="4" t="inlineStr">
        <is>
          <t>正常系</t>
        </is>
      </c>
      <c r="E14" s="4" t="inlineStr">
        <is>
          <t>開発者テスト</t>
        </is>
      </c>
      <c r="F14" s="5" t="inlineStr">
        <is>
          <t>有効な招待は Cookie を発行して / へ。last_used_at と allowed の記録が残る</t>
        </is>
      </c>
      <c r="G14" s="5" t="inlineStr">
        <is>
          <t>前提：有効な招待、時計を 60 秒進める
入力：GET /invite/:token</t>
        </is>
      </c>
      <c r="H14" s="5" t="inlineStr">
        <is>
          <t>302 /、Set-Cookie（aisns_view・Max-Age=15552000・Path=/・HttpOnly・SameSite=Lax）、last_used_at、allowed の記録</t>
        </is>
      </c>
      <c r="I14" s="5" t="inlineStr">
        <is>
          <t>B12-T, B14-F</t>
        </is>
      </c>
      <c r="J14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14" s="5" t="inlineStr"/>
      <c r="L14" s="5" t="inlineStr"/>
      <c r="M14" s="5" t="inlineStr">
        <is>
          <t>TC-NOUS55_DEV-10 有効な招待は Cookie を発行して / へ。last_used_at と allowed の記録が残る</t>
        </is>
      </c>
      <c r="N14" s="6" t="inlineStr">
        <is>
          <t>未実施</t>
        </is>
      </c>
      <c r="O14" s="6" t="inlineStr"/>
      <c r="P14" s="6" t="inlineStr"/>
      <c r="Q14" s="7" t="inlineStr">
        <is>
          <t>既存テスト：実装時のテスト（NOUS-55）</t>
        </is>
      </c>
    </row>
    <row r="15">
      <c r="A15" s="4" t="n">
        <v>11</v>
      </c>
      <c r="B15" s="4" t="inlineStr">
        <is>
          <t>TC-NOUS55_DEV-11</t>
        </is>
      </c>
      <c r="C15" s="5" t="inlineStr">
        <is>
          <t>inviteHandler / acceptInvite</t>
        </is>
      </c>
      <c r="D15" s="4" t="inlineStr">
        <is>
          <t>異常系</t>
        </is>
      </c>
      <c r="E15" s="4" t="inlineStr">
        <is>
          <t>開発者テスト</t>
        </is>
      </c>
      <c r="F15" s="5" t="inlineStr">
        <is>
          <t>失効した招待は /not-invited へ。Cookie なし、denied に invitation_id を残す</t>
        </is>
      </c>
      <c r="G15" s="5" t="inlineStr">
        <is>
          <t>前提：失効した招待
入力：GET /invite/:token</t>
        </is>
      </c>
      <c r="H15" s="5" t="inlineStr">
        <is>
          <t>302 /not-invited、Cookie なし、denied（invitation_id あり）、last_used_at は NULL</t>
        </is>
      </c>
      <c r="I15" s="5" t="inlineStr">
        <is>
          <t>B11-T, B12-F, B13-F, B14-T</t>
        </is>
      </c>
      <c r="J15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15" s="5" t="inlineStr"/>
      <c r="L15" s="5" t="inlineStr"/>
      <c r="M15" s="5" t="inlineStr">
        <is>
          <t>TC-NOUS55_DEV-11 失効した招待は /not-invited へ。Cookie なし、denied に invitation_id を残す</t>
        </is>
      </c>
      <c r="N15" s="6" t="inlineStr">
        <is>
          <t>未実施</t>
        </is>
      </c>
      <c r="O15" s="6" t="inlineStr"/>
      <c r="P15" s="6" t="inlineStr"/>
      <c r="Q15" s="7" t="inlineStr">
        <is>
          <t>既存テスト：実装時のテスト（NOUS-55）</t>
        </is>
      </c>
    </row>
    <row r="16">
      <c r="A16" s="4" t="n">
        <v>12</v>
      </c>
      <c r="B16" s="4" t="inlineStr">
        <is>
          <t>TC-NOUS55_DEV-12</t>
        </is>
      </c>
      <c r="C16" s="5" t="inlineStr">
        <is>
          <t>inviteHandler / acceptInvite</t>
        </is>
      </c>
      <c r="D16" s="4" t="inlineStr">
        <is>
          <t>異常系</t>
        </is>
      </c>
      <c r="E16" s="4" t="inlineStr">
        <is>
          <t>開発者テスト</t>
        </is>
      </c>
      <c r="F16" s="5" t="inlineStr">
        <is>
          <t>存在しない招待は /not-invited へ。denied の invitation_id は NULL</t>
        </is>
      </c>
      <c r="G16" s="5" t="inlineStr">
        <is>
          <t>前提：なし
入力：存在しないトークン</t>
        </is>
      </c>
      <c r="H16" s="5" t="inlineStr">
        <is>
          <t>302 /not-invited、denied（invitation_id は NULL）</t>
        </is>
      </c>
      <c r="I16" s="5" t="inlineStr">
        <is>
          <t>B11-T, B14-T</t>
        </is>
      </c>
      <c r="J16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16" s="5" t="inlineStr"/>
      <c r="L16" s="5" t="inlineStr"/>
      <c r="M16" s="5" t="inlineStr">
        <is>
          <t>TC-NOUS55_DEV-12 存在しない招待は /not-invited へ。denied の invitation_id は NULL</t>
        </is>
      </c>
      <c r="N16" s="6" t="inlineStr">
        <is>
          <t>未実施</t>
        </is>
      </c>
      <c r="O16" s="6" t="inlineStr"/>
      <c r="P16" s="6" t="inlineStr"/>
      <c r="Q16" s="7" t="inlineStr">
        <is>
          <t>既存テスト：実装時のテスト（NOUS-55）</t>
        </is>
      </c>
    </row>
    <row r="17">
      <c r="A17" s="4" t="n">
        <v>13</v>
      </c>
      <c r="B17" s="4" t="inlineStr">
        <is>
          <t>TC-NOUS55_DEV-13</t>
        </is>
      </c>
      <c r="C17" s="5" t="inlineStr">
        <is>
          <t>inviteHandler / acceptInvite</t>
        </is>
      </c>
      <c r="D17" s="4" t="inlineStr">
        <is>
          <t>異常系</t>
        </is>
      </c>
      <c r="E17" s="4" t="inlineStr">
        <is>
          <t>開発者テスト</t>
        </is>
      </c>
      <c r="F17" s="5" t="inlineStr">
        <is>
          <t>形の不正なトークンは照合せずに /not-invited へ</t>
        </is>
      </c>
      <c r="G17" s="5" t="inlineStr">
        <is>
          <t>前提：なし
入力：short、42 字＋「+」、44 字</t>
        </is>
      </c>
      <c r="H17" s="5" t="inlineStr">
        <is>
          <t>302 /not-invited、denied（invitation_id は NULL）</t>
        </is>
      </c>
      <c r="I17" s="5" t="inlineStr">
        <is>
          <t>B10-T, B14-T</t>
        </is>
      </c>
      <c r="J17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17" s="5" t="inlineStr"/>
      <c r="L17" s="5" t="inlineStr"/>
      <c r="M17" s="5" t="inlineStr">
        <is>
          <t>TC-NOUS55_DEV-13 形の不正なトークンは照合せずに /not-invited へ</t>
        </is>
      </c>
      <c r="N17" s="6" t="inlineStr">
        <is>
          <t>未実施</t>
        </is>
      </c>
      <c r="O17" s="6" t="inlineStr"/>
      <c r="P17" s="6" t="inlineStr"/>
      <c r="Q17" s="7" t="inlineStr">
        <is>
          <t>既存テスト：実装時のテスト（NOUS-55）</t>
        </is>
      </c>
    </row>
    <row r="18">
      <c r="A18" s="4" t="n">
        <v>14</v>
      </c>
      <c r="B18" s="4" t="inlineStr">
        <is>
          <t>TC-NOUS55_DEV-14</t>
        </is>
      </c>
      <c r="C18" s="5" t="inlineStr">
        <is>
          <t>inviteHandler</t>
        </is>
      </c>
      <c r="D18" s="4" t="inlineStr">
        <is>
          <t>異常系</t>
        </is>
      </c>
      <c r="E18" s="4" t="inlineStr">
        <is>
          <t>開発者テスト</t>
        </is>
      </c>
      <c r="F18" s="5" t="inlineStr">
        <is>
          <t>失敗の理由（なし・失効・形）で応答を区別しない</t>
        </is>
      </c>
      <c r="G18" s="5" t="inlineStr">
        <is>
          <t>前提：失効した招待
入力：失効・存在しない・形の不正</t>
        </is>
      </c>
      <c r="H18" s="5" t="inlineStr">
        <is>
          <t>どれも 302 /not-invited で本文は空（理由を区別しない）</t>
        </is>
      </c>
      <c r="I18" s="5" t="inlineStr">
        <is>
          <t>B14-T</t>
        </is>
      </c>
      <c r="J18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18" s="5" t="inlineStr"/>
      <c r="L18" s="5" t="inlineStr"/>
      <c r="M18" s="5" t="inlineStr">
        <is>
          <t>TC-NOUS55_DEV-14 失敗の理由（なし・失効・形）で応答を区別しない</t>
        </is>
      </c>
      <c r="N18" s="6" t="inlineStr">
        <is>
          <t>未実施</t>
        </is>
      </c>
      <c r="O18" s="6" t="inlineStr"/>
      <c r="P18" s="6" t="inlineStr"/>
      <c r="Q18" s="7" t="inlineStr">
        <is>
          <t>既存テスト：実装時のテスト（NOUS-55）</t>
        </is>
      </c>
    </row>
    <row r="19">
      <c r="A19" s="4" t="n">
        <v>15</v>
      </c>
      <c r="B19" s="4" t="inlineStr">
        <is>
          <t>TC-NOUS55_DEV-15</t>
        </is>
      </c>
      <c r="C19" s="5" t="inlineStr">
        <is>
          <t>requireViewer</t>
        </is>
      </c>
      <c r="D19" s="4" t="inlineStr">
        <is>
          <t>異常系</t>
        </is>
      </c>
      <c r="E19" s="4" t="inlineStr">
        <is>
          <t>開発者テスト</t>
        </is>
      </c>
      <c r="F19" s="5" t="inlineStr">
        <is>
          <t>Cookie のない /api/* は 401 VIEW_NOT_INVITED</t>
        </is>
      </c>
      <c r="G19" s="5" t="inlineStr">
        <is>
          <t>前提：なし
入力：GET /api/world、Cookie なし</t>
        </is>
      </c>
      <c r="H19" s="5" t="inlineStr">
        <is>
          <t>401 VIEW_NOT_INVITED</t>
        </is>
      </c>
      <c r="I19" s="5" t="inlineStr">
        <is>
          <t>B8-T</t>
        </is>
      </c>
      <c r="J19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19" s="5" t="inlineStr"/>
      <c r="L19" s="5" t="inlineStr"/>
      <c r="M19" s="5" t="inlineStr">
        <is>
          <t>TC-NOUS55_DEV-15 Cookie のない /api/* は 401 VIEW_NOT_INVITED</t>
        </is>
      </c>
      <c r="N19" s="6" t="inlineStr">
        <is>
          <t>未実施</t>
        </is>
      </c>
      <c r="O19" s="6" t="inlineStr"/>
      <c r="P19" s="6" t="inlineStr"/>
      <c r="Q19" s="7" t="inlineStr">
        <is>
          <t>既存テスト：実装時のテスト（NOUS-55）</t>
        </is>
      </c>
    </row>
    <row r="20">
      <c r="A20" s="4" t="n">
        <v>16</v>
      </c>
      <c r="B20" s="4" t="inlineStr">
        <is>
          <t>TC-NOUS55_DEV-16</t>
        </is>
      </c>
      <c r="C20" s="5" t="inlineStr">
        <is>
          <t>requireViewer</t>
        </is>
      </c>
      <c r="D20" s="4" t="inlineStr">
        <is>
          <t>異常系</t>
        </is>
      </c>
      <c r="E20" s="4" t="inlineStr">
        <is>
          <t>開発者テスト</t>
        </is>
      </c>
      <c r="F20" s="5" t="inlineStr">
        <is>
          <t>失効した招待の Cookie の /api/* は 401</t>
        </is>
      </c>
      <c r="G20" s="5" t="inlineStr">
        <is>
          <t>前提：失効した招待
入力：GET /api/world、失効したトークンの Cookie</t>
        </is>
      </c>
      <c r="H20" s="5" t="inlineStr">
        <is>
          <t>401</t>
        </is>
      </c>
      <c r="I20" s="5" t="inlineStr">
        <is>
          <t>B9-T, B11-T</t>
        </is>
      </c>
      <c r="J20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20" s="5" t="inlineStr"/>
      <c r="L20" s="5" t="inlineStr"/>
      <c r="M20" s="5" t="inlineStr">
        <is>
          <t>TC-NOUS55_DEV-16 失効した招待の Cookie の /api/* は 401</t>
        </is>
      </c>
      <c r="N20" s="6" t="inlineStr">
        <is>
          <t>未実施</t>
        </is>
      </c>
      <c r="O20" s="6" t="inlineStr"/>
      <c r="P20" s="6" t="inlineStr"/>
      <c r="Q20" s="7" t="inlineStr">
        <is>
          <t>既存テスト：実装時のテスト（NOUS-55）</t>
        </is>
      </c>
    </row>
    <row r="21">
      <c r="A21" s="4" t="n">
        <v>17</v>
      </c>
      <c r="B21" s="4" t="inlineStr">
        <is>
          <t>TC-NOUS55_DEV-17</t>
        </is>
      </c>
      <c r="C21" s="5" t="inlineStr">
        <is>
          <t>requireViewer</t>
        </is>
      </c>
      <c r="D21" s="4" t="inlineStr">
        <is>
          <t>正常系</t>
        </is>
      </c>
      <c r="E21" s="4" t="inlineStr">
        <is>
          <t>開発者テスト</t>
        </is>
      </c>
      <c r="F21" s="5" t="inlineStr">
        <is>
          <t>有効な Cookie の /api/* は requireViewer を通る（API は NOUS-56 なので 404）</t>
        </is>
      </c>
      <c r="G21" s="5" t="inlineStr">
        <is>
          <t>前提：有効な招待
入力：GET /api/world、有効な Cookie</t>
        </is>
      </c>
      <c r="H21" s="5" t="inlineStr">
        <is>
          <t>requireViewer を通る（実装時は API がなく 404）</t>
        </is>
      </c>
      <c r="I21" s="5" t="inlineStr">
        <is>
          <t>B8-F, B9-F</t>
        </is>
      </c>
      <c r="J21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21" s="5" t="inlineStr"/>
      <c r="L21" s="5" t="inlineStr"/>
      <c r="M21" s="5" t="inlineStr">
        <is>
          <t>TC-NOUS55_DEV-17 有効な Cookie の /api/* は requireViewer を通る（API は NOUS-56 なので 404）</t>
        </is>
      </c>
      <c r="N21" s="6" t="inlineStr">
        <is>
          <t>未実施</t>
        </is>
      </c>
      <c r="O21" s="6" t="inlineStr"/>
      <c r="P21" s="6" t="inlineStr"/>
      <c r="Q21" s="7" t="inlineStr">
        <is>
          <t>既存テスト：実装時のテスト（NOUS-55）
NOUS-56 の後は世界がないため 404 WORLD_NOT_FOUND になり、期待どおり 404 のまま</t>
        </is>
      </c>
    </row>
    <row r="22">
      <c r="A22" s="4" t="n">
        <v>18</v>
      </c>
      <c r="B22" s="4" t="inlineStr">
        <is>
          <t>TC-NOUS55_DEV-18</t>
        </is>
      </c>
      <c r="C22" s="5" t="inlineStr">
        <is>
          <t>maskPath / ログ</t>
        </is>
      </c>
      <c r="D22" s="4" t="inlineStr">
        <is>
          <t>正常系</t>
        </is>
      </c>
      <c r="E22" s="4" t="inlineStr">
        <is>
          <t>開発者テスト</t>
        </is>
      </c>
      <c r="F22" s="5" t="inlineStr">
        <is>
          <t>招待トークンと Cookie の値をログに出さない</t>
        </is>
      </c>
      <c r="G22" s="5" t="inlineStr">
        <is>
          <t>前提：有効と失効の招待
入力：/invite の受け付け・POST・失効した Cookie の閲覧</t>
        </is>
      </c>
      <c r="H22" s="5" t="inlineStr">
        <is>
          <t>ログにトークンも Cookie の値も出ない</t>
        </is>
      </c>
      <c r="I22" s="5" t="inlineStr">
        <is>
          <t>B20-T</t>
        </is>
      </c>
      <c r="J22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22" s="5" t="inlineStr"/>
      <c r="L22" s="5" t="inlineStr"/>
      <c r="M22" s="5" t="inlineStr">
        <is>
          <t>TC-NOUS55_DEV-18 招待トークンと Cookie の値をログに出さない</t>
        </is>
      </c>
      <c r="N22" s="6" t="inlineStr">
        <is>
          <t>未実施</t>
        </is>
      </c>
      <c r="O22" s="6" t="inlineStr"/>
      <c r="P22" s="6" t="inlineStr"/>
      <c r="Q22" s="7" t="inlineStr">
        <is>
          <t>既存テスト：実装時のテスト（NOUS-55）</t>
        </is>
      </c>
    </row>
    <row r="23">
      <c r="A23" s="4" t="n">
        <v>19</v>
      </c>
      <c r="B23" s="4" t="inlineStr">
        <is>
          <t>TC-NOUS55_DEV-19</t>
        </is>
      </c>
      <c r="C23" s="5" t="inlineStr">
        <is>
          <t>onError</t>
        </is>
      </c>
      <c r="D23" s="4" t="inlineStr">
        <is>
          <t>異常系</t>
        </is>
      </c>
      <c r="E23" s="4" t="inlineStr">
        <is>
          <t>開発者テスト</t>
        </is>
      </c>
      <c r="F23" s="5" t="inlineStr">
        <is>
          <t>想定外の例外は 500 INTERNAL_ERROR（ヘッダー付き）</t>
        </is>
      </c>
      <c r="G23" s="5" t="inlineStr">
        <is>
          <t>前提：DB を閉じる
入力：GET /api/world、有効な Cookie</t>
        </is>
      </c>
      <c r="H23" s="5" t="inlineStr">
        <is>
          <t>500 INTERNAL_ERROR、CSP が付く、error のログ</t>
        </is>
      </c>
      <c r="I23" s="5" t="inlineStr">
        <is>
          <t>B18-F</t>
        </is>
      </c>
      <c r="J23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23" s="5" t="inlineStr"/>
      <c r="L23" s="5" t="inlineStr"/>
      <c r="M23" s="5" t="inlineStr">
        <is>
          <t>TC-NOUS55_DEV-19 想定外の例外は 500 INTERNAL_ERROR（ヘッダー付き）</t>
        </is>
      </c>
      <c r="N23" s="6" t="inlineStr">
        <is>
          <t>未実施</t>
        </is>
      </c>
      <c r="O23" s="6" t="inlineStr"/>
      <c r="P23" s="6" t="inlineStr"/>
      <c r="Q23" s="7" t="inlineStr">
        <is>
          <t>既存テスト：実装時のテスト（NOUS-55）</t>
        </is>
      </c>
    </row>
    <row r="24">
      <c r="A24" s="4" t="n">
        <v>20</v>
      </c>
      <c r="B24" s="4" t="inlineStr">
        <is>
          <t>TC-NOUS55_DEV-20</t>
        </is>
      </c>
      <c r="C24" s="5" t="inlineStr">
        <is>
          <t>checkInvitation</t>
        </is>
      </c>
      <c r="D24" s="4" t="inlineStr">
        <is>
          <t>正常系</t>
        </is>
      </c>
      <c r="E24" s="4" t="inlineStr">
        <is>
          <t>開発者テスト</t>
        </is>
      </c>
      <c r="F24" s="5" t="inlineStr">
        <is>
          <t>checkInvitation は有効なら招待を、失効・なし・形の不正なら null を返す</t>
        </is>
      </c>
      <c r="G24" s="5" t="inlineStr">
        <is>
          <t>前提：招待 1 件
入力：有効・存在しない・short・失効</t>
        </is>
      </c>
      <c r="H24" s="5" t="inlineStr">
        <is>
          <t>有効なら招待、それ以外は null</t>
        </is>
      </c>
      <c r="I24" s="5" t="inlineStr">
        <is>
          <t>B10-T, B10-F, B11-T, B11-F</t>
        </is>
      </c>
      <c r="J24" s="5" t="inlineStr">
        <is>
          <t>一時 DB（createTestDb）</t>
        </is>
      </c>
      <c r="K24" s="5" t="inlineStr"/>
      <c r="L24" s="5" t="inlineStr"/>
      <c r="M24" s="5" t="inlineStr">
        <is>
          <t>TC-NOUS55_DEV-20 checkInvitation は有効なら招待を、失効・なし・形の不正なら null を返す</t>
        </is>
      </c>
      <c r="N24" s="6" t="inlineStr">
        <is>
          <t>未実施</t>
        </is>
      </c>
      <c r="O24" s="6" t="inlineStr"/>
      <c r="P24" s="6" t="inlineStr"/>
      <c r="Q24" s="7" t="inlineStr">
        <is>
          <t>既存テスト：実装時のテスト（NOUS-55）</t>
        </is>
      </c>
    </row>
    <row r="25">
      <c r="A25" s="4" t="n">
        <v>21</v>
      </c>
      <c r="B25" s="4" t="inlineStr">
        <is>
          <t>TC-NOUS55_DEV-21</t>
        </is>
      </c>
      <c r="C25" s="5" t="inlineStr">
        <is>
          <t>acceptInvite</t>
        </is>
      </c>
      <c r="D25" s="4" t="inlineStr">
        <is>
          <t>異常系</t>
        </is>
      </c>
      <c r="E25" s="4" t="inlineStr">
        <is>
          <t>開発者テスト</t>
        </is>
      </c>
      <c r="F25" s="5" t="inlineStr">
        <is>
          <t>acceptInvite は denied の記録に失敗しても ok: false を返す</t>
        </is>
      </c>
      <c r="G25" s="5" t="inlineStr">
        <is>
          <t>前提：view_access_logs を DROP
入力：存在しないトークン</t>
        </is>
      </c>
      <c r="H25" s="5" t="inlineStr">
        <is>
          <t>{ ok: false }、error のログ</t>
        </is>
      </c>
      <c r="I25" s="5" t="inlineStr">
        <is>
          <t>B13-T</t>
        </is>
      </c>
      <c r="J25" s="5" t="inlineStr">
        <is>
          <t>一時 DB（createTestDb）</t>
        </is>
      </c>
      <c r="K25" s="5" t="inlineStr"/>
      <c r="L25" s="5" t="inlineStr"/>
      <c r="M25" s="5" t="inlineStr">
        <is>
          <t>TC-NOUS55_DEV-21 acceptInvite は denied の記録に失敗しても ok: false を返す</t>
        </is>
      </c>
      <c r="N25" s="6" t="inlineStr">
        <is>
          <t>未実施</t>
        </is>
      </c>
      <c r="O25" s="6" t="inlineStr"/>
      <c r="P25" s="6" t="inlineStr"/>
      <c r="Q25" s="7" t="inlineStr">
        <is>
          <t>既存テスト：実装時のテスト（NOUS-55）</t>
        </is>
      </c>
    </row>
    <row r="26">
      <c r="A26" s="4" t="n">
        <v>22</v>
      </c>
      <c r="B26" s="4" t="inlineStr">
        <is>
          <t>TC-NOUS55_DEV-22</t>
        </is>
      </c>
      <c r="C26" s="5" t="inlineStr">
        <is>
          <t>createObserverApp（静的ファイル）</t>
        </is>
      </c>
      <c r="D26" s="4" t="inlineStr">
        <is>
          <t>正常系</t>
        </is>
      </c>
      <c r="E26" s="4" t="inlineStr">
        <is>
          <t>開発者テスト</t>
        </is>
      </c>
      <c r="F26" s="5" t="inlineStr">
        <is>
          <t>静的ファイルと /not-invited は Cookie なしで返す（SPA の index.html）</t>
        </is>
      </c>
      <c r="G26" s="5" t="inlineStr">
        <is>
          <t>前提：一時ディレクトリに index.html と app.js
入力：GET /app.js、GET /not-invited</t>
        </is>
      </c>
      <c r="H26" s="5" t="inlineStr">
        <is>
          <t>200（app.js の中身、/not-invited は index.html）、CSP が付く</t>
        </is>
      </c>
      <c r="I26" s="5" t="inlineStr">
        <is>
          <t>B15-T, B16-T, B17-F</t>
        </is>
      </c>
      <c r="J26" s="5" t="inlineStr">
        <is>
          <t>静的ファイルは mkdtemp の一時ディレクトリ</t>
        </is>
      </c>
      <c r="K26" s="5" t="inlineStr"/>
      <c r="L26" s="5" t="inlineStr"/>
      <c r="M26" s="5" t="inlineStr">
        <is>
          <t>TC-NOUS55_DEV-22 静的ファイルと /not-invited は Cookie なしで返す（SPA の index.html）</t>
        </is>
      </c>
      <c r="N26" s="6" t="inlineStr">
        <is>
          <t>未実施</t>
        </is>
      </c>
      <c r="O26" s="6" t="inlineStr"/>
      <c r="P26" s="6" t="inlineStr"/>
      <c r="Q26" s="7" t="inlineStr">
        <is>
          <t>既存テスト：実装時のテスト（NOUS-55）</t>
        </is>
      </c>
    </row>
    <row r="27">
      <c r="A27" s="4" t="n">
        <v>23</v>
      </c>
      <c r="B27" s="4" t="inlineStr">
        <is>
          <t>TC-NOUS55_DEV-23</t>
        </is>
      </c>
      <c r="C27" s="5" t="inlineStr">
        <is>
          <t>createObserverApp（静的ファイル）</t>
        </is>
      </c>
      <c r="D27" s="4" t="inlineStr">
        <is>
          <t>異常系</t>
        </is>
      </c>
      <c r="E27" s="4" t="inlineStr">
        <is>
          <t>開発者テスト</t>
        </is>
      </c>
      <c r="F27" s="5" t="inlineStr">
        <is>
          <t>/api/* は index.html に落とさない</t>
        </is>
      </c>
      <c r="G27" s="5" t="inlineStr">
        <is>
          <t>前提：DEV-22 と同じ
入力：GET /api/unknown、Cookie なし</t>
        </is>
      </c>
      <c r="H27" s="5" t="inlineStr">
        <is>
          <t>401（index.html に落とさない）</t>
        </is>
      </c>
      <c r="I27" s="5" t="inlineStr">
        <is>
          <t>B17-T, B8-T</t>
        </is>
      </c>
      <c r="J27" s="5" t="inlineStr">
        <is>
          <t>静的ファイルは mkdtemp の一時ディレクトリ</t>
        </is>
      </c>
      <c r="K27" s="5" t="inlineStr"/>
      <c r="L27" s="5" t="inlineStr"/>
      <c r="M27" s="5" t="inlineStr">
        <is>
          <t>TC-NOUS55_DEV-23 /api/* は index.html に落とさない</t>
        </is>
      </c>
      <c r="N27" s="6" t="inlineStr">
        <is>
          <t>未実施</t>
        </is>
      </c>
      <c r="O27" s="6" t="inlineStr"/>
      <c r="P27" s="6" t="inlineStr"/>
      <c r="Q27" s="7" t="inlineStr">
        <is>
          <t>既存テスト：実装時のテスト（NOUS-55）</t>
        </is>
      </c>
    </row>
    <row r="28">
      <c r="A28" s="4" t="n">
        <v>24</v>
      </c>
      <c r="B28" s="4" t="inlineStr">
        <is>
          <t>TC-UT_OBS-001</t>
        </is>
      </c>
      <c r="C28" s="5" t="inlineStr">
        <is>
          <t>isPrivateIPv4</t>
        </is>
      </c>
      <c r="D28" s="4" t="inlineStr">
        <is>
          <t>正常系</t>
        </is>
      </c>
      <c r="E28" s="4" t="inlineStr">
        <is>
          <t>境界値</t>
        </is>
      </c>
      <c r="F28" s="5" t="inlineStr">
        <is>
          <t>私設アドレスの範囲の端は true</t>
        </is>
      </c>
      <c r="G28" s="5" t="inlineStr">
        <is>
          <t>前提：なし
入力：10.0.0.0・172.16.0.0・192.168.255.255・127.255.255.255</t>
        </is>
      </c>
      <c r="H28" s="5" t="inlineStr">
        <is>
          <t>true</t>
        </is>
      </c>
      <c r="I28" s="5" t="inlineStr">
        <is>
          <t>B1-F, B2-F, B3-T</t>
        </is>
      </c>
      <c r="J28" s="5" t="inlineStr">
        <is>
          <t>なし</t>
        </is>
      </c>
      <c r="K28" s="5" t="inlineStr"/>
      <c r="L28" s="5" t="inlineStr"/>
      <c r="M28" s="5" t="inlineStr">
        <is>
          <t>TC-UT_OBS-001 私設アドレスの範囲の端は true</t>
        </is>
      </c>
      <c r="N28" s="6" t="inlineStr">
        <is>
          <t>未実施</t>
        </is>
      </c>
      <c r="O28" s="6" t="inlineStr"/>
      <c r="P28" s="6" t="inlineStr"/>
      <c r="Q28" s="7" t="inlineStr">
        <is>
          <t>既存テスト：一部 TC-NOUS55_DEV-01（範囲の内側の代表値だけ）
it.each の 4 行を 1 件として数える</t>
        </is>
      </c>
    </row>
    <row r="29">
      <c r="A29" s="4" t="n">
        <v>25</v>
      </c>
      <c r="B29" s="4" t="inlineStr">
        <is>
          <t>TC-UT_OBS-002</t>
        </is>
      </c>
      <c r="C29" s="5" t="inlineStr">
        <is>
          <t>isPrivateIPv4</t>
        </is>
      </c>
      <c r="D29" s="4" t="inlineStr">
        <is>
          <t>異常系</t>
        </is>
      </c>
      <c r="E29" s="4" t="inlineStr">
        <is>
          <t>境界値</t>
        </is>
      </c>
      <c r="F29" s="5" t="inlineStr">
        <is>
          <t>私設アドレスの範囲のすぐ外は false</t>
        </is>
      </c>
      <c r="G29" s="5" t="inlineStr">
        <is>
          <t>前提：なし
入力：9.255.255.255・11.0.0.0・126.255.255.255・128.0.0.1・192.167.255.255</t>
        </is>
      </c>
      <c r="H29" s="5" t="inlineStr">
        <is>
          <t>false</t>
        </is>
      </c>
      <c r="I29" s="5" t="inlineStr">
        <is>
          <t>B3-F</t>
        </is>
      </c>
      <c r="J29" s="5" t="inlineStr">
        <is>
          <t>なし</t>
        </is>
      </c>
      <c r="K29" s="5" t="inlineStr"/>
      <c r="L29" s="5" t="inlineStr"/>
      <c r="M29" s="5" t="inlineStr">
        <is>
          <t>TC-UT_OBS-002 私設アドレスの範囲のすぐ外は false</t>
        </is>
      </c>
      <c r="N29" s="6" t="inlineStr">
        <is>
          <t>未実施</t>
        </is>
      </c>
      <c r="O29" s="6" t="inlineStr"/>
      <c r="P29" s="6" t="inlineStr"/>
      <c r="Q29" s="7" t="inlineStr">
        <is>
          <t>既存テスト：一部 TC-NOUS55_DEV-02（172.x と 192.169 だけ）</t>
        </is>
      </c>
    </row>
    <row r="30">
      <c r="A30" s="4" t="n">
        <v>26</v>
      </c>
      <c r="B30" s="4" t="inlineStr">
        <is>
          <t>TC-UT_OBS-003</t>
        </is>
      </c>
      <c r="C30" s="5" t="inlineStr">
        <is>
          <t>isPrivateIPv4</t>
        </is>
      </c>
      <c r="D30" s="4" t="inlineStr">
        <is>
          <t>異常系</t>
        </is>
      </c>
      <c r="E30" s="4" t="inlineStr">
        <is>
          <t>境界値</t>
        </is>
      </c>
      <c r="F30" s="5" t="inlineStr">
        <is>
          <t>オクテットは 255 までが有効で、256 は false（最後のオクテット）</t>
        </is>
      </c>
      <c r="G30" s="5" t="inlineStr">
        <is>
          <t>前提：なし
入力：10.255.255.255、10.255.255.256</t>
        </is>
      </c>
      <c r="H30" s="5" t="inlineStr">
        <is>
          <t>前者は true、後者は false</t>
        </is>
      </c>
      <c r="I30" s="5" t="inlineStr">
        <is>
          <t>B2-F, B2-T</t>
        </is>
      </c>
      <c r="J30" s="5" t="inlineStr">
        <is>
          <t>なし</t>
        </is>
      </c>
      <c r="K30" s="5" t="inlineStr"/>
      <c r="L30" s="5" t="inlineStr"/>
      <c r="M30" s="5" t="inlineStr">
        <is>
          <t>TC-UT_OBS-003 オクテットは 255 までが有効で、256 は false（最後のオクテット）</t>
        </is>
      </c>
      <c r="N30" s="6" t="inlineStr">
        <is>
          <t>未実施</t>
        </is>
      </c>
      <c r="O30" s="6" t="inlineStr"/>
      <c r="P30" s="6" t="inlineStr"/>
      <c r="Q30" s="7" t="inlineStr">
        <is>
          <t>既存テスト：一部 TC-NOUS55_DEV-02（最初のオクテットの 256 だけ）</t>
        </is>
      </c>
    </row>
    <row r="31">
      <c r="A31" s="4" t="n">
        <v>27</v>
      </c>
      <c r="B31" s="4" t="inlineStr">
        <is>
          <t>TC-UT_OBS-004</t>
        </is>
      </c>
      <c r="C31" s="5" t="inlineStr">
        <is>
          <t>isPrivateIPv4</t>
        </is>
      </c>
      <c r="D31" s="4" t="inlineStr">
        <is>
          <t>異常系</t>
        </is>
      </c>
      <c r="E31" s="4" t="inlineStr">
        <is>
          <t>同値分割</t>
        </is>
      </c>
      <c r="F31" s="5" t="inlineStr">
        <is>
          <t>IPv4 の形でないもの（4 桁・末尾のドット・前後の空白・英字）は false</t>
        </is>
      </c>
      <c r="G31" s="5" t="inlineStr">
        <is>
          <t>前提：なし
入力：10.0.0.1000・10.0.0.1.・前後の空白・10.0.0.x</t>
        </is>
      </c>
      <c r="H31" s="5" t="inlineStr">
        <is>
          <t>false</t>
        </is>
      </c>
      <c r="I31" s="5" t="inlineStr">
        <is>
          <t>B1-T</t>
        </is>
      </c>
      <c r="J31" s="5" t="inlineStr">
        <is>
          <t>なし</t>
        </is>
      </c>
      <c r="K31" s="5" t="inlineStr"/>
      <c r="L31" s="5" t="inlineStr"/>
      <c r="M31" s="5" t="inlineStr">
        <is>
          <t>TC-UT_OBS-004 IPv4 の形でないもの（4 桁・末尾のドット・前後の空白・英字）は false</t>
        </is>
      </c>
      <c r="N31" s="6" t="inlineStr">
        <is>
          <t>未実施</t>
        </is>
      </c>
      <c r="O31" s="6" t="inlineStr"/>
      <c r="P31" s="6" t="inlineStr"/>
      <c r="Q31" s="7" t="inlineStr">
        <is>
          <t>既存テスト：一部 TC-NOUS55_DEV-02（3 つ組・空・IPv6 だけ）</t>
        </is>
      </c>
    </row>
    <row r="32">
      <c r="A32" s="4" t="n">
        <v>28</v>
      </c>
      <c r="B32" s="4" t="inlineStr">
        <is>
          <t>TC-UT_OBS-005</t>
        </is>
      </c>
      <c r="C32" s="5" t="inlineStr">
        <is>
          <t>isPrivateIPv4</t>
        </is>
      </c>
      <c r="D32" s="4" t="inlineStr">
        <is>
          <t>異常系</t>
        </is>
      </c>
      <c r="E32" s="4" t="inlineStr">
        <is>
          <t>同値分割</t>
        </is>
      </c>
      <c r="F32" s="5" t="inlineStr">
        <is>
          <t>設計の 4 つの範囲にないリンクローカル・CGNAT・0.0.0.0 は false</t>
        </is>
      </c>
      <c r="G32" s="5" t="inlineStr">
        <is>
          <t>前提：なし
入力：169.254.1.1・100.64.0.1・0.0.0.0</t>
        </is>
      </c>
      <c r="H32" s="5" t="inlineStr">
        <is>
          <t>false（設計の 4 つの範囲にない）</t>
        </is>
      </c>
      <c r="I32" s="5" t="inlineStr">
        <is>
          <t>B3-F</t>
        </is>
      </c>
      <c r="J32" s="5" t="inlineStr">
        <is>
          <t>なし</t>
        </is>
      </c>
      <c r="K32" s="5" t="inlineStr"/>
      <c r="L32" s="5" t="inlineStr"/>
      <c r="M32" s="5" t="inlineStr">
        <is>
          <t>TC-UT_OBS-005 設計の 4 つの範囲にないリンクローカル・CGNAT・0.0.0.0 は false</t>
        </is>
      </c>
      <c r="N32" s="6" t="inlineStr">
        <is>
          <t>未実施</t>
        </is>
      </c>
      <c r="O32" s="6" t="inlineStr"/>
      <c r="P32" s="6" t="inlineStr"/>
      <c r="Q32" s="7" t="inlineStr">
        <is>
          <t>既存テスト：なし</t>
        </is>
      </c>
    </row>
    <row r="33">
      <c r="A33" s="4" t="n">
        <v>29</v>
      </c>
      <c r="B33" s="4" t="inlineStr">
        <is>
          <t>TC-UT_OBS-006</t>
        </is>
      </c>
      <c r="C33" s="5" t="inlineStr">
        <is>
          <t>normalizeRemoteAddress</t>
        </is>
      </c>
      <c r="D33" s="4" t="inlineStr">
        <is>
          <t>正常系</t>
        </is>
      </c>
      <c r="E33" s="4" t="inlineStr">
        <is>
          <t>同値分割</t>
        </is>
      </c>
      <c r="F33" s="5" t="inlineStr">
        <is>
          <t>normalizeRemoteAddress は大文字の ::FFFF: も外す</t>
        </is>
      </c>
      <c r="G33" s="5" t="inlineStr">
        <is>
          <t>前提：なし
入力：::FFFF:10.0.0.5</t>
        </is>
      </c>
      <c r="H33" s="5" t="inlineStr">
        <is>
          <t>10.0.0.5</t>
        </is>
      </c>
      <c r="I33" s="5" t="inlineStr">
        <is>
          <t>B4-T</t>
        </is>
      </c>
      <c r="J33" s="5" t="inlineStr">
        <is>
          <t>なし</t>
        </is>
      </c>
      <c r="K33" s="5" t="inlineStr"/>
      <c r="L33" s="5" t="inlineStr"/>
      <c r="M33" s="5" t="inlineStr">
        <is>
          <t>TC-UT_OBS-006 normalizeRemoteAddress は大文字の ::FFFF: も外す</t>
        </is>
      </c>
      <c r="N33" s="6" t="inlineStr">
        <is>
          <t>未実施</t>
        </is>
      </c>
      <c r="O33" s="6" t="inlineStr"/>
      <c r="P33" s="6" t="inlineStr"/>
      <c r="Q33" s="7" t="inlineStr">
        <is>
          <t>既存テスト：一部 TC-NOUS55_DEV-03（小文字だけ）</t>
        </is>
      </c>
    </row>
    <row r="34">
      <c r="A34" s="4" t="n">
        <v>30</v>
      </c>
      <c r="B34" s="4" t="inlineStr">
        <is>
          <t>TC-UT_OBS-007</t>
        </is>
      </c>
      <c r="C34" s="5" t="inlineStr">
        <is>
          <t>maskPath</t>
        </is>
      </c>
      <c r="D34" s="4" t="inlineStr">
        <is>
          <t>正常系</t>
        </is>
      </c>
      <c r="E34" s="4" t="inlineStr">
        <is>
          <t>分岐網羅</t>
        </is>
      </c>
      <c r="F34" s="5" t="inlineStr">
        <is>
          <t>maskPath は /invite/ の後ろだけを伏せ、他のパスはそのまま</t>
        </is>
      </c>
      <c r="G34" s="5" t="inlineStr">
        <is>
          <t>前提：なし
入力：/invite/abc・/api/world・/invitex</t>
        </is>
      </c>
      <c r="H34" s="5" t="inlineStr">
        <is>
          <t>/invite/***・/api/world・/invitex</t>
        </is>
      </c>
      <c r="I34" s="5" t="inlineStr">
        <is>
          <t>B20-T, B20-F</t>
        </is>
      </c>
      <c r="J34" s="5" t="inlineStr">
        <is>
          <t>なし</t>
        </is>
      </c>
      <c r="K34" s="5" t="inlineStr"/>
      <c r="L34" s="5" t="inlineStr"/>
      <c r="M34" s="5" t="inlineStr">
        <is>
          <t>TC-UT_OBS-007 maskPath は /invite/ の後ろだけを伏せ、他のパスはそのまま</t>
        </is>
      </c>
      <c r="N34" s="6" t="inlineStr">
        <is>
          <t>未実施</t>
        </is>
      </c>
      <c r="O34" s="6" t="inlineStr"/>
      <c r="P34" s="6" t="inlineStr"/>
      <c r="Q34" s="7" t="inlineStr">
        <is>
          <t>既存テスト：一部 TC-NOUS55_DEV-18（ログに出ないことだけ）</t>
        </is>
      </c>
    </row>
    <row r="35">
      <c r="A35" s="4" t="n">
        <v>31</v>
      </c>
      <c r="B35" s="4" t="inlineStr">
        <is>
          <t>TC-UT_OBS-008</t>
        </is>
      </c>
      <c r="C35" s="5" t="inlineStr">
        <is>
          <t>privateNetworkOnly</t>
        </is>
      </c>
      <c r="D35" s="4" t="inlineStr">
        <is>
          <t>異常系</t>
        </is>
      </c>
      <c r="E35" s="4" t="inlineStr">
        <is>
          <t>同値分割</t>
        </is>
      </c>
      <c r="F35" s="5" t="inlineStr">
        <is>
          <t>IPv6 のループバック（::1）からの要求は 403 FORBIDDEN_NETWORK</t>
        </is>
      </c>
      <c r="G35" s="5" t="inlineStr">
        <is>
          <t>前提：なし
入力：GET /api/world、送信元 ::1</t>
        </is>
      </c>
      <c r="H35" s="5" t="inlineStr">
        <is>
          <t>403 FORBIDDEN_NETWORK</t>
        </is>
      </c>
      <c r="I35" s="5" t="inlineStr">
        <is>
          <t>B4-F, B6-T</t>
        </is>
      </c>
      <c r="J35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35" s="5" t="inlineStr"/>
      <c r="L35" s="5" t="inlineStr"/>
      <c r="M35" s="5" t="inlineStr">
        <is>
          <t>TC-UT_OBS-008 IPv6 のループバック（::1）からの要求は 403 FORBIDDEN_NETWORK</t>
        </is>
      </c>
      <c r="N35" s="6" t="inlineStr">
        <is>
          <t>未実施</t>
        </is>
      </c>
      <c r="O35" s="6" t="inlineStr"/>
      <c r="P35" s="6" t="inlineStr"/>
      <c r="Q35" s="7" t="inlineStr">
        <is>
          <t>既存テスト：一部 TC-NOUS55_DEV-02（isPrivateIPv4 を直に呼ぶだけ）</t>
        </is>
      </c>
    </row>
    <row r="36">
      <c r="A36" s="4" t="n">
        <v>32</v>
      </c>
      <c r="B36" s="4" t="inlineStr">
        <is>
          <t>TC-UT_OBS-009</t>
        </is>
      </c>
      <c r="C36" s="5" t="inlineStr">
        <is>
          <t>privateNetworkOnly</t>
        </is>
      </c>
      <c r="D36" s="4" t="inlineStr">
        <is>
          <t>異常系</t>
        </is>
      </c>
      <c r="E36" s="4" t="inlineStr">
        <is>
          <t>同値分割</t>
        </is>
      </c>
      <c r="F36" s="5" t="inlineStr">
        <is>
          <t>X-Forwarded-For に私設アドレスがあっても、送信元が公開アドレスなら 403</t>
        </is>
      </c>
      <c r="G36" s="5" t="inlineStr">
        <is>
          <t>前提：なし
入力：GET /api/world、X-Forwarded-For: 192.168.1.20、送信元 203.0.113.5</t>
        </is>
      </c>
      <c r="H36" s="5" t="inlineStr">
        <is>
          <t>403（X-Forwarded-For は見ない）</t>
        </is>
      </c>
      <c r="I36" s="5" t="inlineStr">
        <is>
          <t>B6-T</t>
        </is>
      </c>
      <c r="J36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36" s="5" t="inlineStr"/>
      <c r="L36" s="5" t="inlineStr"/>
      <c r="M36" s="5" t="inlineStr">
        <is>
          <t>TC-UT_OBS-009 X-Forwarded-For に私設アドレスがあっても、送信元が公開アドレスなら 403</t>
        </is>
      </c>
      <c r="N36" s="6" t="inlineStr">
        <is>
          <t>未実施</t>
        </is>
      </c>
      <c r="O36" s="6" t="inlineStr"/>
      <c r="P36" s="6" t="inlineStr"/>
      <c r="Q36" s="7" t="inlineStr">
        <is>
          <t>既存テスト：なし</t>
        </is>
      </c>
    </row>
    <row r="37">
      <c r="A37" s="4" t="n">
        <v>33</v>
      </c>
      <c r="B37" s="4" t="inlineStr">
        <is>
          <t>TC-UT_OBS-010</t>
        </is>
      </c>
      <c r="C37" s="5" t="inlineStr">
        <is>
          <t>privateNetworkOnly</t>
        </is>
      </c>
      <c r="D37" s="4" t="inlineStr">
        <is>
          <t>異常系</t>
        </is>
      </c>
      <c r="E37" s="4" t="inlineStr">
        <is>
          <t>同値分割</t>
        </is>
      </c>
      <c r="F37" s="5" t="inlineStr">
        <is>
          <t>IPv4 射影の公開アドレス（::ffff:8.8.8.8）は 403</t>
        </is>
      </c>
      <c r="G37" s="5" t="inlineStr">
        <is>
          <t>前提：なし
入力：GET /api/world、送信元 ::ffff:8.8.8.8</t>
        </is>
      </c>
      <c r="H37" s="5" t="inlineStr">
        <is>
          <t>403</t>
        </is>
      </c>
      <c r="I37" s="5" t="inlineStr">
        <is>
          <t>B4-T, B6-T</t>
        </is>
      </c>
      <c r="J37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37" s="5" t="inlineStr"/>
      <c r="L37" s="5" t="inlineStr"/>
      <c r="M37" s="5" t="inlineStr">
        <is>
          <t>TC-UT_OBS-010 IPv4 射影の公開アドレス（::ffff:8.8.8.8）は 403</t>
        </is>
      </c>
      <c r="N37" s="6" t="inlineStr">
        <is>
          <t>未実施</t>
        </is>
      </c>
      <c r="O37" s="6" t="inlineStr"/>
      <c r="P37" s="6" t="inlineStr"/>
      <c r="Q37" s="7" t="inlineStr">
        <is>
          <t>既存テスト：なし</t>
        </is>
      </c>
    </row>
    <row r="38">
      <c r="A38" s="4" t="n">
        <v>34</v>
      </c>
      <c r="B38" s="4" t="inlineStr">
        <is>
          <t>TC-UT_OBS-011</t>
        </is>
      </c>
      <c r="C38" s="5" t="inlineStr">
        <is>
          <t>privateNetworkOnly / readOnly</t>
        </is>
      </c>
      <c r="D38" s="4" t="inlineStr">
        <is>
          <t>異常系</t>
        </is>
      </c>
      <c r="E38" s="4" t="inlineStr">
        <is>
          <t>分岐網羅</t>
        </is>
      </c>
      <c r="F38" s="5" t="inlineStr">
        <is>
          <t>公開アドレスからの POST は 405 ではなく 403（私設アドレスの検査が先）</t>
        </is>
      </c>
      <c r="G38" s="5" t="inlineStr">
        <is>
          <t>前提：なし
入力：POST /api/world、送信元 203.0.113.5</t>
        </is>
      </c>
      <c r="H38" s="5" t="inlineStr">
        <is>
          <t>403 で Allow は付かない（privateNetworkOnly が readOnly より先）</t>
        </is>
      </c>
      <c r="I38" s="5" t="inlineStr">
        <is>
          <t>B6-T, B19-F</t>
        </is>
      </c>
      <c r="J38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38" s="5" t="inlineStr"/>
      <c r="L38" s="5" t="inlineStr"/>
      <c r="M38" s="5" t="inlineStr">
        <is>
          <t>TC-UT_OBS-011 公開アドレスからの POST は 405 ではなく 403（私設アドレスの検査が先）</t>
        </is>
      </c>
      <c r="N38" s="6" t="inlineStr">
        <is>
          <t>未実施</t>
        </is>
      </c>
      <c r="O38" s="6" t="inlineStr"/>
      <c r="P38" s="6" t="inlineStr"/>
      <c r="Q38" s="7" t="inlineStr">
        <is>
          <t>既存テスト：なし</t>
        </is>
      </c>
    </row>
    <row r="39">
      <c r="A39" s="4" t="n">
        <v>35</v>
      </c>
      <c r="B39" s="4" t="inlineStr">
        <is>
          <t>TC-UT_OBS-012</t>
        </is>
      </c>
      <c r="C39" s="5" t="inlineStr">
        <is>
          <t>readOnly</t>
        </is>
      </c>
      <c r="D39" s="4" t="inlineStr">
        <is>
          <t>異常系</t>
        </is>
      </c>
      <c r="E39" s="4" t="inlineStr">
        <is>
          <t>分岐網羅</t>
        </is>
      </c>
      <c r="F39" s="5" t="inlineStr">
        <is>
          <t>POST /invite/:token は 405 で、招待の照合も記録もしない</t>
        </is>
      </c>
      <c r="G39" s="5" t="inlineStr">
        <is>
          <t>前提：有効な招待
入力：POST /invite/:token</t>
        </is>
      </c>
      <c r="H39" s="5" t="inlineStr">
        <is>
          <t>405、Set-Cookie なし、view_access_logs は 0 行、last_used_at は NULL</t>
        </is>
      </c>
      <c r="I39" s="5" t="inlineStr">
        <is>
          <t>B7-T, B19-T</t>
        </is>
      </c>
      <c r="J39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39" s="5" t="inlineStr"/>
      <c r="L39" s="5" t="inlineStr"/>
      <c r="M39" s="5" t="inlineStr">
        <is>
          <t>TC-UT_OBS-012 POST /invite/:token は 405 で、招待の照合も記録もしない</t>
        </is>
      </c>
      <c r="N39" s="6" t="inlineStr">
        <is>
          <t>未実施</t>
        </is>
      </c>
      <c r="O39" s="6" t="inlineStr"/>
      <c r="P39" s="6" t="inlineStr"/>
      <c r="Q39" s="7" t="inlineStr">
        <is>
          <t>既存テスト：一部 TC-NOUS55_DEV-07（/api/world だけ）</t>
        </is>
      </c>
    </row>
    <row r="40">
      <c r="A40" s="4" t="n">
        <v>36</v>
      </c>
      <c r="B40" s="4" t="inlineStr">
        <is>
          <t>TC-UT_OBS-013</t>
        </is>
      </c>
      <c r="C40" s="5" t="inlineStr">
        <is>
          <t>readOnly</t>
        </is>
      </c>
      <c r="D40" s="4" t="inlineStr">
        <is>
          <t>異常系</t>
        </is>
      </c>
      <c r="E40" s="4" t="inlineStr">
        <is>
          <t>同値分割</t>
        </is>
      </c>
      <c r="F40" s="5" t="inlineStr">
        <is>
          <t>OPTIONS も 405 WRITE_NOT_ALLOWED と Allow: GET, HEAD</t>
        </is>
      </c>
      <c r="G40" s="5" t="inlineStr">
        <is>
          <t>前提：なし
入力：OPTIONS /api/world</t>
        </is>
      </c>
      <c r="H40" s="5" t="inlineStr">
        <is>
          <t>405 WRITE_NOT_ALLOWED、Allow: GET, HEAD</t>
        </is>
      </c>
      <c r="I40" s="5" t="inlineStr">
        <is>
          <t>B7-T, B19-T</t>
        </is>
      </c>
      <c r="J40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40" s="5" t="inlineStr"/>
      <c r="L40" s="5" t="inlineStr"/>
      <c r="M40" s="5" t="inlineStr">
        <is>
          <t>TC-UT_OBS-013 OPTIONS も 405 WRITE_NOT_ALLOWED と Allow: GET, HEAD</t>
        </is>
      </c>
      <c r="N40" s="6" t="inlineStr">
        <is>
          <t>未実施</t>
        </is>
      </c>
      <c r="O40" s="6" t="inlineStr"/>
      <c r="P40" s="6" t="inlineStr"/>
      <c r="Q40" s="7" t="inlineStr">
        <is>
          <t>既存テスト：一部 TC-NOUS55_DEV-07（POST・PUT・PATCH・DELETE）</t>
        </is>
      </c>
    </row>
    <row r="41">
      <c r="A41" s="4" t="n">
        <v>37</v>
      </c>
      <c r="B41" s="4" t="inlineStr">
        <is>
          <t>TC-UT_OBS-014</t>
        </is>
      </c>
      <c r="C41" s="5" t="inlineStr">
        <is>
          <t>securityHeaders</t>
        </is>
      </c>
      <c r="D41" s="4" t="inlineStr">
        <is>
          <t>正常系</t>
        </is>
      </c>
      <c r="E41" s="4" t="inlineStr">
        <is>
          <t>同値分割</t>
        </is>
      </c>
      <c r="F41" s="5" t="inlineStr">
        <is>
          <t>未知のパスの 404 にもセキュリティのヘッダーが付く</t>
        </is>
      </c>
      <c r="G41" s="5" t="inlineStr">
        <is>
          <t>前提：なし
入力：GET /unknown（staticDir: null）</t>
        </is>
      </c>
      <c r="H41" s="5" t="inlineStr">
        <is>
          <t>404 に CSP・nosniff・no-referrer が付く</t>
        </is>
      </c>
      <c r="I41" s="5" t="inlineStr">
        <is>
          <t>B6-F, B7-F</t>
        </is>
      </c>
      <c r="J41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41" s="5" t="inlineStr"/>
      <c r="L41" s="5" t="inlineStr"/>
      <c r="M41" s="5" t="inlineStr">
        <is>
          <t>TC-UT_OBS-014 未知のパスの 404 にもセキュリティのヘッダーが付く</t>
        </is>
      </c>
      <c r="N41" s="6" t="inlineStr">
        <is>
          <t>未実施</t>
        </is>
      </c>
      <c r="O41" s="6" t="inlineStr"/>
      <c r="P41" s="6" t="inlineStr"/>
      <c r="Q41" s="7" t="inlineStr">
        <is>
          <t>既存テスト：なし（DEV は 302・403・405・500 だけ）</t>
        </is>
      </c>
    </row>
    <row r="42">
      <c r="A42" s="4" t="n">
        <v>38</v>
      </c>
      <c r="B42" s="4" t="inlineStr">
        <is>
          <t>TC-UT_OBS-015</t>
        </is>
      </c>
      <c r="C42" s="5" t="inlineStr">
        <is>
          <t>securityHeaders / onError</t>
        </is>
      </c>
      <c r="D42" s="4" t="inlineStr">
        <is>
          <t>正常系</t>
        </is>
      </c>
      <c r="E42" s="4" t="inlineStr">
        <is>
          <t>同値分割</t>
        </is>
      </c>
      <c r="F42" s="5" t="inlineStr">
        <is>
          <t>401 VIEW_NOT_INVITED の応答にもセキュリティのヘッダーが付く</t>
        </is>
      </c>
      <c r="G42" s="5" t="inlineStr">
        <is>
          <t>前提：なし
入力：GET /api/world、Cookie なし</t>
        </is>
      </c>
      <c r="H42" s="5" t="inlineStr">
        <is>
          <t>401 に CSP・nosniff・no-referrer が付く</t>
        </is>
      </c>
      <c r="I42" s="5" t="inlineStr">
        <is>
          <t>B8-T, B18-T, B19-F</t>
        </is>
      </c>
      <c r="J42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42" s="5" t="inlineStr"/>
      <c r="L42" s="5" t="inlineStr"/>
      <c r="M42" s="5" t="inlineStr">
        <is>
          <t>TC-UT_OBS-015 401 VIEW_NOT_INVITED の応答にもセキュリティのヘッダーが付く</t>
        </is>
      </c>
      <c r="N42" s="6" t="inlineStr">
        <is>
          <t>未実施</t>
        </is>
      </c>
      <c r="O42" s="6" t="inlineStr"/>
      <c r="P42" s="6" t="inlineStr"/>
      <c r="Q42" s="7" t="inlineStr">
        <is>
          <t>既存テスト：なし</t>
        </is>
      </c>
    </row>
    <row r="43">
      <c r="A43" s="4" t="n">
        <v>39</v>
      </c>
      <c r="B43" s="4" t="inlineStr">
        <is>
          <t>TC-UT_OBS-016</t>
        </is>
      </c>
      <c r="C43" s="5" t="inlineStr">
        <is>
          <t>acceptInvite</t>
        </is>
      </c>
      <c r="D43" s="4" t="inlineStr">
        <is>
          <t>正常系</t>
        </is>
      </c>
      <c r="E43" s="4" t="inlineStr">
        <is>
          <t>状態遷移</t>
        </is>
      </c>
      <c r="F43" s="5" t="inlineStr">
        <is>
          <t>同じ招待で 2 回受け付けると allowed が 2 行残り、last_used_at は 2 回目の時刻</t>
        </is>
      </c>
      <c r="G43" s="5" t="inlineStr">
        <is>
          <t>前提：有効な招待
入力：1 回目の受け付け、60 秒後に 2 回目</t>
        </is>
      </c>
      <c r="H43" s="5" t="inlineStr">
        <is>
          <t>allowed が 2 行、last_used_at は 2026-10-21T09:01:00.000Z</t>
        </is>
      </c>
      <c r="I43" s="5" t="inlineStr">
        <is>
          <t>B12-T, B14-F</t>
        </is>
      </c>
      <c r="J43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43" s="5" t="inlineStr"/>
      <c r="L43" s="5" t="inlineStr"/>
      <c r="M43" s="5" t="inlineStr">
        <is>
          <t>TC-UT_OBS-016 同じ招待で 2 回受け付けると allowed が 2 行残り、last_used_at は 2 回目の時刻</t>
        </is>
      </c>
      <c r="N43" s="6" t="inlineStr">
        <is>
          <t>未実施</t>
        </is>
      </c>
      <c r="O43" s="6" t="inlineStr"/>
      <c r="P43" s="6" t="inlineStr"/>
      <c r="Q43" s="7" t="inlineStr">
        <is>
          <t>既存テスト：一部 TC-NOUS55_DEV-10（1 回だけ）</t>
        </is>
      </c>
    </row>
    <row r="44">
      <c r="A44" s="4" t="n">
        <v>40</v>
      </c>
      <c r="B44" s="4" t="inlineStr">
        <is>
          <t>TC-UT_OBS-017</t>
        </is>
      </c>
      <c r="C44" s="5" t="inlineStr">
        <is>
          <t>requireViewer</t>
        </is>
      </c>
      <c r="D44" s="4" t="inlineStr">
        <is>
          <t>異常系</t>
        </is>
      </c>
      <c r="E44" s="4" t="inlineStr">
        <is>
          <t>同値分割</t>
        </is>
      </c>
      <c r="F44" s="5" t="inlineStr">
        <is>
          <t>Cookie の値が招待トークンの形でなければ 401</t>
        </is>
      </c>
      <c r="G44" s="5" t="inlineStr">
        <is>
          <t>前提：なし
入力：Cookie aisns_view=short</t>
        </is>
      </c>
      <c r="H44" s="5" t="inlineStr">
        <is>
          <t>401 VIEW_NOT_INVITED</t>
        </is>
      </c>
      <c r="I44" s="5" t="inlineStr">
        <is>
          <t>B8-F, B9-T, B10-T</t>
        </is>
      </c>
      <c r="J44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44" s="5" t="inlineStr"/>
      <c r="L44" s="5" t="inlineStr"/>
      <c r="M44" s="5" t="inlineStr">
        <is>
          <t>TC-UT_OBS-017 Cookie の値が招待トークンの形でなければ 401</t>
        </is>
      </c>
      <c r="N44" s="6" t="inlineStr">
        <is>
          <t>未実施</t>
        </is>
      </c>
      <c r="O44" s="6" t="inlineStr"/>
      <c r="P44" s="6" t="inlineStr"/>
      <c r="Q44" s="7" t="inlineStr">
        <is>
          <t>既存テスト：なし</t>
        </is>
      </c>
    </row>
    <row r="45">
      <c r="A45" s="4" t="n">
        <v>41</v>
      </c>
      <c r="B45" s="4" t="inlineStr">
        <is>
          <t>TC-UT_OBS-018</t>
        </is>
      </c>
      <c r="C45" s="5" t="inlineStr">
        <is>
          <t>requireViewer</t>
        </is>
      </c>
      <c r="D45" s="4" t="inlineStr">
        <is>
          <t>異常系</t>
        </is>
      </c>
      <c r="E45" s="4" t="inlineStr">
        <is>
          <t>境界値</t>
        </is>
      </c>
      <c r="F45" s="5" t="inlineStr">
        <is>
          <t>Cookie の値が空なら 401（Cookie なしと同じ扱い）</t>
        </is>
      </c>
      <c r="G45" s="5" t="inlineStr">
        <is>
          <t>前提：なし
入力：Cookie aisns_view=（空）</t>
        </is>
      </c>
      <c r="H45" s="5" t="inlineStr">
        <is>
          <t>401、ログの hasCookie は false</t>
        </is>
      </c>
      <c r="I45" s="5" t="inlineStr">
        <is>
          <t>B8-T</t>
        </is>
      </c>
      <c r="J45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45" s="5" t="inlineStr"/>
      <c r="L45" s="5" t="inlineStr"/>
      <c r="M45" s="5" t="inlineStr">
        <is>
          <t>TC-UT_OBS-018 Cookie の値が空なら 401（Cookie なしと同じ扱い）</t>
        </is>
      </c>
      <c r="N45" s="6" t="inlineStr">
        <is>
          <t>未実施</t>
        </is>
      </c>
      <c r="O45" s="6" t="inlineStr"/>
      <c r="P45" s="6" t="inlineStr"/>
      <c r="Q45" s="7" t="inlineStr">
        <is>
          <t>既存テスト：一部 TC-NOUS55_DEV-15（Cookie なし）</t>
        </is>
      </c>
    </row>
    <row r="46">
      <c r="A46" s="4" t="n">
        <v>42</v>
      </c>
      <c r="B46" s="4" t="inlineStr">
        <is>
          <t>TC-UT_OBS-019</t>
        </is>
      </c>
      <c r="C46" s="5" t="inlineStr">
        <is>
          <t>requireViewer</t>
        </is>
      </c>
      <c r="D46" s="4" t="inlineStr">
        <is>
          <t>正常系</t>
        </is>
      </c>
      <c r="E46" s="4" t="inlineStr">
        <is>
          <t>同値分割</t>
        </is>
      </c>
      <c r="F46" s="5" t="inlineStr">
        <is>
          <t>有効な Cookie の API の閲覧では、閲覧の記録も last_used_at の更新もしない</t>
        </is>
      </c>
      <c r="G46" s="5" t="inlineStr">
        <is>
          <t>前提：running の世界、有効な招待
入力：GET /api/world、有効な Cookie</t>
        </is>
      </c>
      <c r="H46" s="5" t="inlineStr">
        <is>
          <t>200、view_access_logs は 0 行、last_used_at は NULL のまま（閲覧のたびには書かない）</t>
        </is>
      </c>
      <c r="I46" s="5" t="inlineStr">
        <is>
          <t>B9-F</t>
        </is>
      </c>
      <c r="J46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46" s="5" t="inlineStr"/>
      <c r="L46" s="5" t="inlineStr"/>
      <c r="M46" s="5" t="inlineStr">
        <is>
          <t>TC-UT_OBS-019 有効な Cookie の API の閲覧では、閲覧の記録も last_used_at の更新もしない</t>
        </is>
      </c>
      <c r="N46" s="6" t="inlineStr">
        <is>
          <t>未実施</t>
        </is>
      </c>
      <c r="O46" s="6" t="inlineStr"/>
      <c r="P46" s="6" t="inlineStr"/>
      <c r="Q46" s="7" t="inlineStr">
        <is>
          <t>既存テスト：なし
設計の 6章（読み取りの API はトランザクションを開かない）・4章（記録は acceptInvite だけ）による</t>
        </is>
      </c>
    </row>
    <row r="47">
      <c r="A47" s="4" t="n">
        <v>43</v>
      </c>
      <c r="B47" s="4" t="inlineStr">
        <is>
          <t>TC-UT_OBS-020</t>
        </is>
      </c>
      <c r="C47" s="5" t="inlineStr">
        <is>
          <t>requireViewer</t>
        </is>
      </c>
      <c r="D47" s="4" t="inlineStr">
        <is>
          <t>異常系</t>
        </is>
      </c>
      <c r="E47" s="4" t="inlineStr">
        <is>
          <t>状態遷移</t>
        </is>
      </c>
      <c r="F47" s="5" t="inlineStr">
        <is>
          <t>Cookie の発行の後に招待を失効させると、次の API の閲覧から 401</t>
        </is>
      </c>
      <c r="G47" s="5" t="inlineStr">
        <is>
          <t>前提：running の世界、有効な招待
入力：閲覧 → 招待を失効させる → 閲覧</t>
        </is>
      </c>
      <c r="H47" s="5" t="inlineStr">
        <is>
          <t>1 回目は 200、2 回目は 401</t>
        </is>
      </c>
      <c r="I47" s="5" t="inlineStr">
        <is>
          <t>B9-F, B9-T, B11-T</t>
        </is>
      </c>
      <c r="J47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47" s="5" t="inlineStr"/>
      <c r="L47" s="5" t="inlineStr"/>
      <c r="M47" s="5" t="inlineStr">
        <is>
          <t>TC-UT_OBS-020 Cookie の発行の後に招待を失効させると、次の API の閲覧から 401</t>
        </is>
      </c>
      <c r="N47" s="6" t="inlineStr">
        <is>
          <t>未実施</t>
        </is>
      </c>
      <c r="O47" s="6" t="inlineStr"/>
      <c r="P47" s="6" t="inlineStr"/>
      <c r="Q47" s="7" t="inlineStr">
        <is>
          <t>既存テスト：なし</t>
        </is>
      </c>
    </row>
    <row r="48">
      <c r="A48" s="4" t="n">
        <v>44</v>
      </c>
      <c r="B48" s="4" t="inlineStr">
        <is>
          <t>TC-UT_OBS-021</t>
        </is>
      </c>
      <c r="C48" s="5" t="inlineStr">
        <is>
          <t>readOnly / apiRoutes</t>
        </is>
      </c>
      <c r="D48" s="4" t="inlineStr">
        <is>
          <t>正常系</t>
        </is>
      </c>
      <c r="E48" s="4" t="inlineStr">
        <is>
          <t>同値分割</t>
        </is>
      </c>
      <c r="F48" s="5" t="inlineStr">
        <is>
          <t>HEAD /api/world は 200 で本文を返さず、Cache-Control: no-store が付く</t>
        </is>
      </c>
      <c r="G48" s="5" t="inlineStr">
        <is>
          <t>前提：running の世界、有効な招待
入力：HEAD /api/world</t>
        </is>
      </c>
      <c r="H48" s="5" t="inlineStr">
        <is>
          <t>200、本文は空、Cache-Control: no-store</t>
        </is>
      </c>
      <c r="I48" s="5" t="inlineStr">
        <is>
          <t>B7-F, B9-F</t>
        </is>
      </c>
      <c r="J48" s="5" t="inlineStr">
        <is>
          <t>createObserverApp（staticDir: null）を app.request で呼ぶ。送信元は env.incoming.socket.remoteAddress で渡す。一時 DB（createTestDb）。FakeClock 2026-10-21T09:00:00.000Z。logger は sinks で行を集める</t>
        </is>
      </c>
      <c r="K48" s="5" t="inlineStr"/>
      <c r="L48" s="5" t="inlineStr"/>
      <c r="M48" s="5" t="inlineStr">
        <is>
          <t>TC-UT_OBS-021 HEAD /api/world は 200 で本文を返さず、Cache-Control: no-store が付く</t>
        </is>
      </c>
      <c r="N48" s="6" t="inlineStr">
        <is>
          <t>未実施</t>
        </is>
      </c>
      <c r="O48" s="6" t="inlineStr"/>
      <c r="P48" s="6" t="inlineStr"/>
      <c r="Q48" s="7" t="inlineStr">
        <is>
          <t>既存テスト：一部 TC-NOUS55_DEV-08（405 でないことだけ）</t>
        </is>
      </c>
    </row>
    <row r="49">
      <c r="A49" s="4" t="n">
        <v>45</v>
      </c>
      <c r="B49" s="4" t="inlineStr">
        <is>
          <t>TC-UT_OBS-022</t>
        </is>
      </c>
      <c r="C49" s="5" t="inlineStr">
        <is>
          <t>acceptInvite</t>
        </is>
      </c>
      <c r="D49" s="4" t="inlineStr">
        <is>
          <t>異常系</t>
        </is>
      </c>
      <c r="E49" s="4" t="inlineStr">
        <is>
          <t>エラー処理</t>
        </is>
      </c>
      <c r="F49" s="5" t="inlineStr">
        <is>
          <t>有効な招待で allowed の記録に失敗したら、last_used_at の更新も取り消す</t>
        </is>
      </c>
      <c r="G49" s="5" t="inlineStr">
        <is>
          <t>前提：有効な招待、view_access_logs を DROP
入力：acceptInvite(token, 2026-10-21T10:00:00.000Z)</t>
        </is>
      </c>
      <c r="H49" s="5" t="inlineStr">
        <is>
          <t>例外を投げ、last_used_at は NULL のまま（トランザクションごと取り消す）</t>
        </is>
      </c>
      <c r="I49" s="5" t="inlineStr">
        <is>
          <t>B12-T</t>
        </is>
      </c>
      <c r="J49" s="5" t="inlineStr">
        <is>
          <t>一時 DB（createTestDb）</t>
        </is>
      </c>
      <c r="K49" s="5" t="inlineStr"/>
      <c r="L49" s="5" t="inlineStr"/>
      <c r="M49" s="5" t="inlineStr">
        <is>
          <t>TC-UT_OBS-022 有効な招待で allowed の記録に失敗したら、last_used_at の更新も取り消す</t>
        </is>
      </c>
      <c r="N49" s="6" t="inlineStr">
        <is>
          <t>未実施</t>
        </is>
      </c>
      <c r="O49" s="6" t="inlineStr"/>
      <c r="P49" s="6" t="inlineStr"/>
      <c r="Q49" s="7" t="inlineStr">
        <is>
          <t>既存テスト：なし（DEV-21 は denied の側だけ）</t>
        </is>
      </c>
    </row>
    <row r="50">
      <c r="A50" s="4" t="n">
        <v>46</v>
      </c>
      <c r="B50" s="4" t="inlineStr">
        <is>
          <t>TC-UT_OBS-051</t>
        </is>
      </c>
      <c r="C50" s="5" t="inlineStr">
        <is>
          <t>createObserverApp（静的ファイル）</t>
        </is>
      </c>
      <c r="D50" s="4" t="inlineStr">
        <is>
          <t>異常系</t>
        </is>
      </c>
      <c r="E50" s="4" t="inlineStr">
        <is>
          <t>分岐網羅</t>
        </is>
      </c>
      <c r="F50" s="5" t="inlineStr">
        <is>
          <t>画面のビルドの置き場所がなければ warn を残して配らず、/not-invited は 404</t>
        </is>
      </c>
      <c r="G50" s="5" t="inlineStr">
        <is>
          <t>前提：staticDir に存在しないパス
入力：GET /not-invited</t>
        </is>
      </c>
      <c r="H50" s="5" t="inlineStr">
        <is>
          <t>404、warn のログ</t>
        </is>
      </c>
      <c r="I50" s="5" t="inlineStr">
        <is>
          <t>B15-T, B16-F</t>
        </is>
      </c>
      <c r="J50" s="5" t="inlineStr">
        <is>
          <t>一時 DB（createTestDb）。FakeClock 2026-10-21T09:00:00.000Z</t>
        </is>
      </c>
      <c r="K50" s="5" t="inlineStr"/>
      <c r="L50" s="5" t="inlineStr"/>
      <c r="M50" s="5" t="inlineStr">
        <is>
          <t>TC-UT_OBS-051 画面のビルドの置き場所がなければ warn を残して配らず、/not-invited は 404</t>
        </is>
      </c>
      <c r="N50" s="6" t="inlineStr">
        <is>
          <t>未実施</t>
        </is>
      </c>
      <c r="O50" s="6" t="inlineStr"/>
      <c r="P50" s="6" t="inlineStr"/>
      <c r="Q50" s="7" t="inlineStr">
        <is>
          <t>既存テスト：なし</t>
        </is>
      </c>
    </row>
  </sheetData>
  <autoFilter ref="A4:Q50"/>
  <conditionalFormatting sqref="A5:Q100">
    <cfRule type="expression" priority="1" dxfId="0">
      <formula>$N5="NG"</formula>
    </cfRule>
    <cfRule type="expression" priority="2" dxfId="1">
      <formula>$N5="OK"</formula>
    </cfRule>
    <cfRule type="expression" priority="3" dxfId="2">
      <formula>$N5="保留"</formula>
    </cfRule>
  </conditionalFormatting>
  <dataValidations count="2">
    <dataValidation sqref="N5:N100" showDropDown="0" showInputMessage="0" showErrorMessage="0" allowBlank="1" type="list">
      <formula1>"未実施,OK,NG,保留,対象外"</formula1>
    </dataValidation>
    <dataValidation sqref="D5:D100" showDropDown="0" showInputMessage="0" showErrorMessage="0" allowBlank="1" type="list">
      <formula1>"正常系,異常系"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集計サマリ</t>
        </is>
      </c>
    </row>
    <row r="2">
      <c r="A2" s="2" t="inlineStr">
        <is>
          <t>観点表シートの内容から自動集計されます（手入力不要）。</t>
        </is>
      </c>
    </row>
    <row r="4">
      <c r="A4" s="8" t="inlineStr">
        <is>
          <t>ケース数</t>
        </is>
      </c>
      <c r="B4" s="9" t="n"/>
      <c r="C4" s="9" t="n"/>
    </row>
    <row r="5">
      <c r="A5" s="10" t="inlineStr">
        <is>
          <t>総ケース数</t>
        </is>
      </c>
      <c r="B5" s="10">
        <f>COUNTA(観点表!$B$5:$B$100)</f>
        <v/>
      </c>
    </row>
    <row r="6">
      <c r="A6" s="10" t="inlineStr">
        <is>
          <t>正常系</t>
        </is>
      </c>
      <c r="B6" s="10">
        <f>COUNTIF(観点表!$D$5:$D$100,"正常系")</f>
        <v/>
      </c>
    </row>
    <row r="7">
      <c r="A7" s="10" t="inlineStr">
        <is>
          <t>異常系</t>
        </is>
      </c>
      <c r="B7" s="10">
        <f>COUNTIF(観点表!$D$5:$D$100,"異常系")</f>
        <v/>
      </c>
    </row>
    <row r="9">
      <c r="A9" s="8" t="inlineStr">
        <is>
          <t>技法別</t>
        </is>
      </c>
      <c r="B9" s="9" t="n"/>
      <c r="C9" s="9" t="n"/>
    </row>
    <row r="10">
      <c r="A10" s="10" t="inlineStr">
        <is>
          <t>エラー処理</t>
        </is>
      </c>
      <c r="B10" s="10">
        <f>COUNTIF(観点表!$E$5:$E$100,"エラー処理")</f>
        <v/>
      </c>
    </row>
    <row r="11">
      <c r="A11" s="10" t="inlineStr">
        <is>
          <t>分岐網羅</t>
        </is>
      </c>
      <c r="B11" s="10">
        <f>COUNTIF(観点表!$E$5:$E$100,"分岐網羅")</f>
        <v/>
      </c>
    </row>
    <row r="12">
      <c r="A12" s="10" t="inlineStr">
        <is>
          <t>同値分割</t>
        </is>
      </c>
      <c r="B12" s="10">
        <f>COUNTIF(観点表!$E$5:$E$100,"同値分割")</f>
        <v/>
      </c>
    </row>
    <row r="13">
      <c r="A13" s="10" t="inlineStr">
        <is>
          <t>境界値</t>
        </is>
      </c>
      <c r="B13" s="10">
        <f>COUNTIF(観点表!$E$5:$E$100,"境界値")</f>
        <v/>
      </c>
    </row>
    <row r="14">
      <c r="A14" s="10" t="inlineStr">
        <is>
          <t>状態遷移</t>
        </is>
      </c>
      <c r="B14" s="10">
        <f>COUNTIF(観点表!$E$5:$E$100,"状態遷移")</f>
        <v/>
      </c>
    </row>
    <row r="15">
      <c r="A15" s="10" t="inlineStr">
        <is>
          <t>開発者テスト</t>
        </is>
      </c>
      <c r="B15" s="10">
        <f>COUNTIF(観点表!$E$5:$E$100,"開発者テスト")</f>
        <v/>
      </c>
    </row>
    <row r="17">
      <c r="A17" s="8" t="inlineStr">
        <is>
          <t>テストデータ</t>
        </is>
      </c>
      <c r="B17" s="9" t="n"/>
      <c r="C17" s="9" t="n"/>
    </row>
    <row r="18">
      <c r="A18" s="10" t="inlineStr">
        <is>
          <t>作成済み</t>
        </is>
      </c>
      <c r="B18" s="10">
        <f>COUNTIF(観点表!$K$5:$K$100,"?*")</f>
        <v/>
      </c>
    </row>
    <row r="19">
      <c r="A19" s="10" t="inlineStr">
        <is>
          <t>未作成</t>
        </is>
      </c>
      <c r="B19" s="10">
        <f>B5-B18</f>
        <v/>
      </c>
    </row>
    <row r="21">
      <c r="A21" s="8" t="inlineStr">
        <is>
          <t>実施状況</t>
        </is>
      </c>
      <c r="B21" s="9" t="n"/>
      <c r="C21" s="9" t="n"/>
    </row>
    <row r="22">
      <c r="A22" s="10" t="inlineStr">
        <is>
          <t>未実施</t>
        </is>
      </c>
      <c r="B22" s="10">
        <f>COUNTIF(観点表!$N$5:$N$100,"未実施")</f>
        <v/>
      </c>
    </row>
    <row r="23">
      <c r="A23" s="10" t="inlineStr">
        <is>
          <t>OK</t>
        </is>
      </c>
      <c r="B23" s="10">
        <f>COUNTIF(観点表!$N$5:$N$100,"OK")</f>
        <v/>
      </c>
    </row>
    <row r="24">
      <c r="A24" s="10" t="inlineStr">
        <is>
          <t>NG</t>
        </is>
      </c>
      <c r="B24" s="10">
        <f>COUNTIF(観点表!$N$5:$N$100,"NG")</f>
        <v/>
      </c>
    </row>
    <row r="25">
      <c r="A25" s="10" t="inlineStr">
        <is>
          <t>保留</t>
        </is>
      </c>
      <c r="B25" s="10">
        <f>COUNTIF(観点表!$N$5:$N$100,"保留")</f>
        <v/>
      </c>
    </row>
    <row r="26">
      <c r="A26" s="10" t="inlineStr">
        <is>
          <t>対象外</t>
        </is>
      </c>
      <c r="B26" s="10">
        <f>COUNTIF(観点表!$N$5:$N$100,"対象外")</f>
        <v/>
      </c>
    </row>
    <row r="27">
      <c r="A27" s="10" t="inlineStr">
        <is>
          <t>消化率（未実施以外 / 総数）</t>
        </is>
      </c>
      <c r="B27" s="11">
        <f>IF(B5=0,0,(B5-B22)/B5)</f>
        <v/>
      </c>
    </row>
    <row r="28">
      <c r="A28" s="10" t="inlineStr">
        <is>
          <t>合格率（OK / (総数-対象外)）</t>
        </is>
      </c>
      <c r="B28" s="11">
        <f>IF(B5-B26=0,0,B23/(B5-B26))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22" customWidth="1" min="4" max="4"/>
    <col width="40" customWidth="1" min="5" max="5"/>
    <col width="30" customWidth="1" min="6" max="6"/>
  </cols>
  <sheetData>
    <row r="1">
      <c r="A1" s="1" t="inlineStr">
        <is>
          <t>テストデータ一覧</t>
        </is>
      </c>
    </row>
    <row r="2">
      <c r="A2" s="2" t="inlineStr">
        <is>
          <t>観点表の各ケースで使う具体値を項目単位に展開したもの（参照用。編集は観点表の「テストデータ（具体値）」列で行う）。</t>
        </is>
      </c>
    </row>
    <row r="4">
      <c r="A4" s="12" t="inlineStr">
        <is>
          <t>ID</t>
        </is>
      </c>
      <c r="B4" s="12" t="inlineStr">
        <is>
          <t>観点</t>
        </is>
      </c>
      <c r="C4" s="12" t="inlineStr">
        <is>
          <t>区分</t>
        </is>
      </c>
      <c r="D4" s="12" t="inlineStr">
        <is>
          <t>項目</t>
        </is>
      </c>
      <c r="E4" s="12" t="inlineStr">
        <is>
          <t>値</t>
        </is>
      </c>
      <c r="F4" s="12" t="inlineStr">
        <is>
          <t>データ参照</t>
        </is>
      </c>
    </row>
    <row r="5">
      <c r="A5" s="13" t="inlineStr">
        <is>
          <t>TC-NOUS55_DEV-01</t>
        </is>
      </c>
      <c r="B5" s="13" t="inlineStr">
        <is>
          <t>私設 IPv4 と 127.0.0.0/8 は true</t>
        </is>
      </c>
      <c r="C5" s="13" t="inlineStr">
        <is>
          <t>未作成</t>
        </is>
      </c>
      <c r="D5" s="13" t="inlineStr"/>
      <c r="E5" s="13" t="inlineStr"/>
      <c r="F5" s="13" t="inlineStr"/>
    </row>
    <row r="6">
      <c r="A6" s="13" t="inlineStr">
        <is>
          <t>TC-NOUS55_DEV-02</t>
        </is>
      </c>
      <c r="B6" s="13" t="inlineStr">
        <is>
          <t>公開のアドレス・範囲の境界の外・IPv6・不正な形は false</t>
        </is>
      </c>
      <c r="C6" s="13" t="inlineStr">
        <is>
          <t>未作成</t>
        </is>
      </c>
      <c r="D6" s="13" t="inlineStr"/>
      <c r="E6" s="13" t="inlineStr"/>
      <c r="F6" s="13" t="inlineStr"/>
    </row>
    <row r="7">
      <c r="A7" s="13" t="inlineStr">
        <is>
          <t>TC-NOUS55_DEV-03</t>
        </is>
      </c>
      <c r="B7" s="13" t="inlineStr">
        <is>
          <t>'::ffff:' の接頭辞を外す</t>
        </is>
      </c>
      <c r="C7" s="13" t="inlineStr">
        <is>
          <t>未作成</t>
        </is>
      </c>
      <c r="D7" s="13" t="inlineStr"/>
      <c r="E7" s="13" t="inlineStr"/>
      <c r="F7" s="13" t="inlineStr"/>
    </row>
    <row r="8">
      <c r="A8" s="13" t="inlineStr">
        <is>
          <t>TC-NOUS55_DEV-04</t>
        </is>
      </c>
      <c r="B8" s="13" t="inlineStr">
        <is>
          <t>私設アドレス以外からは 403 FORBIDDEN_NETWORK（ヘッダーも付く）</t>
        </is>
      </c>
      <c r="C8" s="13" t="inlineStr">
        <is>
          <t>未作成</t>
        </is>
      </c>
      <c r="D8" s="13" t="inlineStr"/>
      <c r="E8" s="13" t="inlineStr"/>
      <c r="F8" s="13" t="inlineStr"/>
    </row>
    <row r="9">
      <c r="A9" s="13" t="inlineStr">
        <is>
          <t>TC-NOUS55_DEV-05</t>
        </is>
      </c>
      <c r="B9" s="13" t="inlineStr">
        <is>
          <t>送信元が分からない要求も 403</t>
        </is>
      </c>
      <c r="C9" s="13" t="inlineStr">
        <is>
          <t>未作成</t>
        </is>
      </c>
      <c r="D9" s="13" t="inlineStr"/>
      <c r="E9" s="13" t="inlineStr"/>
      <c r="F9" s="13" t="inlineStr"/>
    </row>
    <row r="10">
      <c r="A10" s="13" t="inlineStr">
        <is>
          <t>TC-NOUS55_DEV-06</t>
        </is>
      </c>
      <c r="B10" s="13" t="inlineStr">
        <is>
          <t>IPv4 射影の IPv6（::ffff:192.168.x.x）は通す</t>
        </is>
      </c>
      <c r="C10" s="13" t="inlineStr">
        <is>
          <t>未作成</t>
        </is>
      </c>
      <c r="D10" s="13" t="inlineStr"/>
      <c r="E10" s="13" t="inlineStr"/>
      <c r="F10" s="13" t="inlineStr"/>
    </row>
    <row r="11">
      <c r="A11" s="13" t="inlineStr">
        <is>
          <t>TC-NOUS55_DEV-07</t>
        </is>
      </c>
      <c r="B11" s="13" t="inlineStr">
        <is>
          <t>GET・HEAD 以外は 405 WRITE_NOT_ALLOWED と Allow: GET, HEAD</t>
        </is>
      </c>
      <c r="C11" s="13" t="inlineStr">
        <is>
          <t>未作成</t>
        </is>
      </c>
      <c r="D11" s="13" t="inlineStr"/>
      <c r="E11" s="13" t="inlineStr"/>
      <c r="F11" s="13" t="inlineStr"/>
    </row>
    <row r="12">
      <c r="A12" s="13" t="inlineStr">
        <is>
          <t>TC-NOUS55_DEV-08</t>
        </is>
      </c>
      <c r="B12" s="13" t="inlineStr">
        <is>
          <t>HEAD は 405 にしない</t>
        </is>
      </c>
      <c r="C12" s="13" t="inlineStr">
        <is>
          <t>未作成</t>
        </is>
      </c>
      <c r="D12" s="13" t="inlineStr"/>
      <c r="E12" s="13" t="inlineStr"/>
      <c r="F12" s="13" t="inlineStr"/>
    </row>
    <row r="13">
      <c r="A13" s="13" t="inlineStr">
        <is>
          <t>TC-NOUS55_DEV-09</t>
        </is>
      </c>
      <c r="B13" s="13" t="inlineStr">
        <is>
          <t>応答に CSP・nosniff・no-referrer が付く</t>
        </is>
      </c>
      <c r="C13" s="13" t="inlineStr">
        <is>
          <t>未作成</t>
        </is>
      </c>
      <c r="D13" s="13" t="inlineStr"/>
      <c r="E13" s="13" t="inlineStr"/>
      <c r="F13" s="13" t="inlineStr"/>
    </row>
    <row r="14">
      <c r="A14" s="13" t="inlineStr">
        <is>
          <t>TC-NOUS55_DEV-10</t>
        </is>
      </c>
      <c r="B14" s="13" t="inlineStr">
        <is>
          <t>有効な招待は Cookie を発行して / へ。last_used_at と allowed の記録が残る</t>
        </is>
      </c>
      <c r="C14" s="13" t="inlineStr">
        <is>
          <t>未作成</t>
        </is>
      </c>
      <c r="D14" s="13" t="inlineStr"/>
      <c r="E14" s="13" t="inlineStr"/>
      <c r="F14" s="13" t="inlineStr"/>
    </row>
    <row r="15">
      <c r="A15" s="13" t="inlineStr">
        <is>
          <t>TC-NOUS55_DEV-11</t>
        </is>
      </c>
      <c r="B15" s="13" t="inlineStr">
        <is>
          <t>失効した招待は /not-invited へ。Cookie なし、denied に invitation_id を残す</t>
        </is>
      </c>
      <c r="C15" s="13" t="inlineStr">
        <is>
          <t>未作成</t>
        </is>
      </c>
      <c r="D15" s="13" t="inlineStr"/>
      <c r="E15" s="13" t="inlineStr"/>
      <c r="F15" s="13" t="inlineStr"/>
    </row>
    <row r="16">
      <c r="A16" s="13" t="inlineStr">
        <is>
          <t>TC-NOUS55_DEV-12</t>
        </is>
      </c>
      <c r="B16" s="13" t="inlineStr">
        <is>
          <t>存在しない招待は /not-invited へ。denied の invitation_id は NULL</t>
        </is>
      </c>
      <c r="C16" s="13" t="inlineStr">
        <is>
          <t>未作成</t>
        </is>
      </c>
      <c r="D16" s="13" t="inlineStr"/>
      <c r="E16" s="13" t="inlineStr"/>
      <c r="F16" s="13" t="inlineStr"/>
    </row>
    <row r="17">
      <c r="A17" s="13" t="inlineStr">
        <is>
          <t>TC-NOUS55_DEV-13</t>
        </is>
      </c>
      <c r="B17" s="13" t="inlineStr">
        <is>
          <t>形の不正なトークンは照合せずに /not-invited へ</t>
        </is>
      </c>
      <c r="C17" s="13" t="inlineStr">
        <is>
          <t>未作成</t>
        </is>
      </c>
      <c r="D17" s="13" t="inlineStr"/>
      <c r="E17" s="13" t="inlineStr"/>
      <c r="F17" s="13" t="inlineStr"/>
    </row>
    <row r="18">
      <c r="A18" s="13" t="inlineStr">
        <is>
          <t>TC-NOUS55_DEV-14</t>
        </is>
      </c>
      <c r="B18" s="13" t="inlineStr">
        <is>
          <t>失敗の理由（なし・失効・形）で応答を区別しない</t>
        </is>
      </c>
      <c r="C18" s="13" t="inlineStr">
        <is>
          <t>未作成</t>
        </is>
      </c>
      <c r="D18" s="13" t="inlineStr"/>
      <c r="E18" s="13" t="inlineStr"/>
      <c r="F18" s="13" t="inlineStr"/>
    </row>
    <row r="19">
      <c r="A19" s="13" t="inlineStr">
        <is>
          <t>TC-NOUS55_DEV-15</t>
        </is>
      </c>
      <c r="B19" s="13" t="inlineStr">
        <is>
          <t>Cookie のない /api/* は 401 VIEW_NOT_INVITED</t>
        </is>
      </c>
      <c r="C19" s="13" t="inlineStr">
        <is>
          <t>未作成</t>
        </is>
      </c>
      <c r="D19" s="13" t="inlineStr"/>
      <c r="E19" s="13" t="inlineStr"/>
      <c r="F19" s="13" t="inlineStr"/>
    </row>
    <row r="20">
      <c r="A20" s="13" t="inlineStr">
        <is>
          <t>TC-NOUS55_DEV-16</t>
        </is>
      </c>
      <c r="B20" s="13" t="inlineStr">
        <is>
          <t>失効した招待の Cookie の /api/* は 401</t>
        </is>
      </c>
      <c r="C20" s="13" t="inlineStr">
        <is>
          <t>未作成</t>
        </is>
      </c>
      <c r="D20" s="13" t="inlineStr"/>
      <c r="E20" s="13" t="inlineStr"/>
      <c r="F20" s="13" t="inlineStr"/>
    </row>
    <row r="21">
      <c r="A21" s="13" t="inlineStr">
        <is>
          <t>TC-NOUS55_DEV-17</t>
        </is>
      </c>
      <c r="B21" s="13" t="inlineStr">
        <is>
          <t>有効な Cookie の /api/* は requireViewer を通る（API は NOUS-56 なので 404）</t>
        </is>
      </c>
      <c r="C21" s="13" t="inlineStr">
        <is>
          <t>未作成</t>
        </is>
      </c>
      <c r="D21" s="13" t="inlineStr"/>
      <c r="E21" s="13" t="inlineStr"/>
      <c r="F21" s="13" t="inlineStr"/>
    </row>
    <row r="22">
      <c r="A22" s="13" t="inlineStr">
        <is>
          <t>TC-NOUS55_DEV-18</t>
        </is>
      </c>
      <c r="B22" s="13" t="inlineStr">
        <is>
          <t>招待トークンと Cookie の値をログに出さない</t>
        </is>
      </c>
      <c r="C22" s="13" t="inlineStr">
        <is>
          <t>未作成</t>
        </is>
      </c>
      <c r="D22" s="13" t="inlineStr"/>
      <c r="E22" s="13" t="inlineStr"/>
      <c r="F22" s="13" t="inlineStr"/>
    </row>
    <row r="23">
      <c r="A23" s="13" t="inlineStr">
        <is>
          <t>TC-NOUS55_DEV-19</t>
        </is>
      </c>
      <c r="B23" s="13" t="inlineStr">
        <is>
          <t>想定外の例外は 500 INTERNAL_ERROR（ヘッダー付き）</t>
        </is>
      </c>
      <c r="C23" s="13" t="inlineStr">
        <is>
          <t>未作成</t>
        </is>
      </c>
      <c r="D23" s="13" t="inlineStr"/>
      <c r="E23" s="13" t="inlineStr"/>
      <c r="F23" s="13" t="inlineStr"/>
    </row>
    <row r="24">
      <c r="A24" s="13" t="inlineStr">
        <is>
          <t>TC-NOUS55_DEV-20</t>
        </is>
      </c>
      <c r="B24" s="13" t="inlineStr">
        <is>
          <t>checkInvitation は有効なら招待を、失効・なし・形の不正なら null を返す</t>
        </is>
      </c>
      <c r="C24" s="13" t="inlineStr">
        <is>
          <t>未作成</t>
        </is>
      </c>
      <c r="D24" s="13" t="inlineStr"/>
      <c r="E24" s="13" t="inlineStr"/>
      <c r="F24" s="13" t="inlineStr"/>
    </row>
    <row r="25">
      <c r="A25" s="13" t="inlineStr">
        <is>
          <t>TC-NOUS55_DEV-21</t>
        </is>
      </c>
      <c r="B25" s="13" t="inlineStr">
        <is>
          <t>acceptInvite は denied の記録に失敗しても ok: false を返す</t>
        </is>
      </c>
      <c r="C25" s="13" t="inlineStr">
        <is>
          <t>未作成</t>
        </is>
      </c>
      <c r="D25" s="13" t="inlineStr"/>
      <c r="E25" s="13" t="inlineStr"/>
      <c r="F25" s="13" t="inlineStr"/>
    </row>
    <row r="26">
      <c r="A26" s="13" t="inlineStr">
        <is>
          <t>TC-NOUS55_DEV-22</t>
        </is>
      </c>
      <c r="B26" s="13" t="inlineStr">
        <is>
          <t>静的ファイルと /not-invited は Cookie なしで返す（SPA の index.html）</t>
        </is>
      </c>
      <c r="C26" s="13" t="inlineStr">
        <is>
          <t>未作成</t>
        </is>
      </c>
      <c r="D26" s="13" t="inlineStr"/>
      <c r="E26" s="13" t="inlineStr"/>
      <c r="F26" s="13" t="inlineStr"/>
    </row>
    <row r="27">
      <c r="A27" s="13" t="inlineStr">
        <is>
          <t>TC-NOUS55_DEV-23</t>
        </is>
      </c>
      <c r="B27" s="13" t="inlineStr">
        <is>
          <t>/api/* は index.html に落とさない</t>
        </is>
      </c>
      <c r="C27" s="13" t="inlineStr">
        <is>
          <t>未作成</t>
        </is>
      </c>
      <c r="D27" s="13" t="inlineStr"/>
      <c r="E27" s="13" t="inlineStr"/>
      <c r="F27" s="13" t="inlineStr"/>
    </row>
    <row r="28">
      <c r="A28" s="13" t="inlineStr">
        <is>
          <t>TC-UT_OBS-001</t>
        </is>
      </c>
      <c r="B28" s="13" t="inlineStr">
        <is>
          <t>私設アドレスの範囲の端は true</t>
        </is>
      </c>
      <c r="C28" s="13" t="inlineStr">
        <is>
          <t>未作成</t>
        </is>
      </c>
      <c r="D28" s="13" t="inlineStr"/>
      <c r="E28" s="13" t="inlineStr"/>
      <c r="F28" s="13" t="inlineStr"/>
    </row>
    <row r="29">
      <c r="A29" s="13" t="inlineStr">
        <is>
          <t>TC-UT_OBS-002</t>
        </is>
      </c>
      <c r="B29" s="13" t="inlineStr">
        <is>
          <t>私設アドレスの範囲のすぐ外は false</t>
        </is>
      </c>
      <c r="C29" s="13" t="inlineStr">
        <is>
          <t>未作成</t>
        </is>
      </c>
      <c r="D29" s="13" t="inlineStr"/>
      <c r="E29" s="13" t="inlineStr"/>
      <c r="F29" s="13" t="inlineStr"/>
    </row>
    <row r="30">
      <c r="A30" s="13" t="inlineStr">
        <is>
          <t>TC-UT_OBS-003</t>
        </is>
      </c>
      <c r="B30" s="13" t="inlineStr">
        <is>
          <t>オクテットは 255 までが有効で、256 は false（最後のオクテット）</t>
        </is>
      </c>
      <c r="C30" s="13" t="inlineStr">
        <is>
          <t>未作成</t>
        </is>
      </c>
      <c r="D30" s="13" t="inlineStr"/>
      <c r="E30" s="13" t="inlineStr"/>
      <c r="F30" s="13" t="inlineStr"/>
    </row>
    <row r="31">
      <c r="A31" s="13" t="inlineStr">
        <is>
          <t>TC-UT_OBS-004</t>
        </is>
      </c>
      <c r="B31" s="13" t="inlineStr">
        <is>
          <t>IPv4 の形でないもの（4 桁・末尾のドット・前後の空白・英字）は false</t>
        </is>
      </c>
      <c r="C31" s="13" t="inlineStr">
        <is>
          <t>未作成</t>
        </is>
      </c>
      <c r="D31" s="13" t="inlineStr"/>
      <c r="E31" s="13" t="inlineStr"/>
      <c r="F31" s="13" t="inlineStr"/>
    </row>
    <row r="32">
      <c r="A32" s="13" t="inlineStr">
        <is>
          <t>TC-UT_OBS-005</t>
        </is>
      </c>
      <c r="B32" s="13" t="inlineStr">
        <is>
          <t>設計の 4 つの範囲にないリンクローカル・CGNAT・0.0.0.0 は false</t>
        </is>
      </c>
      <c r="C32" s="13" t="inlineStr">
        <is>
          <t>未作成</t>
        </is>
      </c>
      <c r="D32" s="13" t="inlineStr"/>
      <c r="E32" s="13" t="inlineStr"/>
      <c r="F32" s="13" t="inlineStr"/>
    </row>
    <row r="33">
      <c r="A33" s="13" t="inlineStr">
        <is>
          <t>TC-UT_OBS-006</t>
        </is>
      </c>
      <c r="B33" s="13" t="inlineStr">
        <is>
          <t>normalizeRemoteAddress は大文字の ::FFFF: も外す</t>
        </is>
      </c>
      <c r="C33" s="13" t="inlineStr">
        <is>
          <t>未作成</t>
        </is>
      </c>
      <c r="D33" s="13" t="inlineStr"/>
      <c r="E33" s="13" t="inlineStr"/>
      <c r="F33" s="13" t="inlineStr"/>
    </row>
    <row r="34">
      <c r="A34" s="13" t="inlineStr">
        <is>
          <t>TC-UT_OBS-007</t>
        </is>
      </c>
      <c r="B34" s="13" t="inlineStr">
        <is>
          <t>maskPath は /invite/ の後ろだけを伏せ、他のパスはそのまま</t>
        </is>
      </c>
      <c r="C34" s="13" t="inlineStr">
        <is>
          <t>未作成</t>
        </is>
      </c>
      <c r="D34" s="13" t="inlineStr"/>
      <c r="E34" s="13" t="inlineStr"/>
      <c r="F34" s="13" t="inlineStr"/>
    </row>
    <row r="35">
      <c r="A35" s="13" t="inlineStr">
        <is>
          <t>TC-UT_OBS-008</t>
        </is>
      </c>
      <c r="B35" s="13" t="inlineStr">
        <is>
          <t>IPv6 のループバック（::1）からの要求は 403 FORBIDDEN_NETWORK</t>
        </is>
      </c>
      <c r="C35" s="13" t="inlineStr">
        <is>
          <t>未作成</t>
        </is>
      </c>
      <c r="D35" s="13" t="inlineStr"/>
      <c r="E35" s="13" t="inlineStr"/>
      <c r="F35" s="13" t="inlineStr"/>
    </row>
    <row r="36">
      <c r="A36" s="13" t="inlineStr">
        <is>
          <t>TC-UT_OBS-009</t>
        </is>
      </c>
      <c r="B36" s="13" t="inlineStr">
        <is>
          <t>X-Forwarded-For に私設アドレスがあっても、送信元が公開アドレスなら 403</t>
        </is>
      </c>
      <c r="C36" s="13" t="inlineStr">
        <is>
          <t>未作成</t>
        </is>
      </c>
      <c r="D36" s="13" t="inlineStr"/>
      <c r="E36" s="13" t="inlineStr"/>
      <c r="F36" s="13" t="inlineStr"/>
    </row>
    <row r="37">
      <c r="A37" s="13" t="inlineStr">
        <is>
          <t>TC-UT_OBS-010</t>
        </is>
      </c>
      <c r="B37" s="13" t="inlineStr">
        <is>
          <t>IPv4 射影の公開アドレス（::ffff:8.8.8.8）は 403</t>
        </is>
      </c>
      <c r="C37" s="13" t="inlineStr">
        <is>
          <t>未作成</t>
        </is>
      </c>
      <c r="D37" s="13" t="inlineStr"/>
      <c r="E37" s="13" t="inlineStr"/>
      <c r="F37" s="13" t="inlineStr"/>
    </row>
    <row r="38">
      <c r="A38" s="13" t="inlineStr">
        <is>
          <t>TC-UT_OBS-011</t>
        </is>
      </c>
      <c r="B38" s="13" t="inlineStr">
        <is>
          <t>公開アドレスからの POST は 405 ではなく 403（私設アドレスの検査が先）</t>
        </is>
      </c>
      <c r="C38" s="13" t="inlineStr">
        <is>
          <t>未作成</t>
        </is>
      </c>
      <c r="D38" s="13" t="inlineStr"/>
      <c r="E38" s="13" t="inlineStr"/>
      <c r="F38" s="13" t="inlineStr"/>
    </row>
    <row r="39">
      <c r="A39" s="13" t="inlineStr">
        <is>
          <t>TC-UT_OBS-012</t>
        </is>
      </c>
      <c r="B39" s="13" t="inlineStr">
        <is>
          <t>POST /invite/:token は 405 で、招待の照合も記録もしない</t>
        </is>
      </c>
      <c r="C39" s="13" t="inlineStr">
        <is>
          <t>未作成</t>
        </is>
      </c>
      <c r="D39" s="13" t="inlineStr"/>
      <c r="E39" s="13" t="inlineStr"/>
      <c r="F39" s="13" t="inlineStr"/>
    </row>
    <row r="40">
      <c r="A40" s="13" t="inlineStr">
        <is>
          <t>TC-UT_OBS-013</t>
        </is>
      </c>
      <c r="B40" s="13" t="inlineStr">
        <is>
          <t>OPTIONS も 405 WRITE_NOT_ALLOWED と Allow: GET, HEAD</t>
        </is>
      </c>
      <c r="C40" s="13" t="inlineStr">
        <is>
          <t>未作成</t>
        </is>
      </c>
      <c r="D40" s="13" t="inlineStr"/>
      <c r="E40" s="13" t="inlineStr"/>
      <c r="F40" s="13" t="inlineStr"/>
    </row>
    <row r="41">
      <c r="A41" s="13" t="inlineStr">
        <is>
          <t>TC-UT_OBS-014</t>
        </is>
      </c>
      <c r="B41" s="13" t="inlineStr">
        <is>
          <t>未知のパスの 404 にもセキュリティのヘッダーが付く</t>
        </is>
      </c>
      <c r="C41" s="13" t="inlineStr">
        <is>
          <t>未作成</t>
        </is>
      </c>
      <c r="D41" s="13" t="inlineStr"/>
      <c r="E41" s="13" t="inlineStr"/>
      <c r="F41" s="13" t="inlineStr"/>
    </row>
    <row r="42">
      <c r="A42" s="13" t="inlineStr">
        <is>
          <t>TC-UT_OBS-015</t>
        </is>
      </c>
      <c r="B42" s="13" t="inlineStr">
        <is>
          <t>401 VIEW_NOT_INVITED の応答にもセキュリティのヘッダーが付く</t>
        </is>
      </c>
      <c r="C42" s="13" t="inlineStr">
        <is>
          <t>未作成</t>
        </is>
      </c>
      <c r="D42" s="13" t="inlineStr"/>
      <c r="E42" s="13" t="inlineStr"/>
      <c r="F42" s="13" t="inlineStr"/>
    </row>
    <row r="43">
      <c r="A43" s="13" t="inlineStr">
        <is>
          <t>TC-UT_OBS-016</t>
        </is>
      </c>
      <c r="B43" s="13" t="inlineStr">
        <is>
          <t>同じ招待で 2 回受け付けると allowed が 2 行残り、last_used_at は 2 回目の時刻</t>
        </is>
      </c>
      <c r="C43" s="13" t="inlineStr">
        <is>
          <t>未作成</t>
        </is>
      </c>
      <c r="D43" s="13" t="inlineStr"/>
      <c r="E43" s="13" t="inlineStr"/>
      <c r="F43" s="13" t="inlineStr"/>
    </row>
    <row r="44">
      <c r="A44" s="13" t="inlineStr">
        <is>
          <t>TC-UT_OBS-017</t>
        </is>
      </c>
      <c r="B44" s="13" t="inlineStr">
        <is>
          <t>Cookie の値が招待トークンの形でなければ 401</t>
        </is>
      </c>
      <c r="C44" s="13" t="inlineStr">
        <is>
          <t>未作成</t>
        </is>
      </c>
      <c r="D44" s="13" t="inlineStr"/>
      <c r="E44" s="13" t="inlineStr"/>
      <c r="F44" s="13" t="inlineStr"/>
    </row>
    <row r="45">
      <c r="A45" s="13" t="inlineStr">
        <is>
          <t>TC-UT_OBS-018</t>
        </is>
      </c>
      <c r="B45" s="13" t="inlineStr">
        <is>
          <t>Cookie の値が空なら 401（Cookie なしと同じ扱い）</t>
        </is>
      </c>
      <c r="C45" s="13" t="inlineStr">
        <is>
          <t>未作成</t>
        </is>
      </c>
      <c r="D45" s="13" t="inlineStr"/>
      <c r="E45" s="13" t="inlineStr"/>
      <c r="F45" s="13" t="inlineStr"/>
    </row>
    <row r="46">
      <c r="A46" s="13" t="inlineStr">
        <is>
          <t>TC-UT_OBS-019</t>
        </is>
      </c>
      <c r="B46" s="13" t="inlineStr">
        <is>
          <t>有効な Cookie の API の閲覧では、閲覧の記録も last_used_at の更新もしない</t>
        </is>
      </c>
      <c r="C46" s="13" t="inlineStr">
        <is>
          <t>未作成</t>
        </is>
      </c>
      <c r="D46" s="13" t="inlineStr"/>
      <c r="E46" s="13" t="inlineStr"/>
      <c r="F46" s="13" t="inlineStr"/>
    </row>
    <row r="47">
      <c r="A47" s="13" t="inlineStr">
        <is>
          <t>TC-UT_OBS-020</t>
        </is>
      </c>
      <c r="B47" s="13" t="inlineStr">
        <is>
          <t>Cookie の発行の後に招待を失効させると、次の API の閲覧から 401</t>
        </is>
      </c>
      <c r="C47" s="13" t="inlineStr">
        <is>
          <t>未作成</t>
        </is>
      </c>
      <c r="D47" s="13" t="inlineStr"/>
      <c r="E47" s="13" t="inlineStr"/>
      <c r="F47" s="13" t="inlineStr"/>
    </row>
    <row r="48">
      <c r="A48" s="13" t="inlineStr">
        <is>
          <t>TC-UT_OBS-021</t>
        </is>
      </c>
      <c r="B48" s="13" t="inlineStr">
        <is>
          <t>HEAD /api/world は 200 で本文を返さず、Cache-Control: no-store が付く</t>
        </is>
      </c>
      <c r="C48" s="13" t="inlineStr">
        <is>
          <t>未作成</t>
        </is>
      </c>
      <c r="D48" s="13" t="inlineStr"/>
      <c r="E48" s="13" t="inlineStr"/>
      <c r="F48" s="13" t="inlineStr"/>
    </row>
    <row r="49">
      <c r="A49" s="13" t="inlineStr">
        <is>
          <t>TC-UT_OBS-022</t>
        </is>
      </c>
      <c r="B49" s="13" t="inlineStr">
        <is>
          <t>有効な招待で allowed の記録に失敗したら、last_used_at の更新も取り消す</t>
        </is>
      </c>
      <c r="C49" s="13" t="inlineStr">
        <is>
          <t>未作成</t>
        </is>
      </c>
      <c r="D49" s="13" t="inlineStr"/>
      <c r="E49" s="13" t="inlineStr"/>
      <c r="F49" s="13" t="inlineStr"/>
    </row>
    <row r="50">
      <c r="A50" s="13" t="inlineStr">
        <is>
          <t>TC-UT_OBS-051</t>
        </is>
      </c>
      <c r="B50" s="13" t="inlineStr">
        <is>
          <t>画面のビルドの置き場所がなければ warn を残して配らず、/not-invited は 404</t>
        </is>
      </c>
      <c r="C50" s="13" t="inlineStr">
        <is>
          <t>未作成</t>
        </is>
      </c>
      <c r="D50" s="13" t="inlineStr"/>
      <c r="E50" s="13" t="inlineStr"/>
      <c r="F50" s="13" t="inlineStr"/>
    </row>
  </sheetData>
  <autoFilter ref="A4:F50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1" t="inlineStr">
        <is>
          <t>対象概要</t>
        </is>
      </c>
    </row>
    <row r="3">
      <c r="A3" s="14" t="inlineStr">
        <is>
          <t>タイトル</t>
        </is>
      </c>
      <c r="B3" s="15" t="inlineStr">
        <is>
          <t>観察サーバーの共通と招待（observer の observerServer・middleware・inviteRoutes・inviteService・context）</t>
        </is>
      </c>
    </row>
    <row r="4">
      <c r="A4" s="14" t="inlineStr">
        <is>
          <t>対象ファイル</t>
        </is>
      </c>
      <c r="B4" s="15" t="inlineStr">
        <is>
          <t>apps/server/src/observer/observerServer.ts, apps/server/src/observer/context.ts, apps/server/src/observer/middleware/privateNetworkOnly.ts, apps/server/src/observer/middleware/readOnly.ts, apps/server/src/observer/middleware/securityHeaders.ts, apps/server/src/observer/middleware/viewerAuth.ts, apps/server/src/observer/routes/inviteRoutes.ts, apps/server/src/observer/services/inviteService.ts</t>
        </is>
      </c>
    </row>
    <row r="5">
      <c r="A5" s="14" t="inlineStr">
        <is>
          <t>言語 / フレームワーク</t>
        </is>
      </c>
      <c r="B5" s="15" t="inlineStr">
        <is>
          <t>TypeScript / Vitest 2.1.9（environment: node）</t>
        </is>
      </c>
    </row>
    <row r="6">
      <c r="A6" s="14" t="inlineStr">
        <is>
          <t>テストファイル</t>
        </is>
      </c>
      <c r="B6" s="15" t="inlineStr">
        <is>
          <t>apps/server/src/observer/observer.test.ts（実装時、NOUS-55）, apps/server/src/observer/observer.ut.test.ts（単体テストで追加）</t>
        </is>
      </c>
    </row>
    <row r="7">
      <c r="A7" s="14" t="inlineStr">
        <is>
          <t>外部依存</t>
        </is>
      </c>
      <c r="B7" s="15" t="inlineStr">
        <is>
          <t>一時 DB（createTestDb）（invitations・view_access_logs）, 時計：FakeClock（開始 2026-10-21T09:00:00.000Z）, HTTP：Hono の app.request（実際の通信はしない）, ロガー：createLogger の sinks で行を集めて確かめる, 静的ファイル：mkdtemp の一時ディレクトリ（DEV-22・23）、存在しないパス（UT_OBS-051）</t>
        </is>
      </c>
    </row>
    <row r="8">
      <c r="A8" s="14" t="inlineStr">
        <is>
          <t>作成日</t>
        </is>
      </c>
      <c r="B8" s="15" t="inlineStr">
        <is>
          <t>2026-10-26</t>
        </is>
      </c>
    </row>
    <row r="10">
      <c r="A10" s="16" t="inlineStr">
        <is>
          <t>分岐ID</t>
        </is>
      </c>
      <c r="B10" s="16" t="inlineStr">
        <is>
          <t>条件</t>
        </is>
      </c>
      <c r="C10" s="16" t="inlineStr">
        <is>
          <t>場所</t>
        </is>
      </c>
    </row>
    <row r="11">
      <c r="A11" s="17" t="inlineStr">
        <is>
          <t>B1</t>
        </is>
      </c>
      <c r="B11" s="17" t="inlineStr">
        <is>
          <t>isPrivateIPv4：IPv4 の形（IPV4_PATTERN）に合わない</t>
        </is>
      </c>
      <c r="C11" s="17" t="inlineStr">
        <is>
          <t>privateNetworkOnly.ts:12</t>
        </is>
      </c>
    </row>
    <row r="12">
      <c r="A12" s="17" t="inlineStr">
        <is>
          <t>B2</t>
        </is>
      </c>
      <c r="B12" s="17" t="inlineStr">
        <is>
          <t>isPrivateIPv4：255 を超えるオクテットがある</t>
        </is>
      </c>
      <c r="C12" s="17" t="inlineStr">
        <is>
          <t>privateNetworkOnly.ts:14</t>
        </is>
      </c>
    </row>
    <row r="13">
      <c r="A13" s="17" t="inlineStr">
        <is>
          <t>B3</t>
        </is>
      </c>
      <c r="B13" s="17" t="inlineStr">
        <is>
          <t>isPrivateIPv4：10/8・127/8・172.16/12・192.168/16 のどれかに入る</t>
        </is>
      </c>
      <c r="C13" s="17" t="inlineStr">
        <is>
          <t>privateNetworkOnly.ts:16</t>
        </is>
      </c>
    </row>
    <row r="14">
      <c r="A14" s="17" t="inlineStr">
        <is>
          <t>B4</t>
        </is>
      </c>
      <c r="B14" s="17" t="inlineStr">
        <is>
          <t>normalizeRemoteAddress：::ffff: で始まる（大文字小文字を問わない）</t>
        </is>
      </c>
      <c r="C14" s="17" t="inlineStr">
        <is>
          <t>privateNetworkOnly.ts:21</t>
        </is>
      </c>
    </row>
    <row r="15">
      <c r="A15" s="17" t="inlineStr">
        <is>
          <t>B5</t>
        </is>
      </c>
      <c r="B15" s="17" t="inlineStr">
        <is>
          <t>privateNetworkOnly：送信元のアドレスが取れない（?? ""）</t>
        </is>
      </c>
      <c r="C15" s="17" t="inlineStr">
        <is>
          <t>privateNetworkOnly.ts:30</t>
        </is>
      </c>
    </row>
    <row r="16">
      <c r="A16" s="17" t="inlineStr">
        <is>
          <t>B6</t>
        </is>
      </c>
      <c r="B16" s="17" t="inlineStr">
        <is>
          <t>privateNetworkOnly：私設 IPv4 でない（403 FORBIDDEN_NETWORK）</t>
        </is>
      </c>
      <c r="C16" s="17" t="inlineStr">
        <is>
          <t>privateNetworkOnly.ts:32</t>
        </is>
      </c>
    </row>
    <row r="17">
      <c r="A17" s="17" t="inlineStr">
        <is>
          <t>B7</t>
        </is>
      </c>
      <c r="B17" s="17" t="inlineStr">
        <is>
          <t>readOnly：メソッドが GET・HEAD 以外（405 WRITE_NOT_ALLOWED）</t>
        </is>
      </c>
      <c r="C17" s="17" t="inlineStr">
        <is>
          <t>readOnly.ts:14</t>
        </is>
      </c>
    </row>
    <row r="18">
      <c r="A18" s="17" t="inlineStr">
        <is>
          <t>B8</t>
        </is>
      </c>
      <c r="B18" s="17" t="inlineStr">
        <is>
          <t>requireViewer：Cookie aisns_view がない・空</t>
        </is>
      </c>
      <c r="C18" s="17" t="inlineStr">
        <is>
          <t>viewerAuth.ts:15</t>
        </is>
      </c>
    </row>
    <row r="19">
      <c r="A19" s="17" t="inlineStr">
        <is>
          <t>B9</t>
        </is>
      </c>
      <c r="B19" s="17" t="inlineStr">
        <is>
          <t>requireViewer：招待が有効でない（401 VIEW_NOT_INVITED）</t>
        </is>
      </c>
      <c r="C19" s="17" t="inlineStr">
        <is>
          <t>viewerAuth.ts:16</t>
        </is>
      </c>
    </row>
    <row r="20">
      <c r="A20" s="17" t="inlineStr">
        <is>
          <t>B10</t>
        </is>
      </c>
      <c r="B20" s="17" t="inlineStr">
        <is>
          <t>checkInvitation：トークンの形が不正</t>
        </is>
      </c>
      <c r="C20" s="17" t="inlineStr">
        <is>
          <t>inviteService.ts:41</t>
        </is>
      </c>
    </row>
    <row r="21">
      <c r="A21" s="17" t="inlineStr">
        <is>
          <t>B11</t>
        </is>
      </c>
      <c r="B21" s="17" t="inlineStr">
        <is>
          <t>checkInvitation：見つからない・失効している</t>
        </is>
      </c>
      <c r="C21" s="17" t="inlineStr">
        <is>
          <t>inviteService.ts:43</t>
        </is>
      </c>
    </row>
    <row r="22">
      <c r="A22" s="17" t="inlineStr">
        <is>
          <t>B12</t>
        </is>
      </c>
      <c r="B22" s="17" t="inlineStr">
        <is>
          <t>acceptInvite：招待が有効（last_used_at と allowed を 1 つのトランザクションで）</t>
        </is>
      </c>
      <c r="C22" s="17" t="inlineStr">
        <is>
          <t>inviteService.ts:56</t>
        </is>
      </c>
    </row>
    <row r="23">
      <c r="A23" s="17" t="inlineStr">
        <is>
          <t>B13</t>
        </is>
      </c>
      <c r="B23" s="17" t="inlineStr">
        <is>
          <t>acceptInvite：denied の記録に失敗（ログに残して ok: false）</t>
        </is>
      </c>
      <c r="C23" s="17" t="inlineStr">
        <is>
          <t>inviteService.ts:66</t>
        </is>
      </c>
    </row>
    <row r="24">
      <c r="A24" s="17" t="inlineStr">
        <is>
          <t>B14</t>
        </is>
      </c>
      <c r="B24" s="17" t="inlineStr">
        <is>
          <t>inviteHandler：照合に失敗（/not-invited へ）</t>
        </is>
      </c>
      <c r="C24" s="17" t="inlineStr">
        <is>
          <t>inviteRoutes.ts:18</t>
        </is>
      </c>
    </row>
    <row r="25">
      <c r="A25" s="17" t="inlineStr">
        <is>
          <t>B15</t>
        </is>
      </c>
      <c r="B25" s="17" t="inlineStr">
        <is>
          <t>createObserverApp：staticDir が null でない（画面を配る）</t>
        </is>
      </c>
      <c r="C25" s="17" t="inlineStr">
        <is>
          <t>observerServer.ts:49</t>
        </is>
      </c>
    </row>
    <row r="26">
      <c r="A26" s="17" t="inlineStr">
        <is>
          <t>B16</t>
        </is>
      </c>
      <c r="B26" s="17" t="inlineStr">
        <is>
          <t>createObserverApp：staticDir が存在する</t>
        </is>
      </c>
      <c r="C26" s="17" t="inlineStr">
        <is>
          <t>observerServer.ts:50</t>
        </is>
      </c>
    </row>
    <row r="27">
      <c r="A27" s="17" t="inlineStr">
        <is>
          <t>B17</t>
        </is>
      </c>
      <c r="B27" s="17" t="inlineStr">
        <is>
          <t>SPA の振り分け：パスが /api/ で始まる（index.html に落とさない）</t>
        </is>
      </c>
      <c r="C27" s="17" t="inlineStr">
        <is>
          <t>observerServer.ts:56</t>
        </is>
      </c>
    </row>
    <row r="28">
      <c r="A28" s="17" t="inlineStr">
        <is>
          <t>B18</t>
        </is>
      </c>
      <c r="B28" s="17" t="inlineStr">
        <is>
          <t>onError：例外が AppError</t>
        </is>
      </c>
      <c r="C28" s="17" t="inlineStr">
        <is>
          <t>observerServer.ts:68</t>
        </is>
      </c>
    </row>
    <row r="29">
      <c r="A29" s="17" t="inlineStr">
        <is>
          <t>B19</t>
        </is>
      </c>
      <c r="B29" s="17" t="inlineStr">
        <is>
          <t>onError：WRITE_NOT_ALLOWED なら Allow を付ける</t>
        </is>
      </c>
      <c r="C29" s="17" t="inlineStr">
        <is>
          <t>observerServer.ts:69</t>
        </is>
      </c>
    </row>
    <row r="30">
      <c r="A30" s="17" t="inlineStr">
        <is>
          <t>B20</t>
        </is>
      </c>
      <c r="B30" s="17" t="inlineStr">
        <is>
          <t>maskPath：パスが /invite/ で始まる</t>
        </is>
      </c>
      <c r="C30" s="17" t="inlineStr">
        <is>
          <t>context.ts:22</t>
        </is>
      </c>
    </row>
    <row r="32">
      <c r="A32" s="14" t="inlineStr">
        <is>
          <t>確認事項・潜在バグ</t>
        </is>
      </c>
    </row>
    <row r="33" ht="30" customHeight="1">
      <c r="A33" s="18" t="inlineStr">
        <is>
          <t>・確認事項 1：Hono は HEAD を GET の処理で受けるため、HEAD /invite/:token でも招待を受け付け、last_used_at の更新と allowed の記録、Cookie の発行を行う（TC-NOUS55_DEV-08 は 405 でないことだけを見ている）。HTTP では HEAD は副作用のない方法とされるので、/invite は GET だけにするかを確認したい。</t>
        </is>
      </c>
    </row>
    <row r="34" ht="30" customHeight="1">
      <c r="A34" s="18" t="inlineStr">
        <is>
          <t>・確認事項 2：isPrivateIPv4 は先頭に 0 のあるオクテット（010.0.0.1）も 10 として受ける。ソケットのアドレスにこの形は来ないので実害はないと考える。</t>
        </is>
      </c>
    </row>
    <row r="35" ht="30" customHeight="1">
      <c r="A35" s="18" t="inlineStr">
        <is>
          <t>・確認事項 3：B5（送信元のアドレスが取れない）は app.request に env を渡さない場合だけ通る（TC-NOUS55_DEV-05）。@hono/node-server の実際の要求では socket.remoteAddress が必ずある。</t>
        </is>
      </c>
    </row>
  </sheetData>
  <mergeCells count="3">
    <mergeCell ref="A35:C35"/>
    <mergeCell ref="A33:C33"/>
    <mergeCell ref="A34:C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2026-10-26T05:56:02Z</dcterms:created>
  <dcterms:modified xsi:type="dcterms:W3CDTF">2026-10-26T05:56:02Z</dcterms:modified>
</cp:coreProperties>
</file>