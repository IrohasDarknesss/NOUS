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観点表" sheetId="1" state="visible" r:id="rId1"/>
    <sheet name="サマリ" sheetId="2" state="visible" r:id="rId2"/>
    <sheet name="テストデータ" sheetId="3" state="visible" r:id="rId3"/>
    <sheet name="対象概要" sheetId="4" state="visible" r:id="rId4"/>
  </sheets>
  <definedNames>
    <definedName name="_xlnm._FilterDatabase" localSheetId="0" hidden="1">'観点表'!$A$4:$Q$48</definedName>
    <definedName name="_xlnm.Print_Titles" localSheetId="0">'観点表'!$4:$4</definedName>
    <definedName name="_xlnm._FilterDatabase" localSheetId="2" hidden="1">'テストデータ'!$A$4:$F$48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i val="1"/>
      <color rgb="00595959"/>
      <sz val="9"/>
    </font>
    <font>
      <name val="Meiryo UI"/>
      <b val="1"/>
      <color rgb="00FFFFFF"/>
      <sz val="10"/>
    </font>
    <font>
      <name val="Meiryo UI"/>
      <sz val="10"/>
    </font>
    <font>
      <name val="Meiryo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5" fillId="4" borderId="0" pivotButton="0" quotePrefix="0" xfId="0"/>
    <xf numFmtId="0" fontId="0" fillId="4" borderId="0" pivotButton="0" quotePrefix="0" xfId="0"/>
    <xf numFmtId="0" fontId="4" fillId="0" borderId="1" pivotButton="0" quotePrefix="0" xfId="0"/>
    <xf numFmtId="164" fontId="4" fillId="0" borderId="1" pivotButton="0" quotePrefix="0" xfId="0"/>
    <xf numFmtId="0" fontId="3" fillId="2" borderId="1" applyAlignment="1" pivotButton="0" quotePrefix="0" xfId="0">
      <alignment horizontal="center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4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9" customWidth="1" min="4" max="4"/>
    <col width="11" customWidth="1" min="5" max="5"/>
    <col width="30" customWidth="1" min="6" max="6"/>
    <col width="32" customWidth="1" min="7" max="7"/>
    <col width="32" customWidth="1" min="8" max="8"/>
    <col width="13" customWidth="1" min="9" max="9"/>
    <col width="22" customWidth="1" min="10" max="10"/>
    <col width="30" customWidth="1" min="11" max="11"/>
    <col width="26" customWidth="1" min="12" max="12"/>
    <col width="30" customWidth="1" min="13" max="13"/>
    <col width="10" customWidth="1" min="14" max="14"/>
    <col width="11" customWidth="1" min="15" max="15"/>
    <col width="10" customWidth="1" min="16" max="16"/>
    <col width="30" customWidth="1" min="17" max="17"/>
  </cols>
  <sheetData>
    <row r="1">
      <c r="A1" s="1" t="inlineStr">
        <is>
          <t>テスト観点表: 観察 API 6 本（observer の apiRoutes・timelineService・threadService・agentService・mappers）</t>
        </is>
      </c>
    </row>
    <row r="2">
      <c r="A2" s="2" t="inlineStr">
        <is>
          <t>黄色の列（実施結果・実施日・確認者・備考）を記入してください。観点やテストデータを修正した場合は import_test_matrix.py で JSON に取り込めます。</t>
        </is>
      </c>
    </row>
    <row r="4" ht="28" customHeight="1">
      <c r="A4" s="3" t="inlineStr">
        <is>
          <t>No</t>
        </is>
      </c>
      <c r="B4" s="3" t="inlineStr">
        <is>
          <t>ID</t>
        </is>
      </c>
      <c r="C4" s="3" t="inlineStr">
        <is>
          <t>対象</t>
        </is>
      </c>
      <c r="D4" s="3" t="inlineStr">
        <is>
          <t>分類</t>
        </is>
      </c>
      <c r="E4" s="3" t="inlineStr">
        <is>
          <t>技法</t>
        </is>
      </c>
      <c r="F4" s="3" t="inlineStr">
        <is>
          <t>観点</t>
        </is>
      </c>
      <c r="G4" s="3" t="inlineStr">
        <is>
          <t>入力・前提条件</t>
        </is>
      </c>
      <c r="H4" s="3" t="inlineStr">
        <is>
          <t>期待結果</t>
        </is>
      </c>
      <c r="I4" s="3" t="inlineStr">
        <is>
          <t>網羅する分岐</t>
        </is>
      </c>
      <c r="J4" s="3" t="inlineStr">
        <is>
          <t>モック</t>
        </is>
      </c>
      <c r="K4" s="3" t="inlineStr">
        <is>
          <t>テストデータ（具体値）</t>
        </is>
      </c>
      <c r="L4" s="3" t="inlineStr">
        <is>
          <t>データ参照</t>
        </is>
      </c>
      <c r="M4" s="3" t="inlineStr">
        <is>
          <t>テスト関数名</t>
        </is>
      </c>
      <c r="N4" s="3" t="inlineStr">
        <is>
          <t>実施結果</t>
        </is>
      </c>
      <c r="O4" s="3" t="inlineStr">
        <is>
          <t>実施日</t>
        </is>
      </c>
      <c r="P4" s="3" t="inlineStr">
        <is>
          <t>確認者</t>
        </is>
      </c>
      <c r="Q4" s="3" t="inlineStr">
        <is>
          <t>備考</t>
        </is>
      </c>
    </row>
    <row r="5">
      <c r="A5" s="4" t="n">
        <v>1</v>
      </c>
      <c r="B5" s="4" t="inlineStr">
        <is>
          <t>TC-NOUS56_DEV-03</t>
        </is>
      </c>
      <c r="C5" s="5" t="inlineStr">
        <is>
          <t>GET /api/world</t>
        </is>
      </c>
      <c r="D5" s="4" t="inlineStr">
        <is>
          <t>正常系</t>
        </is>
      </c>
      <c r="E5" s="4" t="inlineStr">
        <is>
          <t>開発者テスト</t>
        </is>
      </c>
      <c r="F5" s="5" t="inlineStr">
        <is>
          <t>running の世界で state・worldTimeSec・isRunning: true・updatedAt と Cache-Control: no-store を返す</t>
        </is>
      </c>
      <c r="G5" s="5" t="inlineStr">
        <is>
          <t>前提：running の世界
入力：GET /api/world</t>
        </is>
      </c>
      <c r="H5" s="5" t="inlineStr">
        <is>
          <t>state・worldTimeSec・isRunning: true・updatedAt、Cache-Control: no-store</t>
        </is>
      </c>
      <c r="I5" s="5" t="inlineStr">
        <is>
          <t>B1-F, B9-F</t>
        </is>
      </c>
      <c r="J5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5" s="5" t="inlineStr"/>
      <c r="L5" s="5" t="inlineStr"/>
      <c r="M5" s="5" t="inlineStr">
        <is>
          <t>TC-NOUS56_DEV-03 running の世界で state・worldTimeSec・isRunning: true・updatedAt と Cache-Control: no-store を返す</t>
        </is>
      </c>
      <c r="N5" s="6" t="inlineStr">
        <is>
          <t>未実施</t>
        </is>
      </c>
      <c r="O5" s="6" t="inlineStr"/>
      <c r="P5" s="6" t="inlineStr"/>
      <c r="Q5" s="7" t="inlineStr">
        <is>
          <t>既存テスト：実装時のテスト（NOUS-56）</t>
        </is>
      </c>
    </row>
    <row r="6">
      <c r="A6" s="4" t="n">
        <v>2</v>
      </c>
      <c r="B6" s="4" t="inlineStr">
        <is>
          <t>TC-NOUS56_DEV-04</t>
        </is>
      </c>
      <c r="C6" s="5" t="inlineStr">
        <is>
          <t>GET /api/world</t>
        </is>
      </c>
      <c r="D6" s="4" t="inlineStr">
        <is>
          <t>正常系</t>
        </is>
      </c>
      <c r="E6" s="4" t="inlineStr">
        <is>
          <t>開発者テスト</t>
        </is>
      </c>
      <c r="F6" s="5" t="inlineStr">
        <is>
          <t>paused の世界では isRunning: false と確定済みの worldTimeSec を返す</t>
        </is>
      </c>
      <c r="G6" s="5" t="inlineStr">
        <is>
          <t>前提：paused の世界
入力：GET /api/world</t>
        </is>
      </c>
      <c r="H6" s="5" t="inlineStr">
        <is>
          <t>isRunning: false、確定済みの worldTimeSec</t>
        </is>
      </c>
      <c r="I6" s="5" t="inlineStr">
        <is>
          <t>B1-F</t>
        </is>
      </c>
      <c r="J6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6" s="5" t="inlineStr"/>
      <c r="L6" s="5" t="inlineStr"/>
      <c r="M6" s="5" t="inlineStr">
        <is>
          <t>TC-NOUS56_DEV-04 paused の世界では isRunning: false と確定済みの worldTimeSec を返す</t>
        </is>
      </c>
      <c r="N6" s="6" t="inlineStr">
        <is>
          <t>未実施</t>
        </is>
      </c>
      <c r="O6" s="6" t="inlineStr"/>
      <c r="P6" s="6" t="inlineStr"/>
      <c r="Q6" s="7" t="inlineStr">
        <is>
          <t>既存テスト：実装時のテスト（NOUS-56）</t>
        </is>
      </c>
    </row>
    <row r="7">
      <c r="A7" s="4" t="n">
        <v>3</v>
      </c>
      <c r="B7" s="4" t="inlineStr">
        <is>
          <t>TC-NOUS56_DEV-05</t>
        </is>
      </c>
      <c r="C7" s="5" t="inlineStr">
        <is>
          <t>GET /api/world</t>
        </is>
      </c>
      <c r="D7" s="4" t="inlineStr">
        <is>
          <t>異常系</t>
        </is>
      </c>
      <c r="E7" s="4" t="inlineStr">
        <is>
          <t>開発者テスト</t>
        </is>
      </c>
      <c r="F7" s="5" t="inlineStr">
        <is>
          <t>現在の世界が存在しない場合は 404 WORLD_NOT_FOUND を返す</t>
        </is>
      </c>
      <c r="G7" s="5" t="inlineStr">
        <is>
          <t>前提：世界がない
入力：GET /api/world</t>
        </is>
      </c>
      <c r="H7" s="5" t="inlineStr">
        <is>
          <t>404 WORLD_NOT_FOUND</t>
        </is>
      </c>
      <c r="I7" s="5" t="inlineStr">
        <is>
          <t>B1-T</t>
        </is>
      </c>
      <c r="J7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7" s="5" t="inlineStr"/>
      <c r="L7" s="5" t="inlineStr"/>
      <c r="M7" s="5" t="inlineStr">
        <is>
          <t>TC-NOUS56_DEV-05 現在の世界が存在しない場合は 404 WORLD_NOT_FOUND を返す</t>
        </is>
      </c>
      <c r="N7" s="6" t="inlineStr">
        <is>
          <t>未実施</t>
        </is>
      </c>
      <c r="O7" s="6" t="inlineStr"/>
      <c r="P7" s="6" t="inlineStr"/>
      <c r="Q7" s="7" t="inlineStr">
        <is>
          <t>既存テスト：実装時のテスト（NOUS-56）
設計書に記載なし。実装の値（NOUS-56 の未確定事項）</t>
        </is>
      </c>
    </row>
    <row r="8">
      <c r="A8" s="4" t="n">
        <v>4</v>
      </c>
      <c r="B8" s="4" t="inlineStr">
        <is>
          <t>TC-NOUS56_DEV-06</t>
        </is>
      </c>
      <c r="C8" s="5" t="inlineStr">
        <is>
          <t>GET /api/timeline</t>
        </is>
      </c>
      <c r="D8" s="4" t="inlineStr">
        <is>
          <t>正常系</t>
        </is>
      </c>
      <c r="E8" s="4" t="inlineStr">
        <is>
          <t>開発者テスト</t>
        </is>
      </c>
      <c r="F8" s="5" t="inlineStr">
        <is>
          <t>public の投稿だけを (world_time_sec, post_id) の降順で返し、hidden や別世界の投稿は含めない</t>
        </is>
      </c>
      <c r="G8" s="5" t="inlineStr">
        <is>
          <t>前提：public・hidden・別の世界の投稿
入力：GET /api/timeline</t>
        </is>
      </c>
      <c r="H8" s="5" t="inlineStr">
        <is>
          <t>public だけを (world_time_sec, post_id) の降順で</t>
        </is>
      </c>
      <c r="I8" s="5" t="inlineStr">
        <is>
          <t>B6-F, B8-F, B10-F, B11-F, B12-F</t>
        </is>
      </c>
      <c r="J8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8" s="5" t="inlineStr"/>
      <c r="L8" s="5" t="inlineStr"/>
      <c r="M8" s="5" t="inlineStr">
        <is>
          <t>TC-NOUS56_DEV-06 public の投稿だけを (world_time_sec, post_id) の降順で返し、hidden や別世界の投稿は含めない</t>
        </is>
      </c>
      <c r="N8" s="6" t="inlineStr">
        <is>
          <t>未実施</t>
        </is>
      </c>
      <c r="O8" s="6" t="inlineStr"/>
      <c r="P8" s="6" t="inlineStr"/>
      <c r="Q8" s="7" t="inlineStr">
        <is>
          <t>既存テスト：実装時のテスト（NOUS-56）</t>
        </is>
      </c>
    </row>
    <row r="9">
      <c r="A9" s="4" t="n">
        <v>5</v>
      </c>
      <c r="B9" s="4" t="inlineStr">
        <is>
          <t>TC-NOUS56_DEV-07</t>
        </is>
      </c>
      <c r="C9" s="5" t="inlineStr">
        <is>
          <t>GET /api/timeline</t>
        </is>
      </c>
      <c r="D9" s="4" t="inlineStr">
        <is>
          <t>正常系</t>
        </is>
      </c>
      <c r="E9" s="4" t="inlineStr">
        <is>
          <t>開発者テスト</t>
        </is>
      </c>
      <c r="F9" s="5" t="inlineStr">
        <is>
          <t>limit と nextCursor で続きを重複・欠落なくページ送りできる</t>
        </is>
      </c>
      <c r="G9" s="5" t="inlineStr">
        <is>
          <t>前提：5 件（同じ秒が 2 件）
入力：limit=2 で 3 ページ</t>
        </is>
      </c>
      <c r="H9" s="5" t="inlineStr">
        <is>
          <t>重複・欠落なく [p5,p4]・[p3,p2]・[p1]、最後は nextCursor null</t>
        </is>
      </c>
      <c r="I9" s="5" t="inlineStr">
        <is>
          <t>B6-T, B6-F, B12-T</t>
        </is>
      </c>
      <c r="J9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9" s="5" t="inlineStr"/>
      <c r="L9" s="5" t="inlineStr"/>
      <c r="M9" s="5" t="inlineStr">
        <is>
          <t>TC-NOUS56_DEV-07 limit と nextCursor で続きを重複・欠落なくページ送りできる</t>
        </is>
      </c>
      <c r="N9" s="6" t="inlineStr">
        <is>
          <t>未実施</t>
        </is>
      </c>
      <c r="O9" s="6" t="inlineStr"/>
      <c r="P9" s="6" t="inlineStr"/>
      <c r="Q9" s="7" t="inlineStr">
        <is>
          <t>既存テスト：実装時のテスト（NOUS-56）</t>
        </is>
      </c>
    </row>
    <row r="10">
      <c r="A10" s="4" t="n">
        <v>6</v>
      </c>
      <c r="B10" s="4" t="inlineStr">
        <is>
          <t>TC-NOUS56_DEV-08</t>
        </is>
      </c>
      <c r="C10" s="5" t="inlineStr">
        <is>
          <t>GET /api/timeline</t>
        </is>
      </c>
      <c r="D10" s="4" t="inlineStr">
        <is>
          <t>正常系</t>
        </is>
      </c>
      <c r="E10" s="4" t="inlineStr">
        <is>
          <t>開発者テスト</t>
        </is>
      </c>
      <c r="F10" s="5" t="inlineStr">
        <is>
          <t>replyCount（publicのみ）・likeCount・replyTo（hiddenの親でも返す）を付与する</t>
        </is>
      </c>
      <c r="G10" s="5" t="inlineStr">
        <is>
          <t>前提：返信・いいね・hidden の親
入力：GET /api/timeline</t>
        </is>
      </c>
      <c r="H10" s="5" t="inlineStr">
        <is>
          <t>replyCount（public だけ）・likeCount・replyTo（hidden の親でも返す）</t>
        </is>
      </c>
      <c r="I10" s="5" t="inlineStr">
        <is>
          <t>B7-T, B7-F</t>
        </is>
      </c>
      <c r="J10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10" s="5" t="inlineStr"/>
      <c r="L10" s="5" t="inlineStr"/>
      <c r="M10" s="5" t="inlineStr">
        <is>
          <t>TC-NOUS56_DEV-08 replyCount（publicのみ）・likeCount・replyTo（hiddenの親でも返す）を付与する</t>
        </is>
      </c>
      <c r="N10" s="6" t="inlineStr">
        <is>
          <t>未実施</t>
        </is>
      </c>
      <c r="O10" s="6" t="inlineStr"/>
      <c r="P10" s="6" t="inlineStr"/>
      <c r="Q10" s="7" t="inlineStr">
        <is>
          <t>既存テスト：実装時のテスト（NOUS-56）</t>
        </is>
      </c>
    </row>
    <row r="11">
      <c r="A11" s="4" t="n">
        <v>7</v>
      </c>
      <c r="B11" s="4" t="inlineStr">
        <is>
          <t>TC-NOUS56_DEV-09</t>
        </is>
      </c>
      <c r="C11" s="5" t="inlineStr">
        <is>
          <t>GET /api/timeline</t>
        </is>
      </c>
      <c r="D11" s="4" t="inlineStr">
        <is>
          <t>正常系</t>
        </is>
      </c>
      <c r="E11" s="4" t="inlineStr">
        <is>
          <t>開発者テスト</t>
        </is>
      </c>
      <c r="F11" s="5" t="inlineStr">
        <is>
          <t>since 指定時はその投稿より新しい public 投稿を最大 50 件返し、nextCursor は null、cursor と両方あれば since を優先する</t>
        </is>
      </c>
      <c r="G11" s="5" t="inlineStr">
        <is>
          <t>前提：since の投稿より新しい投稿
入力：since、since と cursor の両方</t>
        </is>
      </c>
      <c r="H11" s="5" t="inlineStr">
        <is>
          <t>新しい public を最大 50 件、nextCursor null、since を優先</t>
        </is>
      </c>
      <c r="I11" s="5" t="inlineStr">
        <is>
          <t>B5-F, B8-T, B10-T</t>
        </is>
      </c>
      <c r="J11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11" s="5" t="inlineStr"/>
      <c r="L11" s="5" t="inlineStr"/>
      <c r="M11" s="5" t="inlineStr">
        <is>
          <t>TC-NOUS56_DEV-09 since 指定時はその投稿より新しい public 投稿を最大 50 件返し、nextCursor は null、cursor と両方あれば since を優先する</t>
        </is>
      </c>
      <c r="N11" s="6" t="inlineStr">
        <is>
          <t>未実施</t>
        </is>
      </c>
      <c r="O11" s="6" t="inlineStr"/>
      <c r="P11" s="6" t="inlineStr"/>
      <c r="Q11" s="7" t="inlineStr">
        <is>
          <t>既存テスト：実装時のテスト（NOUS-56）</t>
        </is>
      </c>
    </row>
    <row r="12">
      <c r="A12" s="4" t="n">
        <v>8</v>
      </c>
      <c r="B12" s="4" t="inlineStr">
        <is>
          <t>TC-NOUS56_DEV-10</t>
        </is>
      </c>
      <c r="C12" s="5" t="inlineStr">
        <is>
          <t>GET /api/timeline</t>
        </is>
      </c>
      <c r="D12" s="4" t="inlineStr">
        <is>
          <t>異常系</t>
        </is>
      </c>
      <c r="E12" s="4" t="inlineStr">
        <is>
          <t>開発者テスト</t>
        </is>
      </c>
      <c r="F12" s="5" t="inlineStr">
        <is>
          <t>不正な cursor・limit・since で 400 VALIDATION_ERROR を返す</t>
        </is>
      </c>
      <c r="G12" s="5" t="inlineStr">
        <is>
          <t>前提：running の世界
入力：limit=0・51・abc、since=short、cursor の 1 要素・負・数字でない・短い ID</t>
        </is>
      </c>
      <c r="H12" s="5" t="inlineStr">
        <is>
          <t>400 VALIDATION_ERROR と各 fields</t>
        </is>
      </c>
      <c r="I12" s="5" t="inlineStr">
        <is>
          <t>B9-T, B2-T, B3-T</t>
        </is>
      </c>
      <c r="J12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12" s="5" t="inlineStr"/>
      <c r="L12" s="5" t="inlineStr"/>
      <c r="M12" s="5" t="inlineStr">
        <is>
          <t>TC-NOUS56_DEV-10 不正な cursor・limit・since で 400 VALIDATION_ERROR を返す</t>
        </is>
      </c>
      <c r="N12" s="6" t="inlineStr">
        <is>
          <t>未実施</t>
        </is>
      </c>
      <c r="O12" s="6" t="inlineStr"/>
      <c r="P12" s="6" t="inlineStr"/>
      <c r="Q12" s="7" t="inlineStr">
        <is>
          <t>既存テスト：実装時のテスト（NOUS-56）</t>
        </is>
      </c>
    </row>
    <row r="13">
      <c r="A13" s="4" t="n">
        <v>9</v>
      </c>
      <c r="B13" s="4" t="inlineStr">
        <is>
          <t>TC-NOUS56_DEV-11</t>
        </is>
      </c>
      <c r="C13" s="5" t="inlineStr">
        <is>
          <t>GET /api/posts/:postId/thread</t>
        </is>
      </c>
      <c r="D13" s="4" t="inlineStr">
        <is>
          <t>正常系</t>
        </is>
      </c>
      <c r="E13" s="4" t="inlineStr">
        <is>
          <t>開発者テスト</t>
        </is>
      </c>
      <c r="F13" s="5" t="inlineStr">
        <is>
          <t>スレッドの木を組み立て、hidden の節は body と agent を null（hidden: true）にして子を残す</t>
        </is>
      </c>
      <c r="G13" s="5" t="inlineStr">
        <is>
          <t>前提：起点・hidden の返信・その子
入力：hidden の投稿を postId に</t>
        </is>
      </c>
      <c r="H13" s="5" t="inlineStr">
        <is>
          <t>200、hidden の節は body・agent が null で子を残す、likeCount</t>
        </is>
      </c>
      <c r="I13" s="5" t="inlineStr">
        <is>
          <t>B13-F, B14-F, B16-F, B17-T, B17-F</t>
        </is>
      </c>
      <c r="J13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13" s="5" t="inlineStr"/>
      <c r="L13" s="5" t="inlineStr"/>
      <c r="M13" s="5" t="inlineStr">
        <is>
          <t>TC-NOUS56_DEV-11 スレッドの木を組み立て、hidden の節は body と agent を null（hidden: true）にして子を残す</t>
        </is>
      </c>
      <c r="N13" s="6" t="inlineStr">
        <is>
          <t>未実施</t>
        </is>
      </c>
      <c r="O13" s="6" t="inlineStr"/>
      <c r="P13" s="6" t="inlineStr"/>
      <c r="Q13" s="7" t="inlineStr">
        <is>
          <t>既存テスト：実装時のテスト（NOUS-56）</t>
        </is>
      </c>
    </row>
    <row r="14">
      <c r="A14" s="4" t="n">
        <v>10</v>
      </c>
      <c r="B14" s="4" t="inlineStr">
        <is>
          <t>TC-NOUS56_DEV-12</t>
        </is>
      </c>
      <c r="C14" s="5" t="inlineStr">
        <is>
          <t>GET /api/posts/:postId/thread</t>
        </is>
      </c>
      <c r="D14" s="4" t="inlineStr">
        <is>
          <t>正常系</t>
        </is>
      </c>
      <c r="E14" s="4" t="inlineStr">
        <is>
          <t>開発者テスト</t>
        </is>
      </c>
      <c r="F14" s="5" t="inlineStr">
        <is>
          <t>depth の上限で children を空にして moreCount に子孫総数を入れ、from 指定で部分木を返す</t>
        </is>
      </c>
      <c r="G14" s="5" t="inlineStr">
        <is>
          <t>前提：段数 0〜3 の鎖（段数 3 が 2 件）
入力：depth=1、from=c2&amp;depth=1</t>
        </is>
      </c>
      <c r="H14" s="5" t="inlineStr">
        <is>
          <t>段数 1 の節の moreCount=3、from の部分木</t>
        </is>
      </c>
      <c r="I14" s="5" t="inlineStr">
        <is>
          <t>B14-T, B15-F, B16-T</t>
        </is>
      </c>
      <c r="J14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14" s="5" t="inlineStr"/>
      <c r="L14" s="5" t="inlineStr"/>
      <c r="M14" s="5" t="inlineStr">
        <is>
          <t>TC-NOUS56_DEV-12 depth の上限で children を空にして moreCount に子孫総数を入れ、from 指定で部分木を返す</t>
        </is>
      </c>
      <c r="N14" s="6" t="inlineStr">
        <is>
          <t>未実施</t>
        </is>
      </c>
      <c r="O14" s="6" t="inlineStr"/>
      <c r="P14" s="6" t="inlineStr"/>
      <c r="Q14" s="7" t="inlineStr">
        <is>
          <t>既存テスト：実装時のテスト（NOUS-56）</t>
        </is>
      </c>
    </row>
    <row r="15">
      <c r="A15" s="4" t="n">
        <v>11</v>
      </c>
      <c r="B15" s="4" t="inlineStr">
        <is>
          <t>TC-NOUS56_DEV-13</t>
        </is>
      </c>
      <c r="C15" s="5" t="inlineStr">
        <is>
          <t>GET /api/posts/:postId/thread</t>
        </is>
      </c>
      <c r="D15" s="4" t="inlineStr">
        <is>
          <t>異常系</t>
        </is>
      </c>
      <c r="E15" s="4" t="inlineStr">
        <is>
          <t>開発者テスト</t>
        </is>
      </c>
      <c r="F15" s="5" t="inlineStr">
        <is>
          <t>存在しない postId・別スレッドの from は 404 POST_NOT_FOUND、不正な depth・from は 400 VALIDATION_ERROR</t>
        </is>
      </c>
      <c r="G15" s="5" t="inlineStr">
        <is>
          <t>前提：2 つのスレッド
入力：存在しない postId、別スレッドの from、depth=11、from=bad</t>
        </is>
      </c>
      <c r="H15" s="5" t="inlineStr">
        <is>
          <t>404 POST_NOT_FOUND・404・400・400</t>
        </is>
      </c>
      <c r="I15" s="5" t="inlineStr">
        <is>
          <t>B13-T, B15-T, B9-T</t>
        </is>
      </c>
      <c r="J15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15" s="5" t="inlineStr"/>
      <c r="L15" s="5" t="inlineStr"/>
      <c r="M15" s="5" t="inlineStr">
        <is>
          <t>TC-NOUS56_DEV-13 存在しない postId・別スレッドの from は 404 POST_NOT_FOUND、不正な depth・from は 400 VALIDATION_ERROR</t>
        </is>
      </c>
      <c r="N15" s="6" t="inlineStr">
        <is>
          <t>未実施</t>
        </is>
      </c>
      <c r="O15" s="6" t="inlineStr"/>
      <c r="P15" s="6" t="inlineStr"/>
      <c r="Q15" s="7" t="inlineStr">
        <is>
          <t>既存テスト：実装時のテスト（NOUS-56）</t>
        </is>
      </c>
    </row>
    <row r="16">
      <c r="A16" s="4" t="n">
        <v>12</v>
      </c>
      <c r="B16" s="4" t="inlineStr">
        <is>
          <t>TC-NOUS56_DEV-14</t>
        </is>
      </c>
      <c r="C16" s="5" t="inlineStr">
        <is>
          <t>GET /api/agents/:agentId</t>
        </is>
      </c>
      <c r="D16" s="4" t="inlineStr">
        <is>
          <t>正常系</t>
        </is>
      </c>
      <c r="E16" s="4" t="inlineStr">
        <is>
          <t>開発者テスト</t>
        </is>
      </c>
      <c r="F16" s="5" t="inlineStr">
        <is>
          <t>プロフィールと件数（継続中フォロー・public投稿のみ）を返し、activity_level は含めず、停止中も返す</t>
        </is>
      </c>
      <c r="G16" s="5" t="inlineStr">
        <is>
          <t>前提：停止中のエージェント、継続中と解除済みのフォロー、public と hidden の投稿
入力：GET /api/agents/:agentId</t>
        </is>
      </c>
      <c r="H16" s="5" t="inlineStr">
        <is>
          <t>プロフィールと件数、activity_level を含めない、停止中も返す</t>
        </is>
      </c>
      <c r="I16" s="5" t="inlineStr">
        <is>
          <t>B18-F</t>
        </is>
      </c>
      <c r="J16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16" s="5" t="inlineStr"/>
      <c r="L16" s="5" t="inlineStr"/>
      <c r="M16" s="5" t="inlineStr">
        <is>
          <t>TC-NOUS56_DEV-14 プロフィールと件数（継続中フォロー・public投稿のみ）を返し、activity_level は含めず、停止中も返す</t>
        </is>
      </c>
      <c r="N16" s="6" t="inlineStr">
        <is>
          <t>未実施</t>
        </is>
      </c>
      <c r="O16" s="6" t="inlineStr"/>
      <c r="P16" s="6" t="inlineStr"/>
      <c r="Q16" s="7" t="inlineStr">
        <is>
          <t>既存テスト：実装時のテスト（NOUS-56）</t>
        </is>
      </c>
    </row>
    <row r="17">
      <c r="A17" s="4" t="n">
        <v>13</v>
      </c>
      <c r="B17" s="4" t="inlineStr">
        <is>
          <t>TC-NOUS56_DEV-15</t>
        </is>
      </c>
      <c r="C17" s="5" t="inlineStr">
        <is>
          <t>GET /api/agents/:agentId</t>
        </is>
      </c>
      <c r="D17" s="4" t="inlineStr">
        <is>
          <t>異常系</t>
        </is>
      </c>
      <c r="E17" s="4" t="inlineStr">
        <is>
          <t>開発者テスト</t>
        </is>
      </c>
      <c r="F17" s="5" t="inlineStr">
        <is>
          <t>現在の世界にいないエージェントは 404 AGENT_NOT_FOUND を返す</t>
        </is>
      </c>
      <c r="G17" s="5" t="inlineStr">
        <is>
          <t>前提：別の世界のエージェント
入力：GET /api/agents/:agentId</t>
        </is>
      </c>
      <c r="H17" s="5" t="inlineStr">
        <is>
          <t>404 AGENT_NOT_FOUND</t>
        </is>
      </c>
      <c r="I17" s="5" t="inlineStr">
        <is>
          <t>B18-T</t>
        </is>
      </c>
      <c r="J17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17" s="5" t="inlineStr"/>
      <c r="L17" s="5" t="inlineStr"/>
      <c r="M17" s="5" t="inlineStr">
        <is>
          <t>TC-NOUS56_DEV-15 現在の世界にいないエージェントは 404 AGENT_NOT_FOUND を返す</t>
        </is>
      </c>
      <c r="N17" s="6" t="inlineStr">
        <is>
          <t>未実施</t>
        </is>
      </c>
      <c r="O17" s="6" t="inlineStr"/>
      <c r="P17" s="6" t="inlineStr"/>
      <c r="Q17" s="7" t="inlineStr">
        <is>
          <t>既存テスト：実装時のテスト（NOUS-56）</t>
        </is>
      </c>
    </row>
    <row r="18">
      <c r="A18" s="4" t="n">
        <v>14</v>
      </c>
      <c r="B18" s="4" t="inlineStr">
        <is>
          <t>TC-NOUS56_DEV-16</t>
        </is>
      </c>
      <c r="C18" s="5" t="inlineStr">
        <is>
          <t>GET /api/agents/:agentId/posts</t>
        </is>
      </c>
      <c r="D18" s="4" t="inlineStr">
        <is>
          <t>正常系</t>
        </is>
      </c>
      <c r="E18" s="4" t="inlineStr">
        <is>
          <t>開発者テスト</t>
        </is>
      </c>
      <c r="F18" s="5" t="inlineStr">
        <is>
          <t>指定エージェントの public 投稿（返信含む）だけをカーソルでページ送りでき、不在なら 404</t>
        </is>
      </c>
      <c r="G18" s="5" t="inlineStr">
        <is>
          <t>前提：自分と他人の投稿、hidden
入力：limit と cursor、存在しないエージェント</t>
        </is>
      </c>
      <c r="H18" s="5" t="inlineStr">
        <is>
          <t>自分の public（返信を含む）だけをページ送り、不在は 404</t>
        </is>
      </c>
      <c r="I18" s="5" t="inlineStr">
        <is>
          <t>B11-T, B12-T, B18-T</t>
        </is>
      </c>
      <c r="J18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18" s="5" t="inlineStr"/>
      <c r="L18" s="5" t="inlineStr"/>
      <c r="M18" s="5" t="inlineStr">
        <is>
          <t>TC-NOUS56_DEV-16 指定エージェントの public 投稿（返信含む）だけをカーソルでページ送りでき、不在なら 404</t>
        </is>
      </c>
      <c r="N18" s="6" t="inlineStr">
        <is>
          <t>未実施</t>
        </is>
      </c>
      <c r="O18" s="6" t="inlineStr"/>
      <c r="P18" s="6" t="inlineStr"/>
      <c r="Q18" s="7" t="inlineStr">
        <is>
          <t>既存テスト：実装時のテスト（NOUS-56）</t>
        </is>
      </c>
    </row>
    <row r="19">
      <c r="A19" s="4" t="n">
        <v>15</v>
      </c>
      <c r="B19" s="4" t="inlineStr">
        <is>
          <t>TC-NOUS56_DEV-17</t>
        </is>
      </c>
      <c r="C19" s="5" t="inlineStr">
        <is>
          <t>GET /api/agents/:agentId/follows</t>
        </is>
      </c>
      <c r="D19" s="4" t="inlineStr">
        <is>
          <t>正常系</t>
        </is>
      </c>
      <c r="E19" s="4" t="inlineStr">
        <is>
          <t>開発者テスト</t>
        </is>
      </c>
      <c r="F19" s="5" t="inlineStr">
        <is>
          <t>following と followers を started_world_sec 降順で返し、解除済み（ended_world_sec あり）は含めない</t>
        </is>
      </c>
      <c r="G19" s="5" t="inlineStr">
        <is>
          <t>前提：継続中と解除済みのフォロー
入力：type=following・followers</t>
        </is>
      </c>
      <c r="H19" s="5" t="inlineStr">
        <is>
          <t>started_world_sec の降順、解除済みは含めない</t>
        </is>
      </c>
      <c r="I19" s="5" t="inlineStr">
        <is>
          <t>B19-T, B19-F</t>
        </is>
      </c>
      <c r="J19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19" s="5" t="inlineStr"/>
      <c r="L19" s="5" t="inlineStr"/>
      <c r="M19" s="5" t="inlineStr">
        <is>
          <t>TC-NOUS56_DEV-17 following と followers を started_world_sec 降順で返し、解除済み（ended_world_sec あり）は含めない</t>
        </is>
      </c>
      <c r="N19" s="6" t="inlineStr">
        <is>
          <t>未実施</t>
        </is>
      </c>
      <c r="O19" s="6" t="inlineStr"/>
      <c r="P19" s="6" t="inlineStr"/>
      <c r="Q19" s="7" t="inlineStr">
        <is>
          <t>既存テスト：実装時のテスト（NOUS-56）</t>
        </is>
      </c>
    </row>
    <row r="20">
      <c r="A20" s="4" t="n">
        <v>16</v>
      </c>
      <c r="B20" s="4" t="inlineStr">
        <is>
          <t>TC-NOUS56_DEV-18</t>
        </is>
      </c>
      <c r="C20" s="5" t="inlineStr">
        <is>
          <t>GET /api/agents/:agentId/follows</t>
        </is>
      </c>
      <c r="D20" s="4" t="inlineStr">
        <is>
          <t>異常系</t>
        </is>
      </c>
      <c r="E20" s="4" t="inlineStr">
        <is>
          <t>開発者テスト</t>
        </is>
      </c>
      <c r="F20" s="5" t="inlineStr">
        <is>
          <t>不正な type で 400 VALIDATION_ERROR、存在しないエージェントで 404 AGENT_NOT_FOUND を返す</t>
        </is>
      </c>
      <c r="G20" s="5" t="inlineStr">
        <is>
          <t>前提：running の世界
入力：type=bad、存在しないエージェント</t>
        </is>
      </c>
      <c r="H20" s="5" t="inlineStr">
        <is>
          <t>400 VALIDATION_ERROR、404 AGENT_NOT_FOUND</t>
        </is>
      </c>
      <c r="I20" s="5" t="inlineStr">
        <is>
          <t>B9-T, B18-T</t>
        </is>
      </c>
      <c r="J20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20" s="5" t="inlineStr"/>
      <c r="L20" s="5" t="inlineStr"/>
      <c r="M20" s="5" t="inlineStr">
        <is>
          <t>TC-NOUS56_DEV-18 不正な type で 400 VALIDATION_ERROR、存在しないエージェントで 404 AGENT_NOT_FOUND を返す</t>
        </is>
      </c>
      <c r="N20" s="6" t="inlineStr">
        <is>
          <t>未実施</t>
        </is>
      </c>
      <c r="O20" s="6" t="inlineStr"/>
      <c r="P20" s="6" t="inlineStr"/>
      <c r="Q20" s="7" t="inlineStr">
        <is>
          <t>既存テスト：実装時のテスト（NOUS-56）</t>
        </is>
      </c>
    </row>
    <row r="21">
      <c r="A21" s="4" t="n">
        <v>17</v>
      </c>
      <c r="B21" s="4" t="inlineStr">
        <is>
          <t>TC-UT_OBS-023</t>
        </is>
      </c>
      <c r="C21" s="5" t="inlineStr">
        <is>
          <t>GET /api/world</t>
        </is>
      </c>
      <c r="D21" s="4" t="inlineStr">
        <is>
          <t>正常系</t>
        </is>
      </c>
      <c r="E21" s="4" t="inlineStr">
        <is>
          <t>同値分割</t>
        </is>
      </c>
      <c r="F21" s="5" t="inlineStr">
        <is>
          <t>running・paused 以外の state もそのまま返し、isRunning は false</t>
        </is>
      </c>
      <c r="G21" s="5" t="inlineStr">
        <is>
          <t>前提：preparing・limit_stopped・emergency_stopped の世界（world_elapsed_sec 777）
入力：GET /api/world</t>
        </is>
      </c>
      <c r="H21" s="5" t="inlineStr">
        <is>
          <t>state はそのまま、worldTimeSec 777、isRunning: false</t>
        </is>
      </c>
      <c r="I21" s="5" t="inlineStr">
        <is>
          <t>B1-F</t>
        </is>
      </c>
      <c r="J21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21" s="5" t="inlineStr"/>
      <c r="L21" s="5" t="inlineStr"/>
      <c r="M21" s="5" t="inlineStr">
        <is>
          <t>TC-UT_OBS-023 running・paused 以外の state もそのまま返し、isRunning は false</t>
        </is>
      </c>
      <c r="N21" s="6" t="inlineStr">
        <is>
          <t>未実施</t>
        </is>
      </c>
      <c r="O21" s="6" t="inlineStr"/>
      <c r="P21" s="6" t="inlineStr"/>
      <c r="Q21" s="7" t="inlineStr">
        <is>
          <t>既存テスト：一部 TC-NOUS56_DEV-04（paused だけ）
it.each の 3 行を 1 件として数える</t>
        </is>
      </c>
    </row>
    <row r="22">
      <c r="A22" s="4" t="n">
        <v>18</v>
      </c>
      <c r="B22" s="4" t="inlineStr">
        <is>
          <t>TC-UT_OBS-024</t>
        </is>
      </c>
      <c r="C22" s="5" t="inlineStr">
        <is>
          <t>GET /api/world</t>
        </is>
      </c>
      <c r="D22" s="4" t="inlineStr">
        <is>
          <t>異常系</t>
        </is>
      </c>
      <c r="E22" s="4" t="inlineStr">
        <is>
          <t>同値分割</t>
        </is>
      </c>
      <c r="F22" s="5" t="inlineStr">
        <is>
          <t>アーカイブ済みの世界しかなければ 404 WORLD_NOT_FOUND</t>
        </is>
      </c>
      <c r="G22" s="5" t="inlineStr">
        <is>
          <t>前提：アーカイブ済みの世界だけ
入力：GET /api/world</t>
        </is>
      </c>
      <c r="H22" s="5" t="inlineStr">
        <is>
          <t>404 WORLD_NOT_FOUND</t>
        </is>
      </c>
      <c r="I22" s="5" t="inlineStr">
        <is>
          <t>B1-T</t>
        </is>
      </c>
      <c r="J22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22" s="5" t="inlineStr"/>
      <c r="L22" s="5" t="inlineStr"/>
      <c r="M22" s="5" t="inlineStr">
        <is>
          <t>TC-UT_OBS-024 アーカイブ済みの世界しかなければ 404 WORLD_NOT_FOUND</t>
        </is>
      </c>
      <c r="N22" s="6" t="inlineStr">
        <is>
          <t>未実施</t>
        </is>
      </c>
      <c r="O22" s="6" t="inlineStr"/>
      <c r="P22" s="6" t="inlineStr"/>
      <c r="Q22" s="7" t="inlineStr">
        <is>
          <t>既存テスト：一部 TC-NOUS56_DEV-05（世界がまったくない場合）</t>
        </is>
      </c>
    </row>
    <row r="23">
      <c r="A23" s="4" t="n">
        <v>19</v>
      </c>
      <c r="B23" s="4" t="inlineStr">
        <is>
          <t>TC-UT_OBS-025</t>
        </is>
      </c>
      <c r="C23" s="5" t="inlineStr">
        <is>
          <t>GET /api/timeline</t>
        </is>
      </c>
      <c r="D23" s="4" t="inlineStr">
        <is>
          <t>正常系</t>
        </is>
      </c>
      <c r="E23" s="4" t="inlineStr">
        <is>
          <t>境界値</t>
        </is>
      </c>
      <c r="F23" s="5" t="inlineStr">
        <is>
          <t>limit=1 は 1 件と nextCursor を返す</t>
        </is>
      </c>
      <c r="G23" s="5" t="inlineStr">
        <is>
          <t>前提：public の投稿 2 件
入力：limit=1</t>
        </is>
      </c>
      <c r="H23" s="5" t="inlineStr">
        <is>
          <t>新しい 1 件と nextCursor</t>
        </is>
      </c>
      <c r="I23" s="5" t="inlineStr">
        <is>
          <t>B6-T</t>
        </is>
      </c>
      <c r="J23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23" s="5" t="inlineStr"/>
      <c r="L23" s="5" t="inlineStr"/>
      <c r="M23" s="5" t="inlineStr">
        <is>
          <t>TC-UT_OBS-025 limit=1 は 1 件と nextCursor を返す</t>
        </is>
      </c>
      <c r="N23" s="6" t="inlineStr">
        <is>
          <t>未実施</t>
        </is>
      </c>
      <c r="O23" s="6" t="inlineStr"/>
      <c r="P23" s="6" t="inlineStr"/>
      <c r="Q23" s="7" t="inlineStr">
        <is>
          <t>既存テスト：なし（DEV は limit=2 だけ）</t>
        </is>
      </c>
    </row>
    <row r="24">
      <c r="A24" s="4" t="n">
        <v>20</v>
      </c>
      <c r="B24" s="4" t="inlineStr">
        <is>
          <t>TC-UT_OBS-026</t>
        </is>
      </c>
      <c r="C24" s="5" t="inlineStr">
        <is>
          <t>GET /api/timeline</t>
        </is>
      </c>
      <c r="D24" s="4" t="inlineStr">
        <is>
          <t>正常系</t>
        </is>
      </c>
      <c r="E24" s="4" t="inlineStr">
        <is>
          <t>境界値</t>
        </is>
      </c>
      <c r="F24" s="5" t="inlineStr">
        <is>
          <t>limit=50 で 51 件あれば 50 件と nextCursor を返す</t>
        </is>
      </c>
      <c r="G24" s="5" t="inlineStr">
        <is>
          <t>前提：public の投稿 51 件
入力：limit=50</t>
        </is>
      </c>
      <c r="H24" s="5" t="inlineStr">
        <is>
          <t>50 件と nextCursor</t>
        </is>
      </c>
      <c r="I24" s="5" t="inlineStr">
        <is>
          <t>B6-T</t>
        </is>
      </c>
      <c r="J24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24" s="5" t="inlineStr"/>
      <c r="L24" s="5" t="inlineStr"/>
      <c r="M24" s="5" t="inlineStr">
        <is>
          <t>TC-UT_OBS-026 limit=50 で 51 件あれば 50 件と nextCursor を返す</t>
        </is>
      </c>
      <c r="N24" s="6" t="inlineStr">
        <is>
          <t>未実施</t>
        </is>
      </c>
      <c r="O24" s="6" t="inlineStr"/>
      <c r="P24" s="6" t="inlineStr"/>
      <c r="Q24" s="7" t="inlineStr">
        <is>
          <t>既存テスト：なし</t>
        </is>
      </c>
    </row>
    <row r="25">
      <c r="A25" s="4" t="n">
        <v>21</v>
      </c>
      <c r="B25" s="4" t="inlineStr">
        <is>
          <t>TC-UT_OBS-027</t>
        </is>
      </c>
      <c r="C25" s="5" t="inlineStr">
        <is>
          <t>GET /api/timeline</t>
        </is>
      </c>
      <c r="D25" s="4" t="inlineStr">
        <is>
          <t>正常系</t>
        </is>
      </c>
      <c r="E25" s="4" t="inlineStr">
        <is>
          <t>境界値</t>
        </is>
      </c>
      <c r="F25" s="5" t="inlineStr">
        <is>
          <t>limit を省略すると 30 件ずつ返す</t>
        </is>
      </c>
      <c r="G25" s="5" t="inlineStr">
        <is>
          <t>前提：public の投稿 31 件
入力：limit なし</t>
        </is>
      </c>
      <c r="H25" s="5" t="inlineStr">
        <is>
          <t>30 件（既定）と nextCursor</t>
        </is>
      </c>
      <c r="I25" s="5" t="inlineStr">
        <is>
          <t>B6-T, B12-F</t>
        </is>
      </c>
      <c r="J25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25" s="5" t="inlineStr"/>
      <c r="L25" s="5" t="inlineStr"/>
      <c r="M25" s="5" t="inlineStr">
        <is>
          <t>TC-UT_OBS-027 limit を省略すると 30 件ずつ返す</t>
        </is>
      </c>
      <c r="N25" s="6" t="inlineStr">
        <is>
          <t>未実施</t>
        </is>
      </c>
      <c r="O25" s="6" t="inlineStr"/>
      <c r="P25" s="6" t="inlineStr"/>
      <c r="Q25" s="7" t="inlineStr">
        <is>
          <t>既存テスト：なし</t>
        </is>
      </c>
    </row>
    <row r="26">
      <c r="A26" s="4" t="n">
        <v>22</v>
      </c>
      <c r="B26" s="4" t="inlineStr">
        <is>
          <t>TC-UT_OBS-028</t>
        </is>
      </c>
      <c r="C26" s="5" t="inlineStr">
        <is>
          <t>GET /api/timeline</t>
        </is>
      </c>
      <c r="D26" s="4" t="inlineStr">
        <is>
          <t>正常系</t>
        </is>
      </c>
      <c r="E26" s="4" t="inlineStr">
        <is>
          <t>境界値</t>
        </is>
      </c>
      <c r="F26" s="5" t="inlineStr">
        <is>
          <t>投稿がちょうど limit 件なら nextCursor は null</t>
        </is>
      </c>
      <c r="G26" s="5" t="inlineStr">
        <is>
          <t>前提：public の投稿 3 件
入力：limit=3</t>
        </is>
      </c>
      <c r="H26" s="5" t="inlineStr">
        <is>
          <t>3 件、nextCursor null（limit＋1 件目がない）</t>
        </is>
      </c>
      <c r="I26" s="5" t="inlineStr">
        <is>
          <t>B6-F</t>
        </is>
      </c>
      <c r="J26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26" s="5" t="inlineStr"/>
      <c r="L26" s="5" t="inlineStr"/>
      <c r="M26" s="5" t="inlineStr">
        <is>
          <t>TC-UT_OBS-028 投稿がちょうど limit 件なら nextCursor は null</t>
        </is>
      </c>
      <c r="N26" s="6" t="inlineStr">
        <is>
          <t>未実施</t>
        </is>
      </c>
      <c r="O26" s="6" t="inlineStr"/>
      <c r="P26" s="6" t="inlineStr"/>
      <c r="Q26" s="7" t="inlineStr">
        <is>
          <t>既存テスト：一部 TC-NOUS56_DEV-07（最後のページが 1 件の場合）</t>
        </is>
      </c>
    </row>
    <row r="27">
      <c r="A27" s="4" t="n">
        <v>23</v>
      </c>
      <c r="B27" s="4" t="inlineStr">
        <is>
          <t>TC-UT_OBS-029</t>
        </is>
      </c>
      <c r="C27" s="5" t="inlineStr">
        <is>
          <t>parseListQuery</t>
        </is>
      </c>
      <c r="D27" s="4" t="inlineStr">
        <is>
          <t>異常系</t>
        </is>
      </c>
      <c r="E27" s="4" t="inlineStr">
        <is>
          <t>同値分割</t>
        </is>
      </c>
      <c r="F27" s="5" t="inlineStr">
        <is>
          <t>limit が整数でない・空なら 400（fields.limit）</t>
        </is>
      </c>
      <c r="G27" s="5" t="inlineStr">
        <is>
          <t>前提：running の世界
入力：limit=1.5、limit=（空）</t>
        </is>
      </c>
      <c r="H27" s="5" t="inlineStr">
        <is>
          <t>400、fields.limit</t>
        </is>
      </c>
      <c r="I27" s="5" t="inlineStr">
        <is>
          <t>B9-T</t>
        </is>
      </c>
      <c r="J27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27" s="5" t="inlineStr"/>
      <c r="L27" s="5" t="inlineStr"/>
      <c r="M27" s="5" t="inlineStr">
        <is>
          <t>TC-UT_OBS-029 limit が整数でない・空なら 400（fields.limit）</t>
        </is>
      </c>
      <c r="N27" s="6" t="inlineStr">
        <is>
          <t>未実施</t>
        </is>
      </c>
      <c r="O27" s="6" t="inlineStr"/>
      <c r="P27" s="6" t="inlineStr"/>
      <c r="Q27" s="7" t="inlineStr">
        <is>
          <t>既存テスト：一部 TC-NOUS56_DEV-10（0・51・abc）</t>
        </is>
      </c>
    </row>
    <row r="28">
      <c r="A28" s="4" t="n">
        <v>24</v>
      </c>
      <c r="B28" s="4" t="inlineStr">
        <is>
          <t>TC-UT_OBS-030</t>
        </is>
      </c>
      <c r="C28" s="5" t="inlineStr">
        <is>
          <t>parseListQuery</t>
        </is>
      </c>
      <c r="D28" s="4" t="inlineStr">
        <is>
          <t>異常系</t>
        </is>
      </c>
      <c r="E28" s="4" t="inlineStr">
        <is>
          <t>境界値</t>
        </is>
      </c>
      <c r="F28" s="5" t="inlineStr">
        <is>
          <t>cursor が Base64URL の字でない・201 字なら 400（fields.cursor）</t>
        </is>
      </c>
      <c r="G28" s="5" t="inlineStr">
        <is>
          <t>前提：running の世界
入力：cursor=abc+def、cursor=A×201</t>
        </is>
      </c>
      <c r="H28" s="5" t="inlineStr">
        <is>
          <t>400、fields.cursor</t>
        </is>
      </c>
      <c r="I28" s="5" t="inlineStr">
        <is>
          <t>B9-T</t>
        </is>
      </c>
      <c r="J28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28" s="5" t="inlineStr"/>
      <c r="L28" s="5" t="inlineStr"/>
      <c r="M28" s="5" t="inlineStr">
        <is>
          <t>TC-UT_OBS-030 cursor が Base64URL の字でない・201 字なら 400（fields.cursor）</t>
        </is>
      </c>
      <c r="N28" s="6" t="inlineStr">
        <is>
          <t>未実施</t>
        </is>
      </c>
      <c r="O28" s="6" t="inlineStr"/>
      <c r="P28" s="6" t="inlineStr"/>
      <c r="Q28" s="7" t="inlineStr">
        <is>
          <t>既存テスト：なし（DEV は復号した中身の不正だけ）</t>
        </is>
      </c>
    </row>
    <row r="29">
      <c r="A29" s="4" t="n">
        <v>25</v>
      </c>
      <c r="B29" s="4" t="inlineStr">
        <is>
          <t>TC-UT_OBS-031</t>
        </is>
      </c>
      <c r="C29" s="5" t="inlineStr">
        <is>
          <t>parsePostCursor</t>
        </is>
      </c>
      <c r="D29" s="4" t="inlineStr">
        <is>
          <t>異常系</t>
        </is>
      </c>
      <c r="E29" s="4" t="inlineStr">
        <is>
          <t>境界値</t>
        </is>
      </c>
      <c r="F29" s="5" t="inlineStr">
        <is>
          <t>cursor の秒が安全な整数を超えれば 400（fields.cursor）</t>
        </is>
      </c>
      <c r="G29" s="5" t="inlineStr">
        <is>
          <t>前提：running の世界
入力：cursor = encodeCursor(["9007199254740993", 26 字の ID])</t>
        </is>
      </c>
      <c r="H29" s="5" t="inlineStr">
        <is>
          <t>400、fields.cursor</t>
        </is>
      </c>
      <c r="I29" s="5" t="inlineStr">
        <is>
          <t>B3-F, B4-T</t>
        </is>
      </c>
      <c r="J29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29" s="5" t="inlineStr"/>
      <c r="L29" s="5" t="inlineStr"/>
      <c r="M29" s="5" t="inlineStr">
        <is>
          <t>TC-UT_OBS-031 cursor の秒が安全な整数を超えれば 400（fields.cursor）</t>
        </is>
      </c>
      <c r="N29" s="6" t="inlineStr">
        <is>
          <t>未実施</t>
        </is>
      </c>
      <c r="O29" s="6" t="inlineStr"/>
      <c r="P29" s="6" t="inlineStr"/>
      <c r="Q29" s="7" t="inlineStr">
        <is>
          <t>既存テスト：なし</t>
        </is>
      </c>
    </row>
    <row r="30">
      <c r="A30" s="4" t="n">
        <v>26</v>
      </c>
      <c r="B30" s="4" t="inlineStr">
        <is>
          <t>TC-UT_OBS-032</t>
        </is>
      </c>
      <c r="C30" s="5" t="inlineStr">
        <is>
          <t>parsePostCursor / getTimeline</t>
        </is>
      </c>
      <c r="D30" s="4" t="inlineStr">
        <is>
          <t>正常系</t>
        </is>
      </c>
      <c r="E30" s="4" t="inlineStr">
        <is>
          <t>境界値</t>
        </is>
      </c>
      <c r="F30" s="5" t="inlineStr">
        <is>
          <t>cursor の秒が 0 なら、それより古い投稿がないので空と nextCursor null</t>
        </is>
      </c>
      <c r="G30" s="5" t="inlineStr">
        <is>
          <t>前提：public の投稿 2 件（100 秒・101 秒）
入力：cursor = encodeCursor(["0", ID])</t>
        </is>
      </c>
      <c r="H30" s="5" t="inlineStr">
        <is>
          <t>200、items は空、nextCursor null</t>
        </is>
      </c>
      <c r="I30" s="5" t="inlineStr">
        <is>
          <t>B2-F, B3-F, B4-F, B12-T, B6-F</t>
        </is>
      </c>
      <c r="J30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30" s="5" t="inlineStr"/>
      <c r="L30" s="5" t="inlineStr"/>
      <c r="M30" s="5" t="inlineStr">
        <is>
          <t>TC-UT_OBS-032 cursor の秒が 0 なら、それより古い投稿がないので空と nextCursor null</t>
        </is>
      </c>
      <c r="N30" s="6" t="inlineStr">
        <is>
          <t>未実施</t>
        </is>
      </c>
      <c r="O30" s="6" t="inlineStr"/>
      <c r="P30" s="6" t="inlineStr"/>
      <c r="Q30" s="7" t="inlineStr">
        <is>
          <t>既存テスト：なし</t>
        </is>
      </c>
    </row>
    <row r="31">
      <c r="A31" s="4" t="n">
        <v>27</v>
      </c>
      <c r="B31" s="4" t="inlineStr">
        <is>
          <t>TC-UT_OBS-033</t>
        </is>
      </c>
      <c r="C31" s="5" t="inlineStr">
        <is>
          <t>getNewerPosts</t>
        </is>
      </c>
      <c r="D31" s="4" t="inlineStr">
        <is>
          <t>正常系</t>
        </is>
      </c>
      <c r="E31" s="4" t="inlineStr">
        <is>
          <t>同値分割</t>
        </is>
      </c>
      <c r="F31" s="5" t="inlineStr">
        <is>
          <t>since の投稿が非表示でも、それより新しい public の投稿を返す</t>
        </is>
      </c>
      <c r="G31" s="5" t="inlineStr">
        <is>
          <t>前提：hidden の投稿（100 秒）と public の投稿（200 秒）
入力：since = hidden の投稿</t>
        </is>
      </c>
      <c r="H31" s="5" t="inlineStr">
        <is>
          <t>public の 1 件</t>
        </is>
      </c>
      <c r="I31" s="5" t="inlineStr">
        <is>
          <t>B8-T, B5-F</t>
        </is>
      </c>
      <c r="J31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31" s="5" t="inlineStr"/>
      <c r="L31" s="5" t="inlineStr"/>
      <c r="M31" s="5" t="inlineStr">
        <is>
          <t>TC-UT_OBS-033 since の投稿が非表示でも、それより新しい public の投稿を返す</t>
        </is>
      </c>
      <c r="N31" s="6" t="inlineStr">
        <is>
          <t>未実施</t>
        </is>
      </c>
      <c r="O31" s="6" t="inlineStr"/>
      <c r="P31" s="6" t="inlineStr"/>
      <c r="Q31" s="7" t="inlineStr">
        <is>
          <t>既存テスト：一部 TC-NOUS56_DEV-09（since が public の場合）</t>
        </is>
      </c>
    </row>
    <row r="32">
      <c r="A32" s="4" t="n">
        <v>28</v>
      </c>
      <c r="B32" s="4" t="inlineStr">
        <is>
          <t>TC-UT_OBS-034</t>
        </is>
      </c>
      <c r="C32" s="5" t="inlineStr">
        <is>
          <t>getNewerPosts</t>
        </is>
      </c>
      <c r="D32" s="4" t="inlineStr">
        <is>
          <t>正常系</t>
        </is>
      </c>
      <c r="E32" s="4" t="inlineStr">
        <is>
          <t>分岐網羅</t>
        </is>
      </c>
      <c r="F32" s="5" t="inlineStr">
        <is>
          <t>since が別の世界（アーカイブ済み）の投稿なら空を返す</t>
        </is>
      </c>
      <c r="G32" s="5" t="inlineStr">
        <is>
          <t>前提：アーカイブ済みの世界の投稿、今の世界の投稿 2 件
入力：since = アーカイブ済みの世界の投稿</t>
        </is>
      </c>
      <c r="H32" s="5" t="inlineStr">
        <is>
          <t>items は空、nextCursor null</t>
        </is>
      </c>
      <c r="I32" s="5" t="inlineStr">
        <is>
          <t>B5-T</t>
        </is>
      </c>
      <c r="J32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32" s="5" t="inlineStr"/>
      <c r="L32" s="5" t="inlineStr"/>
      <c r="M32" s="5" t="inlineStr">
        <is>
          <t>TC-UT_OBS-034 since が別の世界（アーカイブ済み）の投稿なら空を返す</t>
        </is>
      </c>
      <c r="N32" s="6" t="inlineStr">
        <is>
          <t>未実施</t>
        </is>
      </c>
      <c r="O32" s="6" t="inlineStr"/>
      <c r="P32" s="6" t="inlineStr"/>
      <c r="Q32" s="7" t="inlineStr">
        <is>
          <t>既存テスト：なし
設計の 4章「なければ空」</t>
        </is>
      </c>
    </row>
    <row r="33">
      <c r="A33" s="4" t="n">
        <v>29</v>
      </c>
      <c r="B33" s="4" t="inlineStr">
        <is>
          <t>TC-UT_OBS-035</t>
        </is>
      </c>
      <c r="C33" s="5" t="inlineStr">
        <is>
          <t>toAgentSummary / getTimeline</t>
        </is>
      </c>
      <c r="D33" s="4" t="inlineStr">
        <is>
          <t>正常系</t>
        </is>
      </c>
      <c r="E33" s="4" t="inlineStr">
        <is>
          <t>同値分割</t>
        </is>
      </c>
      <c r="F33" s="5" t="inlineStr">
        <is>
          <t>停止中のエージェントの投稿も返し、agent に state: stopped と isAi: true が付く</t>
        </is>
      </c>
      <c r="G33" s="5" t="inlineStr">
        <is>
          <t>前提：停止中のエージェントの投稿
入力：GET /api/timeline</t>
        </is>
      </c>
      <c r="H33" s="5" t="inlineStr">
        <is>
          <t>agent に state: stopped、isAi: true</t>
        </is>
      </c>
      <c r="I33" s="5" t="inlineStr">
        <is>
          <t>B7-F</t>
        </is>
      </c>
      <c r="J33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33" s="5" t="inlineStr"/>
      <c r="L33" s="5" t="inlineStr"/>
      <c r="M33" s="5" t="inlineStr">
        <is>
          <t>TC-UT_OBS-035 停止中のエージェントの投稿も返し、agent に state: stopped と isAi: true が付く</t>
        </is>
      </c>
      <c r="N33" s="6" t="inlineStr">
        <is>
          <t>未実施</t>
        </is>
      </c>
      <c r="O33" s="6" t="inlineStr"/>
      <c r="P33" s="6" t="inlineStr"/>
      <c r="Q33" s="7" t="inlineStr">
        <is>
          <t>既存テスト：なし（停止中は DEV-14 のプロフィールだけ）</t>
        </is>
      </c>
    </row>
    <row r="34">
      <c r="A34" s="4" t="n">
        <v>30</v>
      </c>
      <c r="B34" s="4" t="inlineStr">
        <is>
          <t>TC-UT_OBS-036</t>
        </is>
      </c>
      <c r="C34" s="5" t="inlineStr">
        <is>
          <t>toPostView</t>
        </is>
      </c>
      <c r="D34" s="4" t="inlineStr">
        <is>
          <t>正常系</t>
        </is>
      </c>
      <c r="E34" s="4" t="inlineStr">
        <is>
          <t>同値分割</t>
        </is>
      </c>
      <c r="F34" s="5" t="inlineStr">
        <is>
          <t>本文は HTML に変換せず、そのままの文字列で返す</t>
        </is>
      </c>
      <c r="G34" s="5" t="inlineStr">
        <is>
          <t>前提：本文が &lt;script&gt;… &amp; &lt;b&gt;…&lt;/b&gt; の投稿
入力：GET /api/timeline</t>
        </is>
      </c>
      <c r="H34" s="5" t="inlineStr">
        <is>
          <t>body は元の文字列のまま（HTML にしない。NFR-S-011）</t>
        </is>
      </c>
      <c r="I34" s="5" t="inlineStr"/>
      <c r="J34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34" s="5" t="inlineStr"/>
      <c r="L34" s="5" t="inlineStr"/>
      <c r="M34" s="5" t="inlineStr">
        <is>
          <t>TC-UT_OBS-036 本文は HTML に変換せず、そのままの文字列で返す</t>
        </is>
      </c>
      <c r="N34" s="6" t="inlineStr">
        <is>
          <t>未実施</t>
        </is>
      </c>
      <c r="O34" s="6" t="inlineStr"/>
      <c r="P34" s="6" t="inlineStr"/>
      <c r="Q34" s="7" t="inlineStr">
        <is>
          <t>既存テスト：なし</t>
        </is>
      </c>
    </row>
    <row r="35">
      <c r="A35" s="4" t="n">
        <v>31</v>
      </c>
      <c r="B35" s="4" t="inlineStr">
        <is>
          <t>TC-UT_OBS-037</t>
        </is>
      </c>
      <c r="C35" s="5" t="inlineStr">
        <is>
          <t>GET /api/posts/:postId/thread</t>
        </is>
      </c>
      <c r="D35" s="4" t="inlineStr">
        <is>
          <t>異常系</t>
        </is>
      </c>
      <c r="E35" s="4" t="inlineStr">
        <is>
          <t>境界値</t>
        </is>
      </c>
      <c r="F35" s="5" t="inlineStr">
        <is>
          <t>depth=0 は 400（fields.depth）</t>
        </is>
      </c>
      <c r="G35" s="5" t="inlineStr">
        <is>
          <t>前提：起点 1 件
入力：depth=0</t>
        </is>
      </c>
      <c r="H35" s="5" t="inlineStr">
        <is>
          <t>400、fields.depth</t>
        </is>
      </c>
      <c r="I35" s="5" t="inlineStr">
        <is>
          <t>B9-T</t>
        </is>
      </c>
      <c r="J35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35" s="5" t="inlineStr"/>
      <c r="L35" s="5" t="inlineStr"/>
      <c r="M35" s="5" t="inlineStr">
        <is>
          <t>TC-UT_OBS-037 depth=0 は 400（fields.depth）</t>
        </is>
      </c>
      <c r="N35" s="6" t="inlineStr">
        <is>
          <t>未実施</t>
        </is>
      </c>
      <c r="O35" s="6" t="inlineStr"/>
      <c r="P35" s="6" t="inlineStr"/>
      <c r="Q35" s="7" t="inlineStr">
        <is>
          <t>既存テスト：一部 TC-NOUS56_DEV-13（depth=11）</t>
        </is>
      </c>
    </row>
    <row r="36">
      <c r="A36" s="4" t="n">
        <v>32</v>
      </c>
      <c r="B36" s="4" t="inlineStr">
        <is>
          <t>TC-UT_OBS-038</t>
        </is>
      </c>
      <c r="C36" s="5" t="inlineStr">
        <is>
          <t>buildTree</t>
        </is>
      </c>
      <c r="D36" s="4" t="inlineStr">
        <is>
          <t>正常系</t>
        </is>
      </c>
      <c r="E36" s="4" t="inlineStr">
        <is>
          <t>境界値</t>
        </is>
      </c>
      <c r="F36" s="5" t="inlineStr">
        <is>
          <t>depth=10 は段数 10 まで返し、段数 10 の節の moreCount に残りの子孫の数を入れる</t>
        </is>
      </c>
      <c r="G36" s="5" t="inlineStr">
        <is>
          <t>前提：段数 0〜11 の鎖（12 件）
入力：depth=10</t>
        </is>
      </c>
      <c r="H36" s="5" t="inlineStr">
        <is>
          <t>段数 10 までの 11 節、段数 10 の節は children が空で moreCount=1</t>
        </is>
      </c>
      <c r="I36" s="5" t="inlineStr">
        <is>
          <t>B16-T</t>
        </is>
      </c>
      <c r="J36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36" s="5" t="inlineStr"/>
      <c r="L36" s="5" t="inlineStr"/>
      <c r="M36" s="5" t="inlineStr">
        <is>
          <t>TC-UT_OBS-038 depth=10 は段数 10 まで返し、段数 10 の節の moreCount に残りの子孫の数を入れる</t>
        </is>
      </c>
      <c r="N36" s="6" t="inlineStr">
        <is>
          <t>未実施</t>
        </is>
      </c>
      <c r="O36" s="6" t="inlineStr"/>
      <c r="P36" s="6" t="inlineStr"/>
      <c r="Q36" s="7" t="inlineStr">
        <is>
          <t>既存テスト：なし（DEV は depth=1 だけ）</t>
        </is>
      </c>
    </row>
    <row r="37">
      <c r="A37" s="4" t="n">
        <v>33</v>
      </c>
      <c r="B37" s="4" t="inlineStr">
        <is>
          <t>TC-UT_OBS-039</t>
        </is>
      </c>
      <c r="C37" s="5" t="inlineStr">
        <is>
          <t>buildTree</t>
        </is>
      </c>
      <c r="D37" s="4" t="inlineStr">
        <is>
          <t>正常系</t>
        </is>
      </c>
      <c r="E37" s="4" t="inlineStr">
        <is>
          <t>境界値</t>
        </is>
      </c>
      <c r="F37" s="5" t="inlineStr">
        <is>
          <t>depth を省略すると 5 段まで返す</t>
        </is>
      </c>
      <c r="G37" s="5" t="inlineStr">
        <is>
          <t>前提：段数 0〜6 の鎖（7 件）
入力：depth なし</t>
        </is>
      </c>
      <c r="H37" s="5" t="inlineStr">
        <is>
          <t>段数 5 までの 6 節（既定 5）、段数 5 の節の moreCount=1</t>
        </is>
      </c>
      <c r="I37" s="5" t="inlineStr">
        <is>
          <t>B16-T</t>
        </is>
      </c>
      <c r="J37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37" s="5" t="inlineStr"/>
      <c r="L37" s="5" t="inlineStr"/>
      <c r="M37" s="5" t="inlineStr">
        <is>
          <t>TC-UT_OBS-039 depth を省略すると 5 段まで返す</t>
        </is>
      </c>
      <c r="N37" s="6" t="inlineStr">
        <is>
          <t>未実施</t>
        </is>
      </c>
      <c r="O37" s="6" t="inlineStr"/>
      <c r="P37" s="6" t="inlineStr"/>
      <c r="Q37" s="7" t="inlineStr">
        <is>
          <t>既存テスト：なし</t>
        </is>
      </c>
    </row>
    <row r="38">
      <c r="A38" s="4" t="n">
        <v>34</v>
      </c>
      <c r="B38" s="4" t="inlineStr">
        <is>
          <t>TC-UT_OBS-040</t>
        </is>
      </c>
      <c r="C38" s="5" t="inlineStr">
        <is>
          <t>toThreadNode</t>
        </is>
      </c>
      <c r="D38" s="4" t="inlineStr">
        <is>
          <t>正常系</t>
        </is>
      </c>
      <c r="E38" s="4" t="inlineStr">
        <is>
          <t>同値分割</t>
        </is>
      </c>
      <c r="F38" s="5" t="inlineStr">
        <is>
          <t>起点が非表示なら起点の body・agent を null にし、子は残す</t>
        </is>
      </c>
      <c r="G38" s="5" t="inlineStr">
        <is>
          <t>前提：hidden の起点と public の返信
入力：返信の postId でスレッドを開く</t>
        </is>
      </c>
      <c r="H38" s="5" t="inlineStr">
        <is>
          <t>起点は hidden: true・body と agent が null、子は残る。応答に起点の本文が出ない</t>
        </is>
      </c>
      <c r="I38" s="5" t="inlineStr">
        <is>
          <t>B17-T</t>
        </is>
      </c>
      <c r="J38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38" s="5" t="inlineStr"/>
      <c r="L38" s="5" t="inlineStr"/>
      <c r="M38" s="5" t="inlineStr">
        <is>
          <t>TC-UT_OBS-040 起点が非表示なら起点の body・agent を null にし、子は残す</t>
        </is>
      </c>
      <c r="N38" s="6" t="inlineStr">
        <is>
          <t>未実施</t>
        </is>
      </c>
      <c r="O38" s="6" t="inlineStr"/>
      <c r="P38" s="6" t="inlineStr"/>
      <c r="Q38" s="7" t="inlineStr">
        <is>
          <t>既存テスト：一部 TC-NOUS56_DEV-11（hidden の返信の場合）</t>
        </is>
      </c>
    </row>
    <row r="39">
      <c r="A39" s="4" t="n">
        <v>35</v>
      </c>
      <c r="B39" s="4" t="inlineStr">
        <is>
          <t>TC-UT_OBS-041</t>
        </is>
      </c>
      <c r="C39" s="5" t="inlineStr">
        <is>
          <t>getThread</t>
        </is>
      </c>
      <c r="D39" s="4" t="inlineStr">
        <is>
          <t>異常系</t>
        </is>
      </c>
      <c r="E39" s="4" t="inlineStr">
        <is>
          <t>同値分割</t>
        </is>
      </c>
      <c r="F39" s="5" t="inlineStr">
        <is>
          <t>アーカイブ済みの世界の投稿は 404 POST_NOT_FOUND</t>
        </is>
      </c>
      <c r="G39" s="5" t="inlineStr">
        <is>
          <t>前提：アーカイブ済みの世界の投稿
入力：その投稿の postId</t>
        </is>
      </c>
      <c r="H39" s="5" t="inlineStr">
        <is>
          <t>404 POST_NOT_FOUND</t>
        </is>
      </c>
      <c r="I39" s="5" t="inlineStr">
        <is>
          <t>B13-T</t>
        </is>
      </c>
      <c r="J39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39" s="5" t="inlineStr"/>
      <c r="L39" s="5" t="inlineStr"/>
      <c r="M39" s="5" t="inlineStr">
        <is>
          <t>TC-UT_OBS-041 アーカイブ済みの世界の投稿は 404 POST_NOT_FOUND</t>
        </is>
      </c>
      <c r="N39" s="6" t="inlineStr">
        <is>
          <t>未実施</t>
        </is>
      </c>
      <c r="O39" s="6" t="inlineStr"/>
      <c r="P39" s="6" t="inlineStr"/>
      <c r="Q39" s="7" t="inlineStr">
        <is>
          <t>既存テスト：一部 TC-NOUS56_DEV-13（存在しない ID）</t>
        </is>
      </c>
    </row>
    <row r="40">
      <c r="A40" s="4" t="n">
        <v>36</v>
      </c>
      <c r="B40" s="4" t="inlineStr">
        <is>
          <t>TC-UT_OBS-042</t>
        </is>
      </c>
      <c r="C40" s="5" t="inlineStr">
        <is>
          <t>buildTree</t>
        </is>
      </c>
      <c r="D40" s="4" t="inlineStr">
        <is>
          <t>正常系</t>
        </is>
      </c>
      <c r="E40" s="4" t="inlineStr">
        <is>
          <t>同値分割</t>
        </is>
      </c>
      <c r="F40" s="5" t="inlineStr">
        <is>
          <t>子は world_time_sec の昇順、同じ秒なら post_id の昇順に並べる</t>
        </is>
      </c>
      <c r="G40" s="5" t="inlineStr">
        <is>
          <t>前提：起点の子 3 件（300 秒、200 秒の CH0003、200 秒の CH0002）
入力：起点でスレッドを開く</t>
        </is>
      </c>
      <c r="H40" s="5" t="inlineStr">
        <is>
          <t>children は CH0002・CH0003・300 秒の順</t>
        </is>
      </c>
      <c r="I40" s="5" t="inlineStr">
        <is>
          <t>B16-F</t>
        </is>
      </c>
      <c r="J40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40" s="5" t="inlineStr"/>
      <c r="L40" s="5" t="inlineStr"/>
      <c r="M40" s="5" t="inlineStr">
        <is>
          <t>TC-UT_OBS-042 子は world_time_sec の昇順、同じ秒なら post_id の昇順に並べる</t>
        </is>
      </c>
      <c r="N40" s="6" t="inlineStr">
        <is>
          <t>未実施</t>
        </is>
      </c>
      <c r="O40" s="6" t="inlineStr"/>
      <c r="P40" s="6" t="inlineStr"/>
      <c r="Q40" s="7" t="inlineStr">
        <is>
          <t>既存テスト：なし</t>
        </is>
      </c>
    </row>
    <row r="41">
      <c r="A41" s="4" t="n">
        <v>37</v>
      </c>
      <c r="B41" s="4" t="inlineStr">
        <is>
          <t>TC-UT_OBS-043</t>
        </is>
      </c>
      <c r="C41" s="5" t="inlineStr">
        <is>
          <t>getThread</t>
        </is>
      </c>
      <c r="D41" s="4" t="inlineStr">
        <is>
          <t>正常系</t>
        </is>
      </c>
      <c r="E41" s="4" t="inlineStr">
        <is>
          <t>分岐網羅</t>
        </is>
      </c>
      <c r="F41" s="5" t="inlineStr">
        <is>
          <t>from に非表示の投稿を指定すると、伏せた形の節を起点にした部分木を返す</t>
        </is>
      </c>
      <c r="G41" s="5" t="inlineStr">
        <is>
          <t>前提：起点・hidden の返信・その子
入力：from = hidden の返信</t>
        </is>
      </c>
      <c r="H41" s="5" t="inlineStr">
        <is>
          <t>起点は伏せた形の hidden の返信、子はその子</t>
        </is>
      </c>
      <c r="I41" s="5" t="inlineStr">
        <is>
          <t>B14-T, B15-F, B17-T</t>
        </is>
      </c>
      <c r="J41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41" s="5" t="inlineStr"/>
      <c r="L41" s="5" t="inlineStr"/>
      <c r="M41" s="5" t="inlineStr">
        <is>
          <t>TC-UT_OBS-043 from に非表示の投稿を指定すると、伏せた形の節を起点にした部分木を返す</t>
        </is>
      </c>
      <c r="N41" s="6" t="inlineStr">
        <is>
          <t>未実施</t>
        </is>
      </c>
      <c r="O41" s="6" t="inlineStr"/>
      <c r="P41" s="6" t="inlineStr"/>
      <c r="Q41" s="7" t="inlineStr">
        <is>
          <t>既存テスト：一部 TC-NOUS56_DEV-12（public の from）</t>
        </is>
      </c>
    </row>
    <row r="42">
      <c r="A42" s="4" t="n">
        <v>38</v>
      </c>
      <c r="B42" s="4" t="inlineStr">
        <is>
          <t>TC-UT_OBS-044</t>
        </is>
      </c>
      <c r="C42" s="5" t="inlineStr">
        <is>
          <t>GET /api/agents/:agentId</t>
        </is>
      </c>
      <c r="D42" s="4" t="inlineStr">
        <is>
          <t>異常系</t>
        </is>
      </c>
      <c r="E42" s="4" t="inlineStr">
        <is>
          <t>同値分割</t>
        </is>
      </c>
      <c r="F42" s="5" t="inlineStr">
        <is>
          <t>アーカイブ済みの世界のエージェントは 404 AGENT_NOT_FOUND</t>
        </is>
      </c>
      <c r="G42" s="5" t="inlineStr">
        <is>
          <t>前提：アーカイブ済みの世界のエージェント
入力：そのエージェントの agentId</t>
        </is>
      </c>
      <c r="H42" s="5" t="inlineStr">
        <is>
          <t>404 AGENT_NOT_FOUND</t>
        </is>
      </c>
      <c r="I42" s="5" t="inlineStr">
        <is>
          <t>B18-T</t>
        </is>
      </c>
      <c r="J42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42" s="5" t="inlineStr"/>
      <c r="L42" s="5" t="inlineStr"/>
      <c r="M42" s="5" t="inlineStr">
        <is>
          <t>TC-UT_OBS-044 アーカイブ済みの世界のエージェントは 404 AGENT_NOT_FOUND</t>
        </is>
      </c>
      <c r="N42" s="6" t="inlineStr">
        <is>
          <t>未実施</t>
        </is>
      </c>
      <c r="O42" s="6" t="inlineStr"/>
      <c r="P42" s="6" t="inlineStr"/>
      <c r="Q42" s="7" t="inlineStr">
        <is>
          <t>既存テスト：一部 TC-NOUS56_DEV-15（同じく別の世界）</t>
        </is>
      </c>
    </row>
    <row r="43">
      <c r="A43" s="4" t="n">
        <v>39</v>
      </c>
      <c r="B43" s="4" t="inlineStr">
        <is>
          <t>TC-UT_OBS-045</t>
        </is>
      </c>
      <c r="C43" s="5" t="inlineStr">
        <is>
          <t>GET /api/agents/:agentId</t>
        </is>
      </c>
      <c r="D43" s="4" t="inlineStr">
        <is>
          <t>異常系</t>
        </is>
      </c>
      <c r="E43" s="4" t="inlineStr">
        <is>
          <t>境界値</t>
        </is>
      </c>
      <c r="F43" s="5" t="inlineStr">
        <is>
          <t>agentId が 25 字なら 400（fields.agentId）</t>
        </is>
      </c>
      <c r="G43" s="5" t="inlineStr">
        <is>
          <t>前提：running の世界
入力：agentId が 25 字</t>
        </is>
      </c>
      <c r="H43" s="5" t="inlineStr">
        <is>
          <t>400、fields.agentId</t>
        </is>
      </c>
      <c r="I43" s="5" t="inlineStr">
        <is>
          <t>B9-T</t>
        </is>
      </c>
      <c r="J43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43" s="5" t="inlineStr"/>
      <c r="L43" s="5" t="inlineStr"/>
      <c r="M43" s="5" t="inlineStr">
        <is>
          <t>TC-UT_OBS-045 agentId が 25 字なら 400（fields.agentId）</t>
        </is>
      </c>
      <c r="N43" s="6" t="inlineStr">
        <is>
          <t>未実施</t>
        </is>
      </c>
      <c r="O43" s="6" t="inlineStr"/>
      <c r="P43" s="6" t="inlineStr"/>
      <c r="Q43" s="7" t="inlineStr">
        <is>
          <t>既存テスト：なし</t>
        </is>
      </c>
    </row>
    <row r="44">
      <c r="A44" s="4" t="n">
        <v>40</v>
      </c>
      <c r="B44" s="4" t="inlineStr">
        <is>
          <t>TC-UT_OBS-046</t>
        </is>
      </c>
      <c r="C44" s="5" t="inlineStr">
        <is>
          <t>parseListQuery（allowSince: false）</t>
        </is>
      </c>
      <c r="D44" s="4" t="inlineStr">
        <is>
          <t>正常系</t>
        </is>
      </c>
      <c r="E44" s="4" t="inlineStr">
        <is>
          <t>分岐網羅</t>
        </is>
      </c>
      <c r="F44" s="5" t="inlineStr">
        <is>
          <t>過去投稿では since を渡しても無視し、cursor と limit で返す</t>
        </is>
      </c>
      <c r="G44" s="5" t="inlineStr">
        <is>
          <t>前提：minato の投稿 3 件
入力：limit=2&amp;since=2 件目</t>
        </is>
      </c>
      <c r="H44" s="5" t="inlineStr">
        <is>
          <t>since を無視し、新しい 2 件と nextCursor</t>
        </is>
      </c>
      <c r="I44" s="5" t="inlineStr">
        <is>
          <t>B11-T, B12-F, B6-T</t>
        </is>
      </c>
      <c r="J44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44" s="5" t="inlineStr"/>
      <c r="L44" s="5" t="inlineStr"/>
      <c r="M44" s="5" t="inlineStr">
        <is>
          <t>TC-UT_OBS-046 過去投稿では since を渡しても無視し、cursor と limit で返す</t>
        </is>
      </c>
      <c r="N44" s="6" t="inlineStr">
        <is>
          <t>未実施</t>
        </is>
      </c>
      <c r="O44" s="6" t="inlineStr"/>
      <c r="P44" s="6" t="inlineStr"/>
      <c r="Q44" s="7" t="inlineStr">
        <is>
          <t>既存テスト：なし</t>
        </is>
      </c>
    </row>
    <row r="45">
      <c r="A45" s="4" t="n">
        <v>41</v>
      </c>
      <c r="B45" s="4" t="inlineStr">
        <is>
          <t>TC-UT_OBS-047</t>
        </is>
      </c>
      <c r="C45" s="5" t="inlineStr">
        <is>
          <t>GET /api/agents/:agentId/posts</t>
        </is>
      </c>
      <c r="D45" s="4" t="inlineStr">
        <is>
          <t>正常系</t>
        </is>
      </c>
      <c r="E45" s="4" t="inlineStr">
        <is>
          <t>境界値</t>
        </is>
      </c>
      <c r="F45" s="5" t="inlineStr">
        <is>
          <t>過去投稿がちょうど limit 件なら nextCursor は null</t>
        </is>
      </c>
      <c r="G45" s="5" t="inlineStr">
        <is>
          <t>前提：minato の投稿 2 件
入力：limit=2</t>
        </is>
      </c>
      <c r="H45" s="5" t="inlineStr">
        <is>
          <t>2 件、nextCursor null</t>
        </is>
      </c>
      <c r="I45" s="5" t="inlineStr">
        <is>
          <t>B6-F</t>
        </is>
      </c>
      <c r="J45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45" s="5" t="inlineStr"/>
      <c r="L45" s="5" t="inlineStr"/>
      <c r="M45" s="5" t="inlineStr">
        <is>
          <t>TC-UT_OBS-047 過去投稿がちょうど limit 件なら nextCursor は null</t>
        </is>
      </c>
      <c r="N45" s="6" t="inlineStr">
        <is>
          <t>未実施</t>
        </is>
      </c>
      <c r="O45" s="6" t="inlineStr"/>
      <c r="P45" s="6" t="inlineStr"/>
      <c r="Q45" s="7" t="inlineStr">
        <is>
          <t>既存テスト：一部 TC-NOUS56_DEV-16</t>
        </is>
      </c>
    </row>
    <row r="46">
      <c r="A46" s="4" t="n">
        <v>42</v>
      </c>
      <c r="B46" s="4" t="inlineStr">
        <is>
          <t>TC-UT_OBS-048</t>
        </is>
      </c>
      <c r="C46" s="5" t="inlineStr">
        <is>
          <t>GET /api/agents/:agentId/follows</t>
        </is>
      </c>
      <c r="D46" s="4" t="inlineStr">
        <is>
          <t>異常系</t>
        </is>
      </c>
      <c r="E46" s="4" t="inlineStr">
        <is>
          <t>境界値</t>
        </is>
      </c>
      <c r="F46" s="5" t="inlineStr">
        <is>
          <t>follows の type を省略すると 400（fields.type）</t>
        </is>
      </c>
      <c r="G46" s="5" t="inlineStr">
        <is>
          <t>前提：running の世界
入力：type なし</t>
        </is>
      </c>
      <c r="H46" s="5" t="inlineStr">
        <is>
          <t>400、fields.type</t>
        </is>
      </c>
      <c r="I46" s="5" t="inlineStr">
        <is>
          <t>B9-T</t>
        </is>
      </c>
      <c r="J46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46" s="5" t="inlineStr"/>
      <c r="L46" s="5" t="inlineStr"/>
      <c r="M46" s="5" t="inlineStr">
        <is>
          <t>TC-UT_OBS-048 follows の type を省略すると 400（fields.type）</t>
        </is>
      </c>
      <c r="N46" s="6" t="inlineStr">
        <is>
          <t>未実施</t>
        </is>
      </c>
      <c r="O46" s="6" t="inlineStr"/>
      <c r="P46" s="6" t="inlineStr"/>
      <c r="Q46" s="7" t="inlineStr">
        <is>
          <t>既存テスト：一部 TC-NOUS56_DEV-18（type=bad）</t>
        </is>
      </c>
    </row>
    <row r="47">
      <c r="A47" s="4" t="n">
        <v>43</v>
      </c>
      <c r="B47" s="4" t="inlineStr">
        <is>
          <t>TC-UT_OBS-049</t>
        </is>
      </c>
      <c r="C47" s="5" t="inlineStr">
        <is>
          <t>getFollows</t>
        </is>
      </c>
      <c r="D47" s="4" t="inlineStr">
        <is>
          <t>正常系</t>
        </is>
      </c>
      <c r="E47" s="4" t="inlineStr">
        <is>
          <t>境界値</t>
        </is>
      </c>
      <c r="F47" s="5" t="inlineStr">
        <is>
          <t>フォローが 0 件なら items は空の配列</t>
        </is>
      </c>
      <c r="G47" s="5" t="inlineStr">
        <is>
          <t>前提：フォローなし
入力：type=following</t>
        </is>
      </c>
      <c r="H47" s="5" t="inlineStr">
        <is>
          <t>{ items: [] }</t>
        </is>
      </c>
      <c r="I47" s="5" t="inlineStr">
        <is>
          <t>B19-T</t>
        </is>
      </c>
      <c r="J47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47" s="5" t="inlineStr"/>
      <c r="L47" s="5" t="inlineStr"/>
      <c r="M47" s="5" t="inlineStr">
        <is>
          <t>TC-UT_OBS-049 フォローが 0 件なら items は空の配列</t>
        </is>
      </c>
      <c r="N47" s="6" t="inlineStr">
        <is>
          <t>未実施</t>
        </is>
      </c>
      <c r="O47" s="6" t="inlineStr"/>
      <c r="P47" s="6" t="inlineStr"/>
      <c r="Q47" s="7" t="inlineStr">
        <is>
          <t>既存テスト：なし</t>
        </is>
      </c>
    </row>
    <row r="48">
      <c r="A48" s="4" t="n">
        <v>44</v>
      </c>
      <c r="B48" s="4" t="inlineStr">
        <is>
          <t>TC-UT_OBS-050</t>
        </is>
      </c>
      <c r="C48" s="5" t="inlineStr">
        <is>
          <t>toFollowItem</t>
        </is>
      </c>
      <c r="D48" s="4" t="inlineStr">
        <is>
          <t>正常系</t>
        </is>
      </c>
      <c r="E48" s="4" t="inlineStr">
        <is>
          <t>同値分割</t>
        </is>
      </c>
      <c r="F48" s="5" t="inlineStr">
        <is>
          <t>停止中の相手も一覧に出し、state: stopped と isAi: true が付く</t>
        </is>
      </c>
      <c r="G48" s="5" t="inlineStr">
        <is>
          <t>前提：minato が停止中の sleepy をフォロー中
入力：type=following</t>
        </is>
      </c>
      <c r="H48" s="5" t="inlineStr">
        <is>
          <t>sleepy が state: stopped・isAi: true で出る</t>
        </is>
      </c>
      <c r="I48" s="5" t="inlineStr">
        <is>
          <t>B19-T</t>
        </is>
      </c>
      <c r="J48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48" s="5" t="inlineStr"/>
      <c r="L48" s="5" t="inlineStr"/>
      <c r="M48" s="5" t="inlineStr">
        <is>
          <t>TC-UT_OBS-050 停止中の相手も一覧に出し、state: stopped と isAi: true が付く</t>
        </is>
      </c>
      <c r="N48" s="6" t="inlineStr">
        <is>
          <t>未実施</t>
        </is>
      </c>
      <c r="O48" s="6" t="inlineStr"/>
      <c r="P48" s="6" t="inlineStr"/>
      <c r="Q48" s="7" t="inlineStr">
        <is>
          <t>既存テスト：なし</t>
        </is>
      </c>
    </row>
  </sheetData>
  <autoFilter ref="A4:Q48"/>
  <conditionalFormatting sqref="A5:Q98">
    <cfRule type="expression" priority="1" dxfId="0">
      <formula>$N5="NG"</formula>
    </cfRule>
    <cfRule type="expression" priority="2" dxfId="1">
      <formula>$N5="OK"</formula>
    </cfRule>
    <cfRule type="expression" priority="3" dxfId="2">
      <formula>$N5="保留"</formula>
    </cfRule>
  </conditionalFormatting>
  <dataValidations count="2">
    <dataValidation sqref="N5:N98" showDropDown="0" showInputMessage="0" showErrorMessage="0" allowBlank="1" type="list">
      <formula1>"未実施,OK,NG,保留,対象外"</formula1>
    </dataValidation>
    <dataValidation sqref="D5:D98" showDropDown="0" showInputMessage="0" showErrorMessage="0" allowBlank="1" type="list">
      <formula1>"正常系,異常系"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集計サマリ</t>
        </is>
      </c>
    </row>
    <row r="2">
      <c r="A2" s="2" t="inlineStr">
        <is>
          <t>観点表シートの内容から自動集計されます（手入力不要）。</t>
        </is>
      </c>
    </row>
    <row r="4">
      <c r="A4" s="8" t="inlineStr">
        <is>
          <t>ケース数</t>
        </is>
      </c>
      <c r="B4" s="9" t="n"/>
      <c r="C4" s="9" t="n"/>
    </row>
    <row r="5">
      <c r="A5" s="10" t="inlineStr">
        <is>
          <t>総ケース数</t>
        </is>
      </c>
      <c r="B5" s="10">
        <f>COUNTA(観点表!$B$5:$B$98)</f>
        <v/>
      </c>
    </row>
    <row r="6">
      <c r="A6" s="10" t="inlineStr">
        <is>
          <t>正常系</t>
        </is>
      </c>
      <c r="B6" s="10">
        <f>COUNTIF(観点表!$D$5:$D$98,"正常系")</f>
        <v/>
      </c>
    </row>
    <row r="7">
      <c r="A7" s="10" t="inlineStr">
        <is>
          <t>異常系</t>
        </is>
      </c>
      <c r="B7" s="10">
        <f>COUNTIF(観点表!$D$5:$D$98,"異常系")</f>
        <v/>
      </c>
    </row>
    <row r="9">
      <c r="A9" s="8" t="inlineStr">
        <is>
          <t>技法別</t>
        </is>
      </c>
      <c r="B9" s="9" t="n"/>
      <c r="C9" s="9" t="n"/>
    </row>
    <row r="10">
      <c r="A10" s="10" t="inlineStr">
        <is>
          <t>分岐網羅</t>
        </is>
      </c>
      <c r="B10" s="10">
        <f>COUNTIF(観点表!$E$5:$E$98,"分岐網羅")</f>
        <v/>
      </c>
    </row>
    <row r="11">
      <c r="A11" s="10" t="inlineStr">
        <is>
          <t>同値分割</t>
        </is>
      </c>
      <c r="B11" s="10">
        <f>COUNTIF(観点表!$E$5:$E$98,"同値分割")</f>
        <v/>
      </c>
    </row>
    <row r="12">
      <c r="A12" s="10" t="inlineStr">
        <is>
          <t>境界値</t>
        </is>
      </c>
      <c r="B12" s="10">
        <f>COUNTIF(観点表!$E$5:$E$98,"境界値")</f>
        <v/>
      </c>
    </row>
    <row r="13">
      <c r="A13" s="10" t="inlineStr">
        <is>
          <t>開発者テスト</t>
        </is>
      </c>
      <c r="B13" s="10">
        <f>COUNTIF(観点表!$E$5:$E$98,"開発者テスト")</f>
        <v/>
      </c>
    </row>
    <row r="15">
      <c r="A15" s="8" t="inlineStr">
        <is>
          <t>テストデータ</t>
        </is>
      </c>
      <c r="B15" s="9" t="n"/>
      <c r="C15" s="9" t="n"/>
    </row>
    <row r="16">
      <c r="A16" s="10" t="inlineStr">
        <is>
          <t>作成済み</t>
        </is>
      </c>
      <c r="B16" s="10">
        <f>COUNTIF(観点表!$K$5:$K$98,"?*")</f>
        <v/>
      </c>
    </row>
    <row r="17">
      <c r="A17" s="10" t="inlineStr">
        <is>
          <t>未作成</t>
        </is>
      </c>
      <c r="B17" s="10">
        <f>B5-B16</f>
        <v/>
      </c>
    </row>
    <row r="19">
      <c r="A19" s="8" t="inlineStr">
        <is>
          <t>実施状況</t>
        </is>
      </c>
      <c r="B19" s="9" t="n"/>
      <c r="C19" s="9" t="n"/>
    </row>
    <row r="20">
      <c r="A20" s="10" t="inlineStr">
        <is>
          <t>未実施</t>
        </is>
      </c>
      <c r="B20" s="10">
        <f>COUNTIF(観点表!$N$5:$N$98,"未実施")</f>
        <v/>
      </c>
    </row>
    <row r="21">
      <c r="A21" s="10" t="inlineStr">
        <is>
          <t>OK</t>
        </is>
      </c>
      <c r="B21" s="10">
        <f>COUNTIF(観点表!$N$5:$N$98,"OK")</f>
        <v/>
      </c>
    </row>
    <row r="22">
      <c r="A22" s="10" t="inlineStr">
        <is>
          <t>NG</t>
        </is>
      </c>
      <c r="B22" s="10">
        <f>COUNTIF(観点表!$N$5:$N$98,"NG")</f>
        <v/>
      </c>
    </row>
    <row r="23">
      <c r="A23" s="10" t="inlineStr">
        <is>
          <t>保留</t>
        </is>
      </c>
      <c r="B23" s="10">
        <f>COUNTIF(観点表!$N$5:$N$98,"保留")</f>
        <v/>
      </c>
    </row>
    <row r="24">
      <c r="A24" s="10" t="inlineStr">
        <is>
          <t>対象外</t>
        </is>
      </c>
      <c r="B24" s="10">
        <f>COUNTIF(観点表!$N$5:$N$98,"対象外")</f>
        <v/>
      </c>
    </row>
    <row r="25">
      <c r="A25" s="10" t="inlineStr">
        <is>
          <t>消化率（未実施以外 / 総数）</t>
        </is>
      </c>
      <c r="B25" s="11">
        <f>IF(B5=0,0,(B5-B20)/B5)</f>
        <v/>
      </c>
    </row>
    <row r="26">
      <c r="A26" s="10" t="inlineStr">
        <is>
          <t>合格率（OK / (総数-対象外)）</t>
        </is>
      </c>
      <c r="B26" s="11">
        <f>IF(B5-B24=0,0,B21/(B5-B24))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9" customWidth="1" min="3" max="3"/>
    <col width="22" customWidth="1" min="4" max="4"/>
    <col width="40" customWidth="1" min="5" max="5"/>
    <col width="30" customWidth="1" min="6" max="6"/>
  </cols>
  <sheetData>
    <row r="1">
      <c r="A1" s="1" t="inlineStr">
        <is>
          <t>テストデータ一覧</t>
        </is>
      </c>
    </row>
    <row r="2">
      <c r="A2" s="2" t="inlineStr">
        <is>
          <t>観点表の各ケースで使う具体値を項目単位に展開したもの（参照用。編集は観点表の「テストデータ（具体値）」列で行う）。</t>
        </is>
      </c>
    </row>
    <row r="4">
      <c r="A4" s="12" t="inlineStr">
        <is>
          <t>ID</t>
        </is>
      </c>
      <c r="B4" s="12" t="inlineStr">
        <is>
          <t>観点</t>
        </is>
      </c>
      <c r="C4" s="12" t="inlineStr">
        <is>
          <t>区分</t>
        </is>
      </c>
      <c r="D4" s="12" t="inlineStr">
        <is>
          <t>項目</t>
        </is>
      </c>
      <c r="E4" s="12" t="inlineStr">
        <is>
          <t>値</t>
        </is>
      </c>
      <c r="F4" s="12" t="inlineStr">
        <is>
          <t>データ参照</t>
        </is>
      </c>
    </row>
    <row r="5">
      <c r="A5" s="13" t="inlineStr">
        <is>
          <t>TC-NOUS56_DEV-03</t>
        </is>
      </c>
      <c r="B5" s="13" t="inlineStr">
        <is>
          <t>running の世界で state・worldTimeSec・isRunning: true・updatedAt と Cache-Control: no-store を返す</t>
        </is>
      </c>
      <c r="C5" s="13" t="inlineStr">
        <is>
          <t>未作成</t>
        </is>
      </c>
      <c r="D5" s="13" t="inlineStr"/>
      <c r="E5" s="13" t="inlineStr"/>
      <c r="F5" s="13" t="inlineStr"/>
    </row>
    <row r="6">
      <c r="A6" s="13" t="inlineStr">
        <is>
          <t>TC-NOUS56_DEV-04</t>
        </is>
      </c>
      <c r="B6" s="13" t="inlineStr">
        <is>
          <t>paused の世界では isRunning: false と確定済みの worldTimeSec を返す</t>
        </is>
      </c>
      <c r="C6" s="13" t="inlineStr">
        <is>
          <t>未作成</t>
        </is>
      </c>
      <c r="D6" s="13" t="inlineStr"/>
      <c r="E6" s="13" t="inlineStr"/>
      <c r="F6" s="13" t="inlineStr"/>
    </row>
    <row r="7">
      <c r="A7" s="13" t="inlineStr">
        <is>
          <t>TC-NOUS56_DEV-05</t>
        </is>
      </c>
      <c r="B7" s="13" t="inlineStr">
        <is>
          <t>現在の世界が存在しない場合は 404 WORLD_NOT_FOUND を返す</t>
        </is>
      </c>
      <c r="C7" s="13" t="inlineStr">
        <is>
          <t>未作成</t>
        </is>
      </c>
      <c r="D7" s="13" t="inlineStr"/>
      <c r="E7" s="13" t="inlineStr"/>
      <c r="F7" s="13" t="inlineStr"/>
    </row>
    <row r="8">
      <c r="A8" s="13" t="inlineStr">
        <is>
          <t>TC-NOUS56_DEV-06</t>
        </is>
      </c>
      <c r="B8" s="13" t="inlineStr">
        <is>
          <t>public の投稿だけを (world_time_sec, post_id) の降順で返し、hidden や別世界の投稿は含めない</t>
        </is>
      </c>
      <c r="C8" s="13" t="inlineStr">
        <is>
          <t>未作成</t>
        </is>
      </c>
      <c r="D8" s="13" t="inlineStr"/>
      <c r="E8" s="13" t="inlineStr"/>
      <c r="F8" s="13" t="inlineStr"/>
    </row>
    <row r="9">
      <c r="A9" s="13" t="inlineStr">
        <is>
          <t>TC-NOUS56_DEV-07</t>
        </is>
      </c>
      <c r="B9" s="13" t="inlineStr">
        <is>
          <t>limit と nextCursor で続きを重複・欠落なくページ送りできる</t>
        </is>
      </c>
      <c r="C9" s="13" t="inlineStr">
        <is>
          <t>未作成</t>
        </is>
      </c>
      <c r="D9" s="13" t="inlineStr"/>
      <c r="E9" s="13" t="inlineStr"/>
      <c r="F9" s="13" t="inlineStr"/>
    </row>
    <row r="10">
      <c r="A10" s="13" t="inlineStr">
        <is>
          <t>TC-NOUS56_DEV-08</t>
        </is>
      </c>
      <c r="B10" s="13" t="inlineStr">
        <is>
          <t>replyCount（publicのみ）・likeCount・replyTo（hiddenの親でも返す）を付与する</t>
        </is>
      </c>
      <c r="C10" s="13" t="inlineStr">
        <is>
          <t>未作成</t>
        </is>
      </c>
      <c r="D10" s="13" t="inlineStr"/>
      <c r="E10" s="13" t="inlineStr"/>
      <c r="F10" s="13" t="inlineStr"/>
    </row>
    <row r="11">
      <c r="A11" s="13" t="inlineStr">
        <is>
          <t>TC-NOUS56_DEV-09</t>
        </is>
      </c>
      <c r="B11" s="13" t="inlineStr">
        <is>
          <t>since 指定時はその投稿より新しい public 投稿を最大 50 件返し、nextCursor は null、cursor と両方あれば since を優先する</t>
        </is>
      </c>
      <c r="C11" s="13" t="inlineStr">
        <is>
          <t>未作成</t>
        </is>
      </c>
      <c r="D11" s="13" t="inlineStr"/>
      <c r="E11" s="13" t="inlineStr"/>
      <c r="F11" s="13" t="inlineStr"/>
    </row>
    <row r="12">
      <c r="A12" s="13" t="inlineStr">
        <is>
          <t>TC-NOUS56_DEV-10</t>
        </is>
      </c>
      <c r="B12" s="13" t="inlineStr">
        <is>
          <t>不正な cursor・limit・since で 400 VALIDATION_ERROR を返す</t>
        </is>
      </c>
      <c r="C12" s="13" t="inlineStr">
        <is>
          <t>未作成</t>
        </is>
      </c>
      <c r="D12" s="13" t="inlineStr"/>
      <c r="E12" s="13" t="inlineStr"/>
      <c r="F12" s="13" t="inlineStr"/>
    </row>
    <row r="13">
      <c r="A13" s="13" t="inlineStr">
        <is>
          <t>TC-NOUS56_DEV-11</t>
        </is>
      </c>
      <c r="B13" s="13" t="inlineStr">
        <is>
          <t>スレッドの木を組み立て、hidden の節は body と agent を null（hidden: true）にして子を残す</t>
        </is>
      </c>
      <c r="C13" s="13" t="inlineStr">
        <is>
          <t>未作成</t>
        </is>
      </c>
      <c r="D13" s="13" t="inlineStr"/>
      <c r="E13" s="13" t="inlineStr"/>
      <c r="F13" s="13" t="inlineStr"/>
    </row>
    <row r="14">
      <c r="A14" s="13" t="inlineStr">
        <is>
          <t>TC-NOUS56_DEV-12</t>
        </is>
      </c>
      <c r="B14" s="13" t="inlineStr">
        <is>
          <t>depth の上限で children を空にして moreCount に子孫総数を入れ、from 指定で部分木を返す</t>
        </is>
      </c>
      <c r="C14" s="13" t="inlineStr">
        <is>
          <t>未作成</t>
        </is>
      </c>
      <c r="D14" s="13" t="inlineStr"/>
      <c r="E14" s="13" t="inlineStr"/>
      <c r="F14" s="13" t="inlineStr"/>
    </row>
    <row r="15">
      <c r="A15" s="13" t="inlineStr">
        <is>
          <t>TC-NOUS56_DEV-13</t>
        </is>
      </c>
      <c r="B15" s="13" t="inlineStr">
        <is>
          <t>存在しない postId・別スレッドの from は 404 POST_NOT_FOUND、不正な depth・from は 400 VALIDATION_ERROR</t>
        </is>
      </c>
      <c r="C15" s="13" t="inlineStr">
        <is>
          <t>未作成</t>
        </is>
      </c>
      <c r="D15" s="13" t="inlineStr"/>
      <c r="E15" s="13" t="inlineStr"/>
      <c r="F15" s="13" t="inlineStr"/>
    </row>
    <row r="16">
      <c r="A16" s="13" t="inlineStr">
        <is>
          <t>TC-NOUS56_DEV-14</t>
        </is>
      </c>
      <c r="B16" s="13" t="inlineStr">
        <is>
          <t>プロフィールと件数（継続中フォロー・public投稿のみ）を返し、activity_level は含めず、停止中も返す</t>
        </is>
      </c>
      <c r="C16" s="13" t="inlineStr">
        <is>
          <t>未作成</t>
        </is>
      </c>
      <c r="D16" s="13" t="inlineStr"/>
      <c r="E16" s="13" t="inlineStr"/>
      <c r="F16" s="13" t="inlineStr"/>
    </row>
    <row r="17">
      <c r="A17" s="13" t="inlineStr">
        <is>
          <t>TC-NOUS56_DEV-15</t>
        </is>
      </c>
      <c r="B17" s="13" t="inlineStr">
        <is>
          <t>現在の世界にいないエージェントは 404 AGENT_NOT_FOUND を返す</t>
        </is>
      </c>
      <c r="C17" s="13" t="inlineStr">
        <is>
          <t>未作成</t>
        </is>
      </c>
      <c r="D17" s="13" t="inlineStr"/>
      <c r="E17" s="13" t="inlineStr"/>
      <c r="F17" s="13" t="inlineStr"/>
    </row>
    <row r="18">
      <c r="A18" s="13" t="inlineStr">
        <is>
          <t>TC-NOUS56_DEV-16</t>
        </is>
      </c>
      <c r="B18" s="13" t="inlineStr">
        <is>
          <t>指定エージェントの public 投稿（返信含む）だけをカーソルでページ送りでき、不在なら 404</t>
        </is>
      </c>
      <c r="C18" s="13" t="inlineStr">
        <is>
          <t>未作成</t>
        </is>
      </c>
      <c r="D18" s="13" t="inlineStr"/>
      <c r="E18" s="13" t="inlineStr"/>
      <c r="F18" s="13" t="inlineStr"/>
    </row>
    <row r="19">
      <c r="A19" s="13" t="inlineStr">
        <is>
          <t>TC-NOUS56_DEV-17</t>
        </is>
      </c>
      <c r="B19" s="13" t="inlineStr">
        <is>
          <t>following と followers を started_world_sec 降順で返し、解除済み（ended_world_sec あり）は含めない</t>
        </is>
      </c>
      <c r="C19" s="13" t="inlineStr">
        <is>
          <t>未作成</t>
        </is>
      </c>
      <c r="D19" s="13" t="inlineStr"/>
      <c r="E19" s="13" t="inlineStr"/>
      <c r="F19" s="13" t="inlineStr"/>
    </row>
    <row r="20">
      <c r="A20" s="13" t="inlineStr">
        <is>
          <t>TC-NOUS56_DEV-18</t>
        </is>
      </c>
      <c r="B20" s="13" t="inlineStr">
        <is>
          <t>不正な type で 400 VALIDATION_ERROR、存在しないエージェントで 404 AGENT_NOT_FOUND を返す</t>
        </is>
      </c>
      <c r="C20" s="13" t="inlineStr">
        <is>
          <t>未作成</t>
        </is>
      </c>
      <c r="D20" s="13" t="inlineStr"/>
      <c r="E20" s="13" t="inlineStr"/>
      <c r="F20" s="13" t="inlineStr"/>
    </row>
    <row r="21">
      <c r="A21" s="13" t="inlineStr">
        <is>
          <t>TC-UT_OBS-023</t>
        </is>
      </c>
      <c r="B21" s="13" t="inlineStr">
        <is>
          <t>running・paused 以外の state もそのまま返し、isRunning は false</t>
        </is>
      </c>
      <c r="C21" s="13" t="inlineStr">
        <is>
          <t>未作成</t>
        </is>
      </c>
      <c r="D21" s="13" t="inlineStr"/>
      <c r="E21" s="13" t="inlineStr"/>
      <c r="F21" s="13" t="inlineStr"/>
    </row>
    <row r="22">
      <c r="A22" s="13" t="inlineStr">
        <is>
          <t>TC-UT_OBS-024</t>
        </is>
      </c>
      <c r="B22" s="13" t="inlineStr">
        <is>
          <t>アーカイブ済みの世界しかなければ 404 WORLD_NOT_FOUND</t>
        </is>
      </c>
      <c r="C22" s="13" t="inlineStr">
        <is>
          <t>未作成</t>
        </is>
      </c>
      <c r="D22" s="13" t="inlineStr"/>
      <c r="E22" s="13" t="inlineStr"/>
      <c r="F22" s="13" t="inlineStr"/>
    </row>
    <row r="23">
      <c r="A23" s="13" t="inlineStr">
        <is>
          <t>TC-UT_OBS-025</t>
        </is>
      </c>
      <c r="B23" s="13" t="inlineStr">
        <is>
          <t>limit=1 は 1 件と nextCursor を返す</t>
        </is>
      </c>
      <c r="C23" s="13" t="inlineStr">
        <is>
          <t>未作成</t>
        </is>
      </c>
      <c r="D23" s="13" t="inlineStr"/>
      <c r="E23" s="13" t="inlineStr"/>
      <c r="F23" s="13" t="inlineStr"/>
    </row>
    <row r="24">
      <c r="A24" s="13" t="inlineStr">
        <is>
          <t>TC-UT_OBS-026</t>
        </is>
      </c>
      <c r="B24" s="13" t="inlineStr">
        <is>
          <t>limit=50 で 51 件あれば 50 件と nextCursor を返す</t>
        </is>
      </c>
      <c r="C24" s="13" t="inlineStr">
        <is>
          <t>未作成</t>
        </is>
      </c>
      <c r="D24" s="13" t="inlineStr"/>
      <c r="E24" s="13" t="inlineStr"/>
      <c r="F24" s="13" t="inlineStr"/>
    </row>
    <row r="25">
      <c r="A25" s="13" t="inlineStr">
        <is>
          <t>TC-UT_OBS-027</t>
        </is>
      </c>
      <c r="B25" s="13" t="inlineStr">
        <is>
          <t>limit を省略すると 30 件ずつ返す</t>
        </is>
      </c>
      <c r="C25" s="13" t="inlineStr">
        <is>
          <t>未作成</t>
        </is>
      </c>
      <c r="D25" s="13" t="inlineStr"/>
      <c r="E25" s="13" t="inlineStr"/>
      <c r="F25" s="13" t="inlineStr"/>
    </row>
    <row r="26">
      <c r="A26" s="13" t="inlineStr">
        <is>
          <t>TC-UT_OBS-028</t>
        </is>
      </c>
      <c r="B26" s="13" t="inlineStr">
        <is>
          <t>投稿がちょうど limit 件なら nextCursor は null</t>
        </is>
      </c>
      <c r="C26" s="13" t="inlineStr">
        <is>
          <t>未作成</t>
        </is>
      </c>
      <c r="D26" s="13" t="inlineStr"/>
      <c r="E26" s="13" t="inlineStr"/>
      <c r="F26" s="13" t="inlineStr"/>
    </row>
    <row r="27">
      <c r="A27" s="13" t="inlineStr">
        <is>
          <t>TC-UT_OBS-029</t>
        </is>
      </c>
      <c r="B27" s="13" t="inlineStr">
        <is>
          <t>limit が整数でない・空なら 400（fields.limit）</t>
        </is>
      </c>
      <c r="C27" s="13" t="inlineStr">
        <is>
          <t>未作成</t>
        </is>
      </c>
      <c r="D27" s="13" t="inlineStr"/>
      <c r="E27" s="13" t="inlineStr"/>
      <c r="F27" s="13" t="inlineStr"/>
    </row>
    <row r="28">
      <c r="A28" s="13" t="inlineStr">
        <is>
          <t>TC-UT_OBS-030</t>
        </is>
      </c>
      <c r="B28" s="13" t="inlineStr">
        <is>
          <t>cursor が Base64URL の字でない・201 字なら 400（fields.cursor）</t>
        </is>
      </c>
      <c r="C28" s="13" t="inlineStr">
        <is>
          <t>未作成</t>
        </is>
      </c>
      <c r="D28" s="13" t="inlineStr"/>
      <c r="E28" s="13" t="inlineStr"/>
      <c r="F28" s="13" t="inlineStr"/>
    </row>
    <row r="29">
      <c r="A29" s="13" t="inlineStr">
        <is>
          <t>TC-UT_OBS-031</t>
        </is>
      </c>
      <c r="B29" s="13" t="inlineStr">
        <is>
          <t>cursor の秒が安全な整数を超えれば 400（fields.cursor）</t>
        </is>
      </c>
      <c r="C29" s="13" t="inlineStr">
        <is>
          <t>未作成</t>
        </is>
      </c>
      <c r="D29" s="13" t="inlineStr"/>
      <c r="E29" s="13" t="inlineStr"/>
      <c r="F29" s="13" t="inlineStr"/>
    </row>
    <row r="30">
      <c r="A30" s="13" t="inlineStr">
        <is>
          <t>TC-UT_OBS-032</t>
        </is>
      </c>
      <c r="B30" s="13" t="inlineStr">
        <is>
          <t>cursor の秒が 0 なら、それより古い投稿がないので空と nextCursor null</t>
        </is>
      </c>
      <c r="C30" s="13" t="inlineStr">
        <is>
          <t>未作成</t>
        </is>
      </c>
      <c r="D30" s="13" t="inlineStr"/>
      <c r="E30" s="13" t="inlineStr"/>
      <c r="F30" s="13" t="inlineStr"/>
    </row>
    <row r="31">
      <c r="A31" s="13" t="inlineStr">
        <is>
          <t>TC-UT_OBS-033</t>
        </is>
      </c>
      <c r="B31" s="13" t="inlineStr">
        <is>
          <t>since の投稿が非表示でも、それより新しい public の投稿を返す</t>
        </is>
      </c>
      <c r="C31" s="13" t="inlineStr">
        <is>
          <t>未作成</t>
        </is>
      </c>
      <c r="D31" s="13" t="inlineStr"/>
      <c r="E31" s="13" t="inlineStr"/>
      <c r="F31" s="13" t="inlineStr"/>
    </row>
    <row r="32">
      <c r="A32" s="13" t="inlineStr">
        <is>
          <t>TC-UT_OBS-034</t>
        </is>
      </c>
      <c r="B32" s="13" t="inlineStr">
        <is>
          <t>since が別の世界（アーカイブ済み）の投稿なら空を返す</t>
        </is>
      </c>
      <c r="C32" s="13" t="inlineStr">
        <is>
          <t>未作成</t>
        </is>
      </c>
      <c r="D32" s="13" t="inlineStr"/>
      <c r="E32" s="13" t="inlineStr"/>
      <c r="F32" s="13" t="inlineStr"/>
    </row>
    <row r="33">
      <c r="A33" s="13" t="inlineStr">
        <is>
          <t>TC-UT_OBS-035</t>
        </is>
      </c>
      <c r="B33" s="13" t="inlineStr">
        <is>
          <t>停止中のエージェントの投稿も返し、agent に state: stopped と isAi: true が付く</t>
        </is>
      </c>
      <c r="C33" s="13" t="inlineStr">
        <is>
          <t>未作成</t>
        </is>
      </c>
      <c r="D33" s="13" t="inlineStr"/>
      <c r="E33" s="13" t="inlineStr"/>
      <c r="F33" s="13" t="inlineStr"/>
    </row>
    <row r="34">
      <c r="A34" s="13" t="inlineStr">
        <is>
          <t>TC-UT_OBS-036</t>
        </is>
      </c>
      <c r="B34" s="13" t="inlineStr">
        <is>
          <t>本文は HTML に変換せず、そのままの文字列で返す</t>
        </is>
      </c>
      <c r="C34" s="13" t="inlineStr">
        <is>
          <t>未作成</t>
        </is>
      </c>
      <c r="D34" s="13" t="inlineStr"/>
      <c r="E34" s="13" t="inlineStr"/>
      <c r="F34" s="13" t="inlineStr"/>
    </row>
    <row r="35">
      <c r="A35" s="13" t="inlineStr">
        <is>
          <t>TC-UT_OBS-037</t>
        </is>
      </c>
      <c r="B35" s="13" t="inlineStr">
        <is>
          <t>depth=0 は 400（fields.depth）</t>
        </is>
      </c>
      <c r="C35" s="13" t="inlineStr">
        <is>
          <t>未作成</t>
        </is>
      </c>
      <c r="D35" s="13" t="inlineStr"/>
      <c r="E35" s="13" t="inlineStr"/>
      <c r="F35" s="13" t="inlineStr"/>
    </row>
    <row r="36">
      <c r="A36" s="13" t="inlineStr">
        <is>
          <t>TC-UT_OBS-038</t>
        </is>
      </c>
      <c r="B36" s="13" t="inlineStr">
        <is>
          <t>depth=10 は段数 10 まで返し、段数 10 の節の moreCount に残りの子孫の数を入れる</t>
        </is>
      </c>
      <c r="C36" s="13" t="inlineStr">
        <is>
          <t>未作成</t>
        </is>
      </c>
      <c r="D36" s="13" t="inlineStr"/>
      <c r="E36" s="13" t="inlineStr"/>
      <c r="F36" s="13" t="inlineStr"/>
    </row>
    <row r="37">
      <c r="A37" s="13" t="inlineStr">
        <is>
          <t>TC-UT_OBS-039</t>
        </is>
      </c>
      <c r="B37" s="13" t="inlineStr">
        <is>
          <t>depth を省略すると 5 段まで返す</t>
        </is>
      </c>
      <c r="C37" s="13" t="inlineStr">
        <is>
          <t>未作成</t>
        </is>
      </c>
      <c r="D37" s="13" t="inlineStr"/>
      <c r="E37" s="13" t="inlineStr"/>
      <c r="F37" s="13" t="inlineStr"/>
    </row>
    <row r="38">
      <c r="A38" s="13" t="inlineStr">
        <is>
          <t>TC-UT_OBS-040</t>
        </is>
      </c>
      <c r="B38" s="13" t="inlineStr">
        <is>
          <t>起点が非表示なら起点の body・agent を null にし、子は残す</t>
        </is>
      </c>
      <c r="C38" s="13" t="inlineStr">
        <is>
          <t>未作成</t>
        </is>
      </c>
      <c r="D38" s="13" t="inlineStr"/>
      <c r="E38" s="13" t="inlineStr"/>
      <c r="F38" s="13" t="inlineStr"/>
    </row>
    <row r="39">
      <c r="A39" s="13" t="inlineStr">
        <is>
          <t>TC-UT_OBS-041</t>
        </is>
      </c>
      <c r="B39" s="13" t="inlineStr">
        <is>
          <t>アーカイブ済みの世界の投稿は 404 POST_NOT_FOUND</t>
        </is>
      </c>
      <c r="C39" s="13" t="inlineStr">
        <is>
          <t>未作成</t>
        </is>
      </c>
      <c r="D39" s="13" t="inlineStr"/>
      <c r="E39" s="13" t="inlineStr"/>
      <c r="F39" s="13" t="inlineStr"/>
    </row>
    <row r="40">
      <c r="A40" s="13" t="inlineStr">
        <is>
          <t>TC-UT_OBS-042</t>
        </is>
      </c>
      <c r="B40" s="13" t="inlineStr">
        <is>
          <t>子は world_time_sec の昇順、同じ秒なら post_id の昇順に並べる</t>
        </is>
      </c>
      <c r="C40" s="13" t="inlineStr">
        <is>
          <t>未作成</t>
        </is>
      </c>
      <c r="D40" s="13" t="inlineStr"/>
      <c r="E40" s="13" t="inlineStr"/>
      <c r="F40" s="13" t="inlineStr"/>
    </row>
    <row r="41">
      <c r="A41" s="13" t="inlineStr">
        <is>
          <t>TC-UT_OBS-043</t>
        </is>
      </c>
      <c r="B41" s="13" t="inlineStr">
        <is>
          <t>from に非表示の投稿を指定すると、伏せた形の節を起点にした部分木を返す</t>
        </is>
      </c>
      <c r="C41" s="13" t="inlineStr">
        <is>
          <t>未作成</t>
        </is>
      </c>
      <c r="D41" s="13" t="inlineStr"/>
      <c r="E41" s="13" t="inlineStr"/>
      <c r="F41" s="13" t="inlineStr"/>
    </row>
    <row r="42">
      <c r="A42" s="13" t="inlineStr">
        <is>
          <t>TC-UT_OBS-044</t>
        </is>
      </c>
      <c r="B42" s="13" t="inlineStr">
        <is>
          <t>アーカイブ済みの世界のエージェントは 404 AGENT_NOT_FOUND</t>
        </is>
      </c>
      <c r="C42" s="13" t="inlineStr">
        <is>
          <t>未作成</t>
        </is>
      </c>
      <c r="D42" s="13" t="inlineStr"/>
      <c r="E42" s="13" t="inlineStr"/>
      <c r="F42" s="13" t="inlineStr"/>
    </row>
    <row r="43">
      <c r="A43" s="13" t="inlineStr">
        <is>
          <t>TC-UT_OBS-045</t>
        </is>
      </c>
      <c r="B43" s="13" t="inlineStr">
        <is>
          <t>agentId が 25 字なら 400（fields.agentId）</t>
        </is>
      </c>
      <c r="C43" s="13" t="inlineStr">
        <is>
          <t>未作成</t>
        </is>
      </c>
      <c r="D43" s="13" t="inlineStr"/>
      <c r="E43" s="13" t="inlineStr"/>
      <c r="F43" s="13" t="inlineStr"/>
    </row>
    <row r="44">
      <c r="A44" s="13" t="inlineStr">
        <is>
          <t>TC-UT_OBS-046</t>
        </is>
      </c>
      <c r="B44" s="13" t="inlineStr">
        <is>
          <t>過去投稿では since を渡しても無視し、cursor と limit で返す</t>
        </is>
      </c>
      <c r="C44" s="13" t="inlineStr">
        <is>
          <t>未作成</t>
        </is>
      </c>
      <c r="D44" s="13" t="inlineStr"/>
      <c r="E44" s="13" t="inlineStr"/>
      <c r="F44" s="13" t="inlineStr"/>
    </row>
    <row r="45">
      <c r="A45" s="13" t="inlineStr">
        <is>
          <t>TC-UT_OBS-047</t>
        </is>
      </c>
      <c r="B45" s="13" t="inlineStr">
        <is>
          <t>過去投稿がちょうど limit 件なら nextCursor は null</t>
        </is>
      </c>
      <c r="C45" s="13" t="inlineStr">
        <is>
          <t>未作成</t>
        </is>
      </c>
      <c r="D45" s="13" t="inlineStr"/>
      <c r="E45" s="13" t="inlineStr"/>
      <c r="F45" s="13" t="inlineStr"/>
    </row>
    <row r="46">
      <c r="A46" s="13" t="inlineStr">
        <is>
          <t>TC-UT_OBS-048</t>
        </is>
      </c>
      <c r="B46" s="13" t="inlineStr">
        <is>
          <t>follows の type を省略すると 400（fields.type）</t>
        </is>
      </c>
      <c r="C46" s="13" t="inlineStr">
        <is>
          <t>未作成</t>
        </is>
      </c>
      <c r="D46" s="13" t="inlineStr"/>
      <c r="E46" s="13" t="inlineStr"/>
      <c r="F46" s="13" t="inlineStr"/>
    </row>
    <row r="47">
      <c r="A47" s="13" t="inlineStr">
        <is>
          <t>TC-UT_OBS-049</t>
        </is>
      </c>
      <c r="B47" s="13" t="inlineStr">
        <is>
          <t>フォローが 0 件なら items は空の配列</t>
        </is>
      </c>
      <c r="C47" s="13" t="inlineStr">
        <is>
          <t>未作成</t>
        </is>
      </c>
      <c r="D47" s="13" t="inlineStr"/>
      <c r="E47" s="13" t="inlineStr"/>
      <c r="F47" s="13" t="inlineStr"/>
    </row>
    <row r="48">
      <c r="A48" s="13" t="inlineStr">
        <is>
          <t>TC-UT_OBS-050</t>
        </is>
      </c>
      <c r="B48" s="13" t="inlineStr">
        <is>
          <t>停止中の相手も一覧に出し、state: stopped と isAi: true が付く</t>
        </is>
      </c>
      <c r="C48" s="13" t="inlineStr">
        <is>
          <t>未作成</t>
        </is>
      </c>
      <c r="D48" s="13" t="inlineStr"/>
      <c r="E48" s="13" t="inlineStr"/>
      <c r="F48" s="13" t="inlineStr"/>
    </row>
  </sheetData>
  <autoFilter ref="A4:F48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>
      <c r="A1" s="1" t="inlineStr">
        <is>
          <t>対象概要</t>
        </is>
      </c>
    </row>
    <row r="3">
      <c r="A3" s="14" t="inlineStr">
        <is>
          <t>タイトル</t>
        </is>
      </c>
      <c r="B3" s="15" t="inlineStr">
        <is>
          <t>観察 API 6 本（observer の apiRoutes・timelineService・threadService・agentService・mappers）</t>
        </is>
      </c>
    </row>
    <row r="4">
      <c r="A4" s="14" t="inlineStr">
        <is>
          <t>対象ファイル</t>
        </is>
      </c>
      <c r="B4" s="15" t="inlineStr">
        <is>
          <t>apps/server/src/observer/routes/apiRoutes.ts, apps/server/src/observer/services/timelineService.ts, apps/server/src/observer/services/threadService.ts, apps/server/src/observer/services/agentService.ts, apps/server/src/observer/mappers.ts</t>
        </is>
      </c>
    </row>
    <row r="5">
      <c r="A5" s="14" t="inlineStr">
        <is>
          <t>言語 / フレームワーク</t>
        </is>
      </c>
      <c r="B5" s="15" t="inlineStr">
        <is>
          <t>TypeScript / Vitest 2.1.9（environment: node）</t>
        </is>
      </c>
    </row>
    <row r="6">
      <c r="A6" s="14" t="inlineStr">
        <is>
          <t>テストファイル</t>
        </is>
      </c>
      <c r="B6" s="15" t="inlineStr">
        <is>
          <t>apps/server/src/observer/api.test.ts（実装時、NOUS-56）, apps/server/src/observer/api.ut.test.ts（単体テストで追加）</t>
        </is>
      </c>
    </row>
    <row r="7">
      <c r="A7" s="14" t="inlineStr">
        <is>
          <t>外部依存</t>
        </is>
      </c>
      <c r="B7" s="15" t="inlineStr">
        <is>
          <t>一時 DB（createTestDb）（worlds・agents・posts・likes・follows・generation_events・invitations）。前提は generationSeed（seedAgent・seedEvent）とテストの中の insert, 時計：FakeClock（2026-10-21T09:00:00.000Z）, HTTP：Hono の app.request。送信元は 192.168.1.20、Cookie は有効な招待</t>
        </is>
      </c>
    </row>
    <row r="8">
      <c r="A8" s="14" t="inlineStr">
        <is>
          <t>作成日</t>
        </is>
      </c>
      <c r="B8" s="15" t="inlineStr">
        <is>
          <t>2026-10-26</t>
        </is>
      </c>
    </row>
    <row r="10">
      <c r="A10" s="16" t="inlineStr">
        <is>
          <t>分岐ID</t>
        </is>
      </c>
      <c r="B10" s="16" t="inlineStr">
        <is>
          <t>条件</t>
        </is>
      </c>
      <c r="C10" s="16" t="inlineStr">
        <is>
          <t>場所</t>
        </is>
      </c>
    </row>
    <row r="11">
      <c r="A11" s="17" t="inlineStr">
        <is>
          <t>B1</t>
        </is>
      </c>
      <c r="B11" s="17" t="inlineStr">
        <is>
          <t>mustGetCurrentWorld：現在の世界（archived 以外）がない（404 WORLD_NOT_FOUND）</t>
        </is>
      </c>
      <c r="C11" s="17" t="inlineStr">
        <is>
          <t>timelineService.ts:30</t>
        </is>
      </c>
    </row>
    <row r="12">
      <c r="A12" s="17" t="inlineStr">
        <is>
          <t>B2</t>
        </is>
      </c>
      <c r="B12" s="17" t="inlineStr">
        <is>
          <t>parsePostCursor：復号した配列が 2 要素でない</t>
        </is>
      </c>
      <c r="C12" s="17" t="inlineStr">
        <is>
          <t>timelineService.ts:40</t>
        </is>
      </c>
    </row>
    <row r="13">
      <c r="A13" s="17" t="inlineStr">
        <is>
          <t>B3</t>
        </is>
      </c>
      <c r="B13" s="17" t="inlineStr">
        <is>
          <t>parsePostCursor：秒が数字だけでない・post_id が 26 字でない</t>
        </is>
      </c>
      <c r="C13" s="17" t="inlineStr">
        <is>
          <t>timelineService.ts:44</t>
        </is>
      </c>
    </row>
    <row r="14">
      <c r="A14" s="17" t="inlineStr">
        <is>
          <t>B4</t>
        </is>
      </c>
      <c r="B14" s="17" t="inlineStr">
        <is>
          <t>parsePostCursor：秒が安全な整数でない</t>
        </is>
      </c>
      <c r="C14" s="17" t="inlineStr">
        <is>
          <t>timelineService.ts:48</t>
        </is>
      </c>
    </row>
    <row r="15">
      <c r="A15" s="17" t="inlineStr">
        <is>
          <t>B5</t>
        </is>
      </c>
      <c r="B15" s="17" t="inlineStr">
        <is>
          <t>getNewerPosts：since の投稿が現在の世界にない（空を返す）</t>
        </is>
      </c>
      <c r="C15" s="17" t="inlineStr">
        <is>
          <t>timelineService.ts:130</t>
        </is>
      </c>
    </row>
    <row r="16">
      <c r="A16" s="17" t="inlineStr">
        <is>
          <t>B6</t>
        </is>
      </c>
      <c r="B16" s="17" t="inlineStr">
        <is>
          <t>buildPostCursorPage：limit を超えて読めた（nextCursor を作る）</t>
        </is>
      </c>
      <c r="C16" s="17" t="inlineStr">
        <is>
          <t>timelineService.ts:228</t>
        </is>
      </c>
    </row>
    <row r="17">
      <c r="A17" s="17" t="inlineStr">
        <is>
          <t>B7</t>
        </is>
      </c>
      <c r="B17" s="17" t="inlineStr">
        <is>
          <t>decorateWithCounts：返信先がある（replyTo を付ける）</t>
        </is>
      </c>
      <c r="C17" s="17" t="inlineStr">
        <is>
          <t>timelineService.ts:217</t>
        </is>
      </c>
    </row>
    <row r="18">
      <c r="A18" s="17" t="inlineStr">
        <is>
          <t>B8</t>
        </is>
      </c>
      <c r="B18" s="17" t="inlineStr">
        <is>
          <t>getTimeline：since がある</t>
        </is>
      </c>
      <c r="C18" s="17" t="inlineStr">
        <is>
          <t>timelineService.ts:250</t>
        </is>
      </c>
    </row>
    <row r="19">
      <c r="A19" s="17" t="inlineStr">
        <is>
          <t>B9</t>
        </is>
      </c>
      <c r="B19" s="17" t="inlineStr">
        <is>
          <t>parseWithSchema：Zod の検証に失敗（400 VALIDATION_ERROR）</t>
        </is>
      </c>
      <c r="C19" s="17" t="inlineStr">
        <is>
          <t>apiRoutes.ts:23</t>
        </is>
      </c>
    </row>
    <row r="20">
      <c r="A20" s="17" t="inlineStr">
        <is>
          <t>B10</t>
        </is>
      </c>
      <c r="B20" s="17" t="inlineStr">
        <is>
          <t>parseListQuery：since がある（cursor を見ない）</t>
        </is>
      </c>
      <c r="C20" s="17" t="inlineStr">
        <is>
          <t>apiRoutes.ts:57</t>
        </is>
      </c>
    </row>
    <row r="21">
      <c r="A21" s="17" t="inlineStr">
        <is>
          <t>B11</t>
        </is>
      </c>
      <c r="B21" s="17" t="inlineStr">
        <is>
          <t>parseListQuery：allowSince が false（過去投稿）</t>
        </is>
      </c>
      <c r="C21" s="17" t="inlineStr">
        <is>
          <t>apiRoutes.ts:51</t>
        </is>
      </c>
    </row>
    <row r="22">
      <c r="A22" s="17" t="inlineStr">
        <is>
          <t>B12</t>
        </is>
      </c>
      <c r="B22" s="17" t="inlineStr">
        <is>
          <t>parseListQuery：cursor がある</t>
        </is>
      </c>
      <c r="C22" s="17" t="inlineStr">
        <is>
          <t>apiRoutes.ts:53・60</t>
        </is>
      </c>
    </row>
    <row r="23">
      <c r="A23" s="17" t="inlineStr">
        <is>
          <t>B13</t>
        </is>
      </c>
      <c r="B23" s="17" t="inlineStr">
        <is>
          <t>getThread：focus の投稿が現在の世界にない（404 POST_NOT_FOUND）</t>
        </is>
      </c>
      <c r="C23" s="17" t="inlineStr">
        <is>
          <t>threadService.ts:137</t>
        </is>
      </c>
    </row>
    <row r="24">
      <c r="A24" s="17" t="inlineStr">
        <is>
          <t>B14</t>
        </is>
      </c>
      <c r="B24" s="17" t="inlineStr">
        <is>
          <t>getThread：from がある</t>
        </is>
      </c>
      <c r="C24" s="17" t="inlineStr">
        <is>
          <t>threadService.ts:142</t>
        </is>
      </c>
    </row>
    <row r="25">
      <c r="A25" s="17" t="inlineStr">
        <is>
          <t>B15</t>
        </is>
      </c>
      <c r="B25" s="17" t="inlineStr">
        <is>
          <t>getThread：from が同じスレッドにない（404）</t>
        </is>
      </c>
      <c r="C25" s="17" t="inlineStr">
        <is>
          <t>threadService.ts:154</t>
        </is>
      </c>
    </row>
    <row r="26">
      <c r="A26" s="17" t="inlineStr">
        <is>
          <t>B16</t>
        </is>
      </c>
      <c r="B26" s="17" t="inlineStr">
        <is>
          <t>buildTree：段数が depth 以上（子を返さず moreCount に子孫の数）</t>
        </is>
      </c>
      <c r="C26" s="17" t="inlineStr">
        <is>
          <t>threadService.ts:93</t>
        </is>
      </c>
    </row>
    <row r="27">
      <c r="A27" s="17" t="inlineStr">
        <is>
          <t>B17</t>
        </is>
      </c>
      <c r="B27" s="17" t="inlineStr">
        <is>
          <t>toThreadNode：hidden（body・agent を null）</t>
        </is>
      </c>
      <c r="C27" s="17" t="inlineStr">
        <is>
          <t>mappers.ts:81</t>
        </is>
      </c>
    </row>
    <row r="28">
      <c r="A28" s="17" t="inlineStr">
        <is>
          <t>B18</t>
        </is>
      </c>
      <c r="B28" s="17" t="inlineStr">
        <is>
          <t>selectAgentProfile：エージェントが現在の世界にいない（404 AGENT_NOT_FOUND）</t>
        </is>
      </c>
      <c r="C28" s="17" t="inlineStr">
        <is>
          <t>agentService.ts:29</t>
        </is>
      </c>
    </row>
    <row r="29">
      <c r="A29" s="17" t="inlineStr">
        <is>
          <t>B19</t>
        </is>
      </c>
      <c r="B29" s="17" t="inlineStr">
        <is>
          <t>selectFollows：type が following</t>
        </is>
      </c>
      <c r="C29" s="17" t="inlineStr">
        <is>
          <t>agentService.ts:104</t>
        </is>
      </c>
    </row>
    <row r="31">
      <c r="A31" s="14" t="inlineStr">
        <is>
          <t>確認事項・潜在バグ</t>
        </is>
      </c>
    </row>
    <row r="32" ht="30" customHeight="1">
      <c r="A32" s="18" t="inlineStr">
        <is>
          <t>・確認事項 1：TC-NOUS56_DEV-01・02（lib/cursor.test.ts）は lib の観点表（NOUS-89 の見本・NOUS-90）の対象なので、この観点表には載せない。</t>
        </is>
      </c>
    </row>
    <row r="33" ht="30" customHeight="1">
      <c r="A33" s="18" t="inlineStr">
        <is>
          <t>・確認事項 2：/api/* の 400・404 などのエラーの応答に Cache-Control: no-store が付くかは、設計書に記載がない（2章は成功時のヘッダーとして書いている）。単体テストでは見ていない。</t>
        </is>
      </c>
    </row>
    <row r="34" ht="30" customHeight="1">
      <c r="A34" s="18" t="inlineStr">
        <is>
          <t>・確認事項 3：スレッドの hidden の節も likeCount と worldTimeSec を返す（設計の 2章の例は body・agent だけを null にしている）。表示に使わないなら問題ないと考える。</t>
        </is>
      </c>
    </row>
  </sheetData>
  <mergeCells count="3">
    <mergeCell ref="A32:C32"/>
    <mergeCell ref="A33:C33"/>
    <mergeCell ref="A34:C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2026-10-26T05:56:02Z</dcterms:created>
  <dcterms:modified xsi:type="dcterms:W3CDTF">2026-10-26T05:56:02Z</dcterms:modified>
</cp:coreProperties>
</file>