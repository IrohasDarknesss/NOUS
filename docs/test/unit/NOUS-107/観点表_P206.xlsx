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'観点表'!$A$4:$Q$43</definedName>
    <definedName name="_xlnm.Print_Titles" localSheetId="0">'観点表'!$4:$4</definedName>
    <definedName name="_xlnm._FilterDatabase" localSheetId="2" hidden="1">'テストデータ'!$A$4:$F$43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P206 利用量・運用指標（MetricsPage・pages/metrics）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TC-NOUS71_DEV-01</t>
        </is>
      </c>
      <c r="C5" s="5" t="inlineStr">
        <is>
          <t>validateRange</t>
        </is>
      </c>
      <c r="D5" s="4" t="inlineStr">
        <is>
          <t>異常系</t>
        </is>
      </c>
      <c r="E5" s="4" t="inlineStr">
        <is>
          <t>開発者テスト</t>
        </is>
      </c>
      <c r="F5" s="5" t="inlineStr">
        <is>
          <t>開始が終了より後ならエラー、91 日以上ならエラー、90 日以内・同じ日なら null</t>
        </is>
      </c>
      <c r="G5" s="5" t="inlineStr">
        <is>
          <t>前提：なし
入力：10-21〜10-20、07-01〜09-29、07-01〜09-28、10-20〜10-20</t>
        </is>
      </c>
      <c r="H5" s="5" t="inlineStr">
        <is>
          <t>文言 2 種と null</t>
        </is>
      </c>
      <c r="I5" s="5" t="inlineStr">
        <is>
          <t>B11-F, B12-F, B13-T, B13-F, B14-T, B14-F</t>
        </is>
      </c>
      <c r="J5" s="5" t="inlineStr">
        <is>
          <t>なし</t>
        </is>
      </c>
      <c r="K5" s="5" t="inlineStr"/>
      <c r="L5" s="5" t="inlineStr"/>
      <c r="M5" s="5" t="inlineStr">
        <is>
          <t>TC-NOUS71_DEV-01 validateRange：開始が終了より後ならエラー、91 日以上ならエラー、90 日以内なら null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既存テスト：実装時のテスト（NOUS-71）</t>
        </is>
      </c>
    </row>
    <row r="6">
      <c r="A6" s="4" t="n">
        <v>2</v>
      </c>
      <c r="B6" s="4" t="inlineStr">
        <is>
          <t>TC-NOUS71_DEV-02</t>
        </is>
      </c>
      <c r="C6" s="5" t="inlineStr">
        <is>
          <t>presetRange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7・14・30 日の期間を UTC の日付で返す</t>
        </is>
      </c>
      <c r="G6" s="5" t="inlineStr">
        <is>
          <t>前提：なし
入力：now 2026-10-20T05:00Z</t>
        </is>
      </c>
      <c r="H6" s="5" t="inlineStr">
        <is>
          <t>to は 10-20、from は 10-14・10-07・09-21</t>
        </is>
      </c>
      <c r="I6" s="5" t="inlineStr"/>
      <c r="J6" s="5" t="inlineStr">
        <is>
          <t>なし</t>
        </is>
      </c>
      <c r="K6" s="5" t="inlineStr"/>
      <c r="L6" s="5" t="inlineStr"/>
      <c r="M6" s="5" t="inlineStr">
        <is>
          <t>TC-NOUS71_DEV-02 presetRange：7・14・30 日の期間を UTC の日付で返す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既存テスト：実装時のテスト（NOUS-71）</t>
        </is>
      </c>
    </row>
    <row r="7">
      <c r="A7" s="4" t="n">
        <v>3</v>
      </c>
      <c r="B7" s="4" t="inlineStr">
        <is>
          <t>TC-NOUS71_DEV-03</t>
        </is>
      </c>
      <c r="C7" s="5" t="inlineStr">
        <is>
          <t>formatRate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null は「―」、数値は百分率の小数 1 桁</t>
        </is>
      </c>
      <c r="G7" s="5" t="inlineStr">
        <is>
          <t>前提：なし
入力：null、0、0.6234、0.0115</t>
        </is>
      </c>
      <c r="H7" s="5" t="inlineStr">
        <is>
          <t>―、0.0%、62.3%、1.1%</t>
        </is>
      </c>
      <c r="I7" s="5" t="inlineStr">
        <is>
          <t>B19-T, B19-F</t>
        </is>
      </c>
      <c r="J7" s="5" t="inlineStr">
        <is>
          <t>なし</t>
        </is>
      </c>
      <c r="K7" s="5" t="inlineStr"/>
      <c r="L7" s="5" t="inlineStr"/>
      <c r="M7" s="5" t="inlineStr">
        <is>
          <t>TC-NOUS71_DEV-03 formatRate：null は「―」、数値は百分率の小数 1 桁にする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既存テスト：実装時のテスト（NOUS-71）</t>
        </is>
      </c>
    </row>
    <row r="8">
      <c r="A8" s="4" t="n">
        <v>4</v>
      </c>
      <c r="B8" s="4" t="inlineStr">
        <is>
          <t>TC-NOUS71_DEV-04</t>
        </is>
      </c>
      <c r="C8" s="5" t="inlineStr">
        <is>
          <t>openFailedLogs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利用日の 00:00Z から翌日の 00:00Z までの失敗ログの URL へ遷移する</t>
        </is>
      </c>
      <c r="G8" s="5" t="inlineStr">
        <is>
          <t>前提：なし
入力：2026-10-20</t>
        </is>
      </c>
      <c r="H8" s="5" t="inlineStr">
        <is>
          <t>/generations?status=failed&amp;from=…10-20T00:00Z&amp;to=…10-21T00:00Z</t>
        </is>
      </c>
      <c r="I8" s="5" t="inlineStr"/>
      <c r="J8" s="5" t="inlineStr">
        <is>
          <t>なし</t>
        </is>
      </c>
      <c r="K8" s="5" t="inlineStr"/>
      <c r="L8" s="5" t="inlineStr"/>
      <c r="M8" s="5" t="inlineStr">
        <is>
          <t>TC-NOUS71_DEV-04 openFailedLogs：利用日の 00:00Z から翌日の 00:00Z までの失敗ログ URL へ遷移する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既存テスト：実装時のテスト（NOUS-71）</t>
        </is>
      </c>
    </row>
    <row r="9">
      <c r="A9" s="4" t="n">
        <v>5</v>
      </c>
      <c r="B9" s="4" t="inlineStr">
        <is>
          <t>TC-NOUS71_DEV-05</t>
        </is>
      </c>
      <c r="C9" s="5" t="inlineStr">
        <is>
          <t>MetricsPage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今日の要約・グラフ・日別の表を描画し、エラー率 5% 超を赤で表示する</t>
        </is>
      </c>
      <c r="G9" s="5" t="inlineStr">
        <is>
          <t>前提：指標 2 日分（エラー率 1.15% と 7.69%）
入力：/metrics?from=2026-10-20&amp;to=2026-10-21</t>
        </is>
      </c>
      <c r="H9" s="5" t="inlineStr">
        <is>
          <t>表の 2 行、概算費用 0 円、2 つのグラフ、7.7% だけ赤</t>
        </is>
      </c>
      <c r="I9" s="5" t="inlineStr">
        <is>
          <t>B2-T, B9-T, B10-T, B16-T, B17-T, B18-F, B20-T, B20-F</t>
        </is>
      </c>
      <c r="J9" s="5" t="inlineStr">
        <is>
          <t>fetch を mockFetch で差し替え（session・world は成功）</t>
        </is>
      </c>
      <c r="K9" s="5" t="inlineStr"/>
      <c r="L9" s="5" t="inlineStr"/>
      <c r="M9" s="5" t="inlineStr">
        <is>
          <t>TC-NOUS71_DEV-05 MetricsPage：今日の要約・グラフ・日別の表を描画し、エラー率 5% 超を赤で表示する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既存テスト：実装時のテスト（NOUS-71）</t>
        </is>
      </c>
    </row>
    <row r="10">
      <c r="A10" s="4" t="n">
        <v>6</v>
      </c>
      <c r="B10" s="4" t="inlineStr">
        <is>
          <t>TC-NOUS71_DEV-06</t>
        </is>
      </c>
      <c r="C10" s="5" t="inlineStr">
        <is>
          <t>MetricsPage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エラー率のクリックで P207 に status=failed と期間を付けて遷移する</t>
        </is>
      </c>
      <c r="G10" s="5" t="inlineStr">
        <is>
          <t>前提：指標 2 日分
入力：7.7% を押す</t>
        </is>
      </c>
      <c r="H10" s="5" t="inlineStr">
        <is>
          <t>/generations?status=failed&amp;from=10-21T00:00Z&amp;to=10-22T00:00Z</t>
        </is>
      </c>
      <c r="I10" s="5" t="inlineStr">
        <is>
          <t>B2-T</t>
        </is>
      </c>
      <c r="J10" s="5" t="inlineStr">
        <is>
          <t>fetch を mockFetch で差し替え（session・world は成功）</t>
        </is>
      </c>
      <c r="K10" s="5" t="inlineStr"/>
      <c r="L10" s="5" t="inlineStr"/>
      <c r="M10" s="5" t="inlineStr">
        <is>
          <t>TC-NOUS71_DEV-06 MetricsPage：エラー率のクリックで P207 に status=failed と期間を付けて遷移する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既存テスト：実装時のテスト（NOUS-71）</t>
        </is>
      </c>
    </row>
    <row r="11">
      <c r="A11" s="4" t="n">
        <v>7</v>
      </c>
      <c r="B11" s="4" t="inlineStr">
        <is>
          <t>TC-UT_P206-001</t>
        </is>
      </c>
      <c r="C11" s="5" t="inlineStr">
        <is>
          <t>validateRange</t>
        </is>
      </c>
      <c r="D11" s="4" t="inlineStr">
        <is>
          <t>異常系</t>
        </is>
      </c>
      <c r="E11" s="4" t="inlineStr">
        <is>
          <t>分岐網羅</t>
        </is>
      </c>
      <c r="F11" s="5" t="inlineStr">
        <is>
          <t>開始か終了が空なら null を返す（判定しない）</t>
        </is>
      </c>
      <c r="G11" s="5" t="inlineStr">
        <is>
          <t>前提：なし
入力：("", 10-20)、(10-20, "")</t>
        </is>
      </c>
      <c r="H11" s="5" t="inlineStr">
        <is>
          <t>null</t>
        </is>
      </c>
      <c r="I11" s="5" t="inlineStr">
        <is>
          <t>B11-T</t>
        </is>
      </c>
      <c r="J11" s="5" t="inlineStr">
        <is>
          <t>なし</t>
        </is>
      </c>
      <c r="K11" s="5" t="inlineStr"/>
      <c r="L11" s="5" t="inlineStr"/>
      <c r="M11" s="5" t="inlineStr">
        <is>
          <t>TC-UT_P206-001 validateRange は開始か終了が空なら null を返す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既存テスト：なし
画面基本設計書 6章は「必須」とするが、空のときの文言は定めていない。issues の確認事項 3</t>
        </is>
      </c>
    </row>
    <row r="12">
      <c r="A12" s="4" t="n">
        <v>8</v>
      </c>
      <c r="B12" s="4" t="inlineStr">
        <is>
          <t>TC-UT_P206-002</t>
        </is>
      </c>
      <c r="C12" s="5" t="inlineStr">
        <is>
          <t>validateRange</t>
        </is>
      </c>
      <c r="D12" s="4" t="inlineStr">
        <is>
          <t>異常系</t>
        </is>
      </c>
      <c r="E12" s="4" t="inlineStr">
        <is>
          <t>同値分割</t>
        </is>
      </c>
      <c r="F12" s="5" t="inlineStr">
        <is>
          <t>日付として読めない値なら null を返す</t>
        </is>
      </c>
      <c r="G12" s="5" t="inlineStr">
        <is>
          <t>前提：なし
入力：("2026-13-40", 10-20)</t>
        </is>
      </c>
      <c r="H12" s="5" t="inlineStr">
        <is>
          <t>null</t>
        </is>
      </c>
      <c r="I12" s="5" t="inlineStr">
        <is>
          <t>B11-F, B12-T</t>
        </is>
      </c>
      <c r="J12" s="5" t="inlineStr">
        <is>
          <t>なし</t>
        </is>
      </c>
      <c r="K12" s="5" t="inlineStr"/>
      <c r="L12" s="5" t="inlineStr"/>
      <c r="M12" s="5" t="inlineStr">
        <is>
          <t>TC-UT_P206-002 validateRange は日付として読めない値なら null 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
type=date の入力欄からは来ない値。URL の検索パラメータから来うる</t>
        </is>
      </c>
    </row>
    <row r="13">
      <c r="A13" s="4" t="n">
        <v>9</v>
      </c>
      <c r="B13" s="4" t="inlineStr">
        <is>
          <t>TC-UT_P206-003</t>
        </is>
      </c>
      <c r="C13" s="5" t="inlineStr">
        <is>
          <t>presetRange</t>
        </is>
      </c>
      <c r="D13" s="4" t="inlineStr">
        <is>
          <t>正常系</t>
        </is>
      </c>
      <c r="E13" s="4" t="inlineStr">
        <is>
          <t>境界値</t>
        </is>
      </c>
      <c r="F13" s="5" t="inlineStr">
        <is>
          <t>うるう日をまたいでも日数どおりの開始日を返す</t>
        </is>
      </c>
      <c r="G13" s="5" t="inlineStr">
        <is>
          <t>前提：なし
入力：days 7、now 2028-03-01T00:00Z</t>
        </is>
      </c>
      <c r="H13" s="5" t="inlineStr">
        <is>
          <t>{ from: 2028-02-24, to: 2028-03-01 }</t>
        </is>
      </c>
      <c r="I13" s="5" t="inlineStr"/>
      <c r="J13" s="5" t="inlineStr">
        <is>
          <t>なし</t>
        </is>
      </c>
      <c r="K13" s="5" t="inlineStr"/>
      <c r="L13" s="5" t="inlineStr"/>
      <c r="M13" s="5" t="inlineStr">
        <is>
          <t>TC-UT_P206-003 presetRange はうるう日をまたいでも日数どおりの開始日を返す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TC-NOUS71_DEV-02（月をまたぐだけ）</t>
        </is>
      </c>
    </row>
    <row r="14">
      <c r="A14" s="4" t="n">
        <v>10</v>
      </c>
      <c r="B14" s="4" t="inlineStr">
        <is>
          <t>TC-UT_P206-004</t>
        </is>
      </c>
      <c r="C14" s="5" t="inlineStr">
        <is>
          <t>todayUtcDate / presetRange</t>
        </is>
      </c>
      <c r="D14" s="4" t="inlineStr">
        <is>
          <t>正常系</t>
        </is>
      </c>
      <c r="E14" s="4" t="inlineStr">
        <is>
          <t>境界値</t>
        </is>
      </c>
      <c r="F14" s="5" t="inlineStr">
        <is>
          <t>今日の日付は UTC で決まり、00:00:00.000Z（日本時間 9:00）で切り替わる</t>
        </is>
      </c>
      <c r="G14" s="5" t="inlineStr">
        <is>
          <t>前提：なし
入力：2026-10-20T23:59:59.999Z、2026-10-21T00:00:00.000Z</t>
        </is>
      </c>
      <c r="H14" s="5" t="inlineStr">
        <is>
          <t>10-20、10-21。presetRange の to も 10-20</t>
        </is>
      </c>
      <c r="I14" s="5" t="inlineStr"/>
      <c r="J14" s="5" t="inlineStr">
        <is>
          <t>なし</t>
        </is>
      </c>
      <c r="K14" s="5" t="inlineStr"/>
      <c r="L14" s="5" t="inlineStr"/>
      <c r="M14" s="5" t="inlineStr">
        <is>
          <t>TC-UT_P206-004 今日の日付は UTC で決まり、00:00:00.000Z（日本時間 9:00）で切り替わる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
README 6.2 の 00:00 UTC の両側の境界値</t>
        </is>
      </c>
    </row>
    <row r="15">
      <c r="A15" s="4" t="n">
        <v>11</v>
      </c>
      <c r="B15" s="4" t="inlineStr">
        <is>
          <t>TC-UT_P206-005</t>
        </is>
      </c>
      <c r="C15" s="5" t="inlineStr">
        <is>
          <t>formatRate</t>
        </is>
      </c>
      <c r="D15" s="4" t="inlineStr">
        <is>
          <t>正常系</t>
        </is>
      </c>
      <c r="E15" s="4" t="inlineStr">
        <is>
          <t>境界値</t>
        </is>
      </c>
      <c r="F15" s="5" t="inlineStr">
        <is>
          <t>0.05 は 5.0%、1 は 100.0%、0.05% 未満は 0.0% に丸める</t>
        </is>
      </c>
      <c r="G15" s="5" t="inlineStr">
        <is>
          <t>前提：なし
入力：0.05、1、0.00049</t>
        </is>
      </c>
      <c r="H15" s="5" t="inlineStr">
        <is>
          <t>5.0%、100.0%、0.0%</t>
        </is>
      </c>
      <c r="I15" s="5" t="inlineStr">
        <is>
          <t>B19-F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TC-UT_P206-005 formatRate は 0.05 を 5.0%、1 を 100.0% にし、0.05% 未満は 0.0% に丸める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TC-NOUS71_DEV-03</t>
        </is>
      </c>
    </row>
    <row r="16">
      <c r="A16" s="4" t="n">
        <v>12</v>
      </c>
      <c r="B16" s="4" t="inlineStr">
        <is>
          <t>TC-UT_P206-006</t>
        </is>
      </c>
      <c r="C16" s="5" t="inlineStr">
        <is>
          <t>buildFailedLogsPath</t>
        </is>
      </c>
      <c r="D16" s="4" t="inlineStr">
        <is>
          <t>正常系</t>
        </is>
      </c>
      <c r="E16" s="4" t="inlineStr">
        <is>
          <t>境界値</t>
        </is>
      </c>
      <c r="F16" s="5" t="inlineStr">
        <is>
          <t>月末の利用日の失敗ログの URL は、翌月 1 日の 00:00Z までにする</t>
        </is>
      </c>
      <c r="G16" s="5" t="inlineStr">
        <is>
          <t>前提：なし
入力：2026-10-31</t>
        </is>
      </c>
      <c r="H16" s="5" t="inlineStr">
        <is>
          <t>from 2026-10-31T00:00Z、to 2026-11-01T00:00Z</t>
        </is>
      </c>
      <c r="I16" s="5" t="inlineStr"/>
      <c r="J16" s="5" t="inlineStr">
        <is>
          <t>なし</t>
        </is>
      </c>
      <c r="K16" s="5" t="inlineStr"/>
      <c r="L16" s="5" t="inlineStr"/>
      <c r="M16" s="5" t="inlineStr">
        <is>
          <t>TC-UT_P206-006 月末の利用日の失敗ログの URL は、翌月 1 日の 00:00Z までにする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既存テスト：一部 TC-NOUS71_DEV-04（月の途中だけ）</t>
        </is>
      </c>
    </row>
    <row r="17">
      <c r="A17" s="4" t="n">
        <v>13</v>
      </c>
      <c r="B17" s="4" t="inlineStr">
        <is>
          <t>TC-UT_P206-007</t>
        </is>
      </c>
      <c r="C17" s="5" t="inlineStr">
        <is>
          <t>MetricsTable</t>
        </is>
      </c>
      <c r="D17" s="4" t="inlineStr">
        <is>
          <t>正常系</t>
        </is>
      </c>
      <c r="E17" s="4" t="inlineStr">
        <is>
          <t>境界値</t>
        </is>
      </c>
      <c r="F17" s="5" t="inlineStr">
        <is>
          <t>エラー率がちょうど 5% なら赤にせず、5% を超えると赤にする</t>
        </is>
      </c>
      <c r="G17" s="5" t="inlineStr">
        <is>
          <t>前提：なし
入力：エラー率 0.05 と 0.051</t>
        </is>
      </c>
      <c r="H17" s="5" t="inlineStr">
        <is>
          <t>5.0% は通常の色、5.1% は赤</t>
        </is>
      </c>
      <c r="I17" s="5" t="inlineStr">
        <is>
          <t>B19-F, B20-T, B20-F</t>
        </is>
      </c>
      <c r="J17" s="5" t="inlineStr">
        <is>
          <t>なし</t>
        </is>
      </c>
      <c r="K17" s="5" t="inlineStr"/>
      <c r="L17" s="5" t="inlineStr"/>
      <c r="M17" s="5" t="inlineStr">
        <is>
          <t>TC-UT_P206-007 エラー率がちょうど 5% なら赤にせず、5% を超えると赤にする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TC-NOUS71_DEV-05（1.15% と 7.69% だけ）
色は見た目だが、「5% を超えると赤」は画面基本設計書 H13 の業務の規則なので、DEV-05 と同じく style で確かめる</t>
        </is>
      </c>
    </row>
    <row r="18">
      <c r="A18" s="4" t="n">
        <v>14</v>
      </c>
      <c r="B18" s="4" t="inlineStr">
        <is>
          <t>TC-UT_P206-008</t>
        </is>
      </c>
      <c r="C18" s="5" t="inlineStr">
        <is>
          <t>MetricsTable</t>
        </is>
      </c>
      <c r="D18" s="4" t="inlineStr">
        <is>
          <t>正常系</t>
        </is>
      </c>
      <c r="E18" s="4" t="inlineStr">
        <is>
          <t>同値分割</t>
        </is>
      </c>
      <c r="F18" s="5" t="inlineStr">
        <is>
          <t>エラー率が null（実行 0 回）の日は「―」で、赤にせず、押せば P207 へ移る</t>
        </is>
      </c>
      <c r="G18" s="5" t="inlineStr">
        <is>
          <t>前提：なし
入力：errorRate null、runs 0</t>
        </is>
      </c>
      <c r="H18" s="5" t="inlineStr">
        <is>
          <t>ボタンは「―」で通常の色。押すと onErrorRateClick(利用日)</t>
        </is>
      </c>
      <c r="I18" s="5" t="inlineStr">
        <is>
          <t>B19-T, B20-F</t>
        </is>
      </c>
      <c r="J18" s="5" t="inlineStr">
        <is>
          <t>なし</t>
        </is>
      </c>
      <c r="K18" s="5" t="inlineStr"/>
      <c r="L18" s="5" t="inlineStr"/>
      <c r="M18" s="5" t="inlineStr">
        <is>
          <t>TC-UT_P206-008 エラー率が null（実行 0 回）の日は「―」で、赤にしない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TC-UT_P206-009</t>
        </is>
      </c>
      <c r="C19" s="5" t="inlineStr">
        <is>
          <t>MetricsTable</t>
        </is>
      </c>
      <c r="D19" s="4" t="inlineStr">
        <is>
          <t>正常系</t>
        </is>
      </c>
      <c r="E19" s="4" t="inlineStr">
        <is>
          <t>同値分割</t>
        </is>
      </c>
      <c r="F19" s="5" t="inlineStr">
        <is>
          <t>日別の表は、トークンを 3 桁区切り、Neurons を小数 1 桁、概算費用を 0 円で出す</t>
        </is>
      </c>
      <c r="G19" s="5" t="inlineStr">
        <is>
          <t>前提：なし
入力：入力 380000、出力 18000、Neurons 1234</t>
        </is>
      </c>
      <c r="H19" s="5" t="inlineStr">
        <is>
          <t>380,000、18,000、1,234.0、0 円</t>
        </is>
      </c>
      <c r="I19" s="5" t="inlineStr"/>
      <c r="J19" s="5" t="inlineStr">
        <is>
          <t>なし</t>
        </is>
      </c>
      <c r="K19" s="5" t="inlineStr"/>
      <c r="L19" s="5" t="inlineStr"/>
      <c r="M19" s="5" t="inlineStr">
        <is>
          <t>TC-UT_P206-009 日別の表は、トークンを 3 桁区切り、Neurons を小数 1 桁、概算費用を 0 円で出す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TC-UT_P206-010</t>
        </is>
      </c>
      <c r="C20" s="5" t="inlineStr">
        <is>
          <t>MetricsTable</t>
        </is>
      </c>
      <c r="D20" s="4" t="inlineStr">
        <is>
          <t>正常系</t>
        </is>
      </c>
      <c r="E20" s="4" t="inlineStr">
        <is>
          <t>境界値</t>
        </is>
      </c>
      <c r="F20" s="5" t="inlineStr">
        <is>
          <t>日別の表は 0 件なら「この期間のデータはありません」を出す</t>
        </is>
      </c>
      <c r="G20" s="5" t="inlineStr">
        <is>
          <t>前提：なし
入力：items []</t>
        </is>
      </c>
      <c r="H20" s="5" t="inlineStr">
        <is>
          <t>「この期間のデータはありません」</t>
        </is>
      </c>
      <c r="I20" s="5" t="inlineStr"/>
      <c r="J20" s="5" t="inlineStr">
        <is>
          <t>なし</t>
        </is>
      </c>
      <c r="K20" s="5" t="inlineStr"/>
      <c r="L20" s="5" t="inlineStr"/>
      <c r="M20" s="5" t="inlineStr">
        <is>
          <t>TC-UT_P206-010 日別の表は 0 件なら「この期間のデータはありません」を出す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</t>
        </is>
      </c>
    </row>
    <row r="21">
      <c r="A21" s="4" t="n">
        <v>17</v>
      </c>
      <c r="B21" s="4" t="inlineStr">
        <is>
          <t>TC-UT_P206-011</t>
        </is>
      </c>
      <c r="C21" s="5" t="inlineStr">
        <is>
          <t>TodaySummary</t>
        </is>
      </c>
      <c r="D21" s="4" t="inlineStr">
        <is>
          <t>正常系</t>
        </is>
      </c>
      <c r="E21" s="4" t="inlineStr">
        <is>
          <t>分岐網羅</t>
        </is>
      </c>
      <c r="F21" s="5" t="inlineStr">
        <is>
          <t>今日の値が無ければ 0 / 無料枠・0 回・0 円を出す</t>
        </is>
      </c>
      <c r="G21" s="5" t="inlineStr">
        <is>
          <t>前提：なし
入力：today null</t>
        </is>
      </c>
      <c r="H21" s="5" t="inlineStr">
        <is>
          <t>「0 / 10,000」「0 回」「0 円」</t>
        </is>
      </c>
      <c r="I21" s="5" t="inlineStr">
        <is>
          <t>B16-F</t>
        </is>
      </c>
      <c r="J21" s="5" t="inlineStr">
        <is>
          <t>なし</t>
        </is>
      </c>
      <c r="K21" s="5" t="inlineStr"/>
      <c r="L21" s="5" t="inlineStr"/>
      <c r="M21" s="5" t="inlineStr">
        <is>
          <t>TC-UT_P206-011 今日の要約は、今日の値が無ければ 0 / 無料枠・0 回・0 円を出す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TC-UT_P206-012</t>
        </is>
      </c>
      <c r="C22" s="5" t="inlineStr">
        <is>
          <t>TodaySummary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Neurons を小数 1 桁まで、呼び出しを 3 桁区切りで出し、渡された無料枠を使う</t>
        </is>
      </c>
      <c r="G22" s="5" t="inlineStr">
        <is>
          <t>前提：なし
入力：neurons 2104.56、calls 1234、freeTier 12000</t>
        </is>
      </c>
      <c r="H22" s="5" t="inlineStr">
        <is>
          <t>「2,104.6 / 12,000」「1,234 回」</t>
        </is>
      </c>
      <c r="I22" s="5" t="inlineStr">
        <is>
          <t>B16-T</t>
        </is>
      </c>
      <c r="J22" s="5" t="inlineStr">
        <is>
          <t>なし</t>
        </is>
      </c>
      <c r="K22" s="5" t="inlineStr"/>
      <c r="L22" s="5" t="inlineStr"/>
      <c r="M22" s="5" t="inlineStr">
        <is>
          <t>TC-UT_P206-012 今日の要約は、Neurons を小数 1 桁まで、呼び出しを 3 桁区切りで出し、無料枠の値を使う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TC-UT_P206-013</t>
        </is>
      </c>
      <c r="C23" s="5" t="inlineStr">
        <is>
          <t>MetricsPage</t>
        </is>
      </c>
      <c r="D23" s="4" t="inlineStr">
        <is>
          <t>正常系</t>
        </is>
      </c>
      <c r="E23" s="4" t="inlineStr">
        <is>
          <t>分岐網羅</t>
        </is>
      </c>
      <c r="F23" s="5" t="inlineStr">
        <is>
          <t>期間の途中の日が今日なら、末尾の日ではなくその日の値を今日の要約に出す</t>
        </is>
      </c>
      <c r="G23" s="5" t="inlineStr">
        <is>
          <t>前提：今日 2026-10-20。指標 10-19・10-20・10-21
入力：/metrics?from=2026-10-19&amp;to=2026-10-21</t>
        </is>
      </c>
      <c r="H23" s="5" t="inlineStr">
        <is>
          <t>今日の Neurons「2,104.5 / 10,000」、呼び出し「132 回」</t>
        </is>
      </c>
      <c r="I23" s="5" t="inlineStr">
        <is>
          <t>B1-F, B2-T, B9-T, B10-T, B16-T</t>
        </is>
      </c>
      <c r="J23" s="5" t="inlineStr">
        <is>
          <t>fetch を mockFetch で差し替え（session・world は成功）、vi.useFakeTimers（shouldAdvanceTime、now を固定）</t>
        </is>
      </c>
      <c r="K23" s="5" t="inlineStr"/>
      <c r="L23" s="5" t="inlineStr"/>
      <c r="M23" s="5" t="inlineStr">
        <is>
          <t>TC-UT_P206-013 MetricsPage は、期間の途中の日が今日なら、その日の値を今日の要約に出す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TC-NOUS71_DEV-05（今日の値を見ていない）</t>
        </is>
      </c>
    </row>
    <row r="24">
      <c r="A24" s="4" t="n">
        <v>20</v>
      </c>
      <c r="B24" s="4" t="inlineStr">
        <is>
          <t>TC-UT_P206-014</t>
        </is>
      </c>
      <c r="C24" s="5" t="inlineStr">
        <is>
          <t>MetricsPage</t>
        </is>
      </c>
      <c r="D24" s="4" t="inlineStr">
        <is>
          <t>異常系</t>
        </is>
      </c>
      <c r="E24" s="4" t="inlineStr">
        <is>
          <t>同値分割</t>
        </is>
      </c>
      <c r="F24" s="5" t="inlineStr">
        <is>
          <t>期間に今日が含まれなければ、今日の要約を 0 にする</t>
        </is>
      </c>
      <c r="G24" s="5" t="inlineStr">
        <is>
          <t>前提：今日 2026-10-22。指標 10-20・10-21
入力：/metrics?from=2026-10-20&amp;to=2026-10-21</t>
        </is>
      </c>
      <c r="H24" s="5" t="inlineStr">
        <is>
          <t>今日の Neurons「0 / 10,000」、呼び出し「0 回」</t>
        </is>
      </c>
      <c r="I24" s="5" t="inlineStr">
        <is>
          <t>B2-T, B10-F, B16-F</t>
        </is>
      </c>
      <c r="J24" s="5" t="inlineStr">
        <is>
          <t>fetch を mockFetch で差し替え（session・world は成功）、vi.useFakeTimers（shouldAdvanceTime、now を固定）</t>
        </is>
      </c>
      <c r="K24" s="5" t="inlineStr"/>
      <c r="L24" s="5" t="inlineStr"/>
      <c r="M24" s="5" t="inlineStr">
        <is>
          <t>TC-UT_P206-014 MetricsPage は、期間に今日が含まれなければ、今日の要約を 0 にする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
疑い：今の MetricsPage は期間の最後の日（10-21）の値を「今日の Neurons」に出す（NOUS-71 で Jane Doe さんが確認を求めたまま未決）
画面基本設計書 H04・H05 は「今日の」値（daily_usage の今日の行）。issues の疑い 1</t>
        </is>
      </c>
    </row>
    <row r="25">
      <c r="A25" s="4" t="n">
        <v>21</v>
      </c>
      <c r="B25" s="4" t="inlineStr">
        <is>
          <t>TC-UT_P206-015</t>
        </is>
      </c>
      <c r="C25" s="5" t="inlineStr">
        <is>
          <t>MetricsPage</t>
        </is>
      </c>
      <c r="D25" s="4" t="inlineStr">
        <is>
          <t>異常系</t>
        </is>
      </c>
      <c r="E25" s="4" t="inlineStr">
        <is>
          <t>境界値</t>
        </is>
      </c>
      <c r="F25" s="5" t="inlineStr">
        <is>
          <t>期間に今日が含まれても今日の行が無ければ、前の日の値を出さず 0 にする</t>
        </is>
      </c>
      <c r="G25" s="5" t="inlineStr">
        <is>
          <t>前提：今日 2026-10-21。指標は 10-20 だけ（今日はまだ利用なし）
入力：/metrics?from=2026-10-20&amp;to=2026-10-21</t>
        </is>
      </c>
      <c r="H25" s="5" t="inlineStr">
        <is>
          <t>今日の Neurons「0 / 10,000」</t>
        </is>
      </c>
      <c r="I25" s="5" t="inlineStr">
        <is>
          <t>B1-T, B2-T, B10-F, B16-F</t>
        </is>
      </c>
      <c r="J25" s="5" t="inlineStr">
        <is>
          <t>fetch を mockFetch で差し替え（session・world は成功）、vi.useFakeTimers（shouldAdvanceTime、now を固定）</t>
        </is>
      </c>
      <c r="K25" s="5" t="inlineStr"/>
      <c r="L25" s="5" t="inlineStr"/>
      <c r="M25" s="5" t="inlineStr">
        <is>
          <t>TC-UT_P206-015 MetricsPage は、期間に今日が含まれても今日の行が無ければ、前の日の値を出さず 0 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疑い：今の MetricsPage は末尾の 10-20（昨日）の値を「今日の Neurons」に出す
issues の疑い 1</t>
        </is>
      </c>
    </row>
    <row r="26">
      <c r="A26" s="4" t="n">
        <v>22</v>
      </c>
      <c r="B26" s="4" t="inlineStr">
        <is>
          <t>TC-UT_P206-016</t>
        </is>
      </c>
      <c r="C26" s="5" t="inlineStr">
        <is>
          <t>MetricsPage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URL に期間が無ければ今日までの 14 日で取得する（E01）</t>
        </is>
      </c>
      <c r="G26" s="5" t="inlineStr">
        <is>
          <t>前提：今日 2026-10-21
入力：/metrics</t>
        </is>
      </c>
      <c r="H26" s="5" t="inlineStr">
        <is>
          <t>最初の取得が /admin/api/metrics/daily?from=2026-10-08&amp;to=2026-10-21</t>
        </is>
      </c>
      <c r="I26" s="5" t="inlineStr">
        <is>
          <t>B9-F, B1-T, B4-F</t>
        </is>
      </c>
      <c r="J26" s="5" t="inlineStr">
        <is>
          <t>fetch を mockFetch で差し替え（session・world は成功）、vi.useFakeTimers（shouldAdvanceTime、now を固定）</t>
        </is>
      </c>
      <c r="K26" s="5" t="inlineStr"/>
      <c r="L26" s="5" t="inlineStr"/>
      <c r="M26" s="5" t="inlineStr">
        <is>
          <t>TC-UT_P206-016 MetricsPage は、URL に期間が無ければ今日までの 14 日で取得する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
取得の完了を待つ間は成功でも失敗でもないので、B4 の偽も通る</t>
        </is>
      </c>
    </row>
    <row r="27">
      <c r="A27" s="4" t="n">
        <v>23</v>
      </c>
      <c r="B27" s="4" t="inlineStr">
        <is>
          <t>TC-UT_P206-017</t>
        </is>
      </c>
      <c r="C27" s="5" t="inlineStr">
        <is>
          <t>MetricsPage</t>
        </is>
      </c>
      <c r="D27" s="4" t="inlineStr">
        <is>
          <t>異常系</t>
        </is>
      </c>
      <c r="E27" s="4" t="inlineStr">
        <is>
          <t>同値分割</t>
        </is>
      </c>
      <c r="F27" s="5" t="inlineStr">
        <is>
          <t>URL の期間が誤っていれば（開始が終了より後）既定の 14 日で取得する</t>
        </is>
      </c>
      <c r="G27" s="5" t="inlineStr">
        <is>
          <t>前提：今日 2026-10-21
入力：/metrics?from=2026-10-21&amp;to=2026-10-20</t>
        </is>
      </c>
      <c r="H27" s="5" t="inlineStr">
        <is>
          <t>最初の取得が from=2026-10-08&amp;to=2026-10-21</t>
        </is>
      </c>
      <c r="I27" s="5" t="inlineStr">
        <is>
          <t>B9-F, B13-T</t>
        </is>
      </c>
      <c r="J27" s="5" t="inlineStr">
        <is>
          <t>fetch を mockFetch で差し替え（session・world は成功）、vi.useFakeTimers（shouldAdvanceTime、now を固定）</t>
        </is>
      </c>
      <c r="K27" s="5" t="inlineStr"/>
      <c r="L27" s="5" t="inlineStr"/>
      <c r="M27" s="5" t="inlineStr">
        <is>
          <t>TC-UT_P206-017 MetricsPage は、URL の期間が誤っていれば（開始が終了より後）既定の 14 日で取得する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
設計書に記載なし。実装の値（URL の誤りは文言を出さず既定に戻す）</t>
        </is>
      </c>
    </row>
    <row r="28">
      <c r="A28" s="4" t="n">
        <v>24</v>
      </c>
      <c r="B28" s="4" t="inlineStr">
        <is>
          <t>TC-UT_P206-018</t>
        </is>
      </c>
      <c r="C28" s="5" t="inlineStr">
        <is>
          <t>DateRangePicker</t>
        </is>
      </c>
      <c r="D28" s="4" t="inlineStr">
        <is>
          <t>異常系</t>
        </is>
      </c>
      <c r="E28" s="4" t="inlineStr">
        <is>
          <t>分岐網羅</t>
        </is>
      </c>
      <c r="F28" s="5" t="inlineStr">
        <is>
          <t>期間の開始を終了より後にすると、入力欄の下に文言を出し（様式④）、期間を変えない</t>
        </is>
      </c>
      <c r="G28" s="5" t="inlineStr">
        <is>
          <t>前提：from 10-20、to 10-21
入力：開始を 10-22 に変える</t>
        </is>
      </c>
      <c r="H28" s="5" t="inlineStr">
        <is>
          <t>「開始日は終了日より前にしてください」、aria-invalid=true、onChange を呼ばない</t>
        </is>
      </c>
      <c r="I28" s="5" t="inlineStr">
        <is>
          <t>B13-T, B15-F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TC-UT_P206-018 期間の開始を終了より後にすると、入力欄の下に文言を出し、期間を変えない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TC-NOUS71_DEV-01（関数だけ）</t>
        </is>
      </c>
    </row>
    <row r="29">
      <c r="A29" s="4" t="n">
        <v>25</v>
      </c>
      <c r="B29" s="4" t="inlineStr">
        <is>
          <t>TC-UT_P206-019</t>
        </is>
      </c>
      <c r="C29" s="5" t="inlineStr">
        <is>
          <t>DateRangePicker</t>
        </is>
      </c>
      <c r="D29" s="4" t="inlineStr">
        <is>
          <t>異常系</t>
        </is>
      </c>
      <c r="E29" s="4" t="inlineStr">
        <is>
          <t>境界値</t>
        </is>
      </c>
      <c r="F29" s="5" t="inlineStr">
        <is>
          <t>期間が 91 日なら文言を出して期間を変えず、90 日なら期間を変える</t>
        </is>
      </c>
      <c r="G29" s="5" t="inlineStr">
        <is>
          <t>前提：from 10-01、to 10-20
入力：開始を 07-22（91 日）、次に 07-23（90 日）</t>
        </is>
      </c>
      <c r="H29" s="5" t="inlineStr">
        <is>
          <t>91 日は「期間は 90 日以内にしてください」で onChange なし。90 日は文言が消え onChange({07-23, 10-20})</t>
        </is>
      </c>
      <c r="I29" s="5" t="inlineStr">
        <is>
          <t>B14-T, B14-F, B15-T, B15-F</t>
        </is>
      </c>
      <c r="J29" s="5" t="inlineStr">
        <is>
          <t>なし</t>
        </is>
      </c>
      <c r="K29" s="5" t="inlineStr"/>
      <c r="L29" s="5" t="inlineStr"/>
      <c r="M29" s="5" t="inlineStr">
        <is>
          <t>TC-UT_P206-019 期間が 91 日なら文言を出して期間を変えず、90 日なら期間を変える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TC-NOUS71_DEV-01（関数だけ）</t>
        </is>
      </c>
    </row>
    <row r="30">
      <c r="A30" s="4" t="n">
        <v>26</v>
      </c>
      <c r="B30" s="4" t="inlineStr">
        <is>
          <t>TC-UT_P206-020</t>
        </is>
      </c>
      <c r="C30" s="5" t="inlineStr">
        <is>
          <t>DateRangePicker</t>
        </is>
      </c>
      <c r="D30" s="4" t="inlineStr">
        <is>
          <t>異常系</t>
        </is>
      </c>
      <c r="E30" s="4" t="inlineStr">
        <is>
          <t>境界値</t>
        </is>
      </c>
      <c r="F30" s="5" t="inlineStr">
        <is>
          <t>期間の開始を空にしたときは、文言を出さず、期間も変えない</t>
        </is>
      </c>
      <c r="G30" s="5" t="inlineStr">
        <is>
          <t>前提：from 10-20、to 10-21
入力：開始を空にする</t>
        </is>
      </c>
      <c r="H30" s="5" t="inlineStr">
        <is>
          <t>文言なし、onChange を呼ばない</t>
        </is>
      </c>
      <c r="I30" s="5" t="inlineStr">
        <is>
          <t>B11-T, B15-F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TC-UT_P206-020 期間の開始を空にしたときは、文言を出さず、期間も変えない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
issues の確認事項 3（必須の文言が定まっていない）</t>
        </is>
      </c>
    </row>
    <row r="31">
      <c r="A31" s="4" t="n">
        <v>27</v>
      </c>
      <c r="B31" s="4" t="inlineStr">
        <is>
          <t>TC-UT_P206-021</t>
        </is>
      </c>
      <c r="C31" s="5" t="inlineStr">
        <is>
          <t>DateRangePicker</t>
        </is>
      </c>
      <c r="D31" s="4" t="inlineStr">
        <is>
          <t>正常系</t>
        </is>
      </c>
      <c r="E31" s="4" t="inlineStr">
        <is>
          <t>同値分割</t>
        </is>
      </c>
      <c r="F31" s="5" t="inlineStr">
        <is>
          <t>「直近 7 日」を押すと、UTC の今日までの 7 日に変える（E03）</t>
        </is>
      </c>
      <c r="G31" s="5" t="inlineStr">
        <is>
          <t>前提：今日 2026-10-21
入力：「直近 7 日」を押す</t>
        </is>
      </c>
      <c r="H31" s="5" t="inlineStr">
        <is>
          <t>onChange({ from: 10-15, to: 10-21 })</t>
        </is>
      </c>
      <c r="I31" s="5" t="inlineStr">
        <is>
          <t>B15-T</t>
        </is>
      </c>
      <c r="J31" s="5" t="inlineStr">
        <is>
          <t>vi.useFakeTimers（shouldAdvanceTime、now を固定）</t>
        </is>
      </c>
      <c r="K31" s="5" t="inlineStr"/>
      <c r="L31" s="5" t="inlineStr"/>
      <c r="M31" s="5" t="inlineStr">
        <is>
          <t>TC-UT_P206-021 「直近 7 日」を押すと、UTC の今日までの 7 日に変える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TC-NOUS71_DEV-02（関数だけ）</t>
        </is>
      </c>
    </row>
    <row r="32">
      <c r="A32" s="4" t="n">
        <v>28</v>
      </c>
      <c r="B32" s="4" t="inlineStr">
        <is>
          <t>TC-UT_P206-022</t>
        </is>
      </c>
      <c r="C32" s="5" t="inlineStr">
        <is>
          <t>DateRangePicker</t>
        </is>
      </c>
      <c r="D32" s="4" t="inlineStr">
        <is>
          <t>異常系</t>
        </is>
      </c>
      <c r="E32" s="4" t="inlineStr">
        <is>
          <t>状態遷移</t>
        </is>
      </c>
      <c r="F32" s="5" t="inlineStr">
        <is>
          <t>外から渡された期間が変わると入力を合わせ、誤りがあれば文言を出す</t>
        </is>
      </c>
      <c r="G32" s="5" t="inlineStr">
        <is>
          <t>前提：from 10-20、to 10-21
入力：from 10-22、to 10-21 で描画し直す</t>
        </is>
      </c>
      <c r="H32" s="5" t="inlineStr">
        <is>
          <t>開始の入力が 10-22、「開始日は終了日より前にしてください」</t>
        </is>
      </c>
      <c r="I32" s="5" t="inlineStr">
        <is>
          <t>B13-T</t>
        </is>
      </c>
      <c r="J32" s="5" t="inlineStr">
        <is>
          <t>なし</t>
        </is>
      </c>
      <c r="K32" s="5" t="inlineStr"/>
      <c r="L32" s="5" t="inlineStr"/>
      <c r="M32" s="5" t="inlineStr">
        <is>
          <t>TC-UT_P206-022 外から渡された期間が変わると入力を合わせ、誤りがあれば文言を出す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TC-UT_P206-023</t>
        </is>
      </c>
      <c r="C33" s="5" t="inlineStr">
        <is>
          <t>DateRangePicker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日付が UTC の利用日であることを「日本時間 9:00 に切り替わります」と添える</t>
        </is>
      </c>
      <c r="G33" s="5" t="inlineStr">
        <is>
          <t>前提：なし
入力：描画</t>
        </is>
      </c>
      <c r="H33" s="5" t="inlineStr">
        <is>
          <t>「日本時間 9:00 に切り替わります」</t>
        </is>
      </c>
      <c r="I33" s="5" t="inlineStr"/>
      <c r="J33" s="5" t="inlineStr">
        <is>
          <t>なし</t>
        </is>
      </c>
      <c r="K33" s="5" t="inlineStr"/>
      <c r="L33" s="5" t="inlineStr"/>
      <c r="M33" s="5" t="inlineStr">
        <is>
          <t>TC-UT_P206-023 日付が UTC の利用日であることを「日本時間 9:00 に切り替わります」と添える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
画面基本設計書 7章</t>
        </is>
      </c>
    </row>
    <row r="34">
      <c r="A34" s="4" t="n">
        <v>30</v>
      </c>
      <c r="B34" s="4" t="inlineStr">
        <is>
          <t>TC-UT_P206-024</t>
        </is>
      </c>
      <c r="C34" s="5" t="inlineStr">
        <is>
          <t>UsageChart</t>
        </is>
      </c>
      <c r="D34" s="4" t="inlineStr">
        <is>
          <t>正常系</t>
        </is>
      </c>
      <c r="E34" s="4" t="inlineStr">
        <is>
          <t>分岐網羅</t>
        </is>
      </c>
      <c r="F34" s="5" t="inlineStr">
        <is>
          <t>日別の Neurons の棒と、無料枠・日次上限の横線を引く</t>
        </is>
      </c>
      <c r="G34" s="5" t="inlineStr">
        <is>
          <t>前提：なし
入力：Neurons 4210.5、freeTier 10000、limit 9500</t>
        </is>
      </c>
      <c r="H34" s="5" t="inlineStr">
        <is>
          <t>横線は y=10000「無料枠 10,000」と y=9500「日次上限 9,500」。棒のデータは日付と Neurons。縦軸は 0〜10000</t>
        </is>
      </c>
      <c r="I34" s="5" t="inlineStr">
        <is>
          <t>B17-T</t>
        </is>
      </c>
      <c r="J34" s="5" t="inlineStr">
        <is>
          <t>Recharts を props を data 属性に写す部品に差し替え（jsdom では寸法が 0 で描画されないため）</t>
        </is>
      </c>
      <c r="K34" s="5" t="inlineStr"/>
      <c r="L34" s="5" t="inlineStr"/>
      <c r="M34" s="5" t="inlineStr">
        <is>
          <t>TC-UT_P206-024 利用量のグラフは、日別の Neurons の棒と、無料枠・日次上限の横線を引く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既存テスト：一部 TC-NOUS71_DEV-05（グラフの領域があることだけ）</t>
        </is>
      </c>
    </row>
    <row r="35">
      <c r="A35" s="4" t="n">
        <v>31</v>
      </c>
      <c r="B35" s="4" t="inlineStr">
        <is>
          <t>TC-UT_P206-025</t>
        </is>
      </c>
      <c r="C35" s="5" t="inlineStr">
        <is>
          <t>UsageChart</t>
        </is>
      </c>
      <c r="D35" s="4" t="inlineStr">
        <is>
          <t>正常系</t>
        </is>
      </c>
      <c r="E35" s="4" t="inlineStr">
        <is>
          <t>分岐網羅</t>
        </is>
      </c>
      <c r="F35" s="5" t="inlineStr">
        <is>
          <t>日次上限が無ければ横線は無料枠だけで、上限が無料枠より大きければ縦軸を上限まで取る</t>
        </is>
      </c>
      <c r="G35" s="5" t="inlineStr">
        <is>
          <t>前提：なし
入力：limit なし / limit 12000</t>
        </is>
      </c>
      <c r="H35" s="5" t="inlineStr">
        <is>
          <t>横線 1 本 / 縦軸 0〜12000</t>
        </is>
      </c>
      <c r="I35" s="5" t="inlineStr">
        <is>
          <t>B17-F, B17-T</t>
        </is>
      </c>
      <c r="J35" s="5" t="inlineStr">
        <is>
          <t>Recharts を props を data 属性に写す部品に差し替え（jsdom では寸法が 0 で描画されないため）</t>
        </is>
      </c>
      <c r="K35" s="5" t="inlineStr"/>
      <c r="L35" s="5" t="inlineStr"/>
      <c r="M35" s="5" t="inlineStr">
        <is>
          <t>TC-UT_P206-025 日次上限が無ければ横線は無料枠だけで、上限が無料枠より大きければ縦軸を上限まで取る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  <row r="36">
      <c r="A36" s="4" t="n">
        <v>32</v>
      </c>
      <c r="B36" s="4" t="inlineStr">
        <is>
          <t>TC-UT_P206-026</t>
        </is>
      </c>
      <c r="C36" s="5" t="inlineStr">
        <is>
          <t>ActivityChart</t>
        </is>
      </c>
      <c r="D36" s="4" t="inlineStr">
        <is>
          <t>正常系</t>
        </is>
      </c>
      <c r="E36" s="4" t="inlineStr">
        <is>
          <t>分岐網羅</t>
        </is>
      </c>
      <c r="F36" s="5" t="inlineStr">
        <is>
          <t>投稿数の棒と、応答率を百分率の小数 1 桁にした線にし、null はそのまま渡す。目標の線は引かない</t>
        </is>
      </c>
      <c r="G36" s="5" t="inlineStr">
        <is>
          <t>前提：なし
入力：replyRate 0.6234 と null</t>
        </is>
      </c>
      <c r="H36" s="5" t="inlineStr">
        <is>
          <t>replyRatePercent 62.3 と null。横線なし</t>
        </is>
      </c>
      <c r="I36" s="5" t="inlineStr">
        <is>
          <t>B18-T, B18-F</t>
        </is>
      </c>
      <c r="J36" s="5" t="inlineStr">
        <is>
          <t>Recharts を props を data 属性に写す部品に差し替え（jsdom では寸法が 0 で描画されないため）</t>
        </is>
      </c>
      <c r="K36" s="5" t="inlineStr"/>
      <c r="L36" s="5" t="inlineStr"/>
      <c r="M36" s="5" t="inlineStr">
        <is>
          <t>TC-UT_P206-026 活発さのグラフは投稿数の棒と、応答率を百分率の小数 1 桁にした線（null はそのまま）にする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
目標の線を引かないのは画面基本設計書 7章（Q-606）</t>
        </is>
      </c>
    </row>
    <row r="37">
      <c r="A37" s="4" t="n">
        <v>33</v>
      </c>
      <c r="B37" s="4" t="inlineStr">
        <is>
          <t>TC-UT_P206-027</t>
        </is>
      </c>
      <c r="C37" s="5" t="inlineStr">
        <is>
          <t>MetricsPage</t>
        </is>
      </c>
      <c r="D37" s="4" t="inlineStr">
        <is>
          <t>異常系</t>
        </is>
      </c>
      <c r="E37" s="4" t="inlineStr">
        <is>
          <t>エラー処理</t>
        </is>
      </c>
      <c r="F37" s="5" t="inlineStr">
        <is>
          <t>最初の取得が 500 なら「指標を取得できませんでした」をポップアップで出す（様式①）</t>
        </is>
      </c>
      <c r="G37" s="5" t="inlineStr">
        <is>
          <t>前提：指標の API が 500
入力：/metrics?from=2026-10-20&amp;to=2026-10-21</t>
        </is>
      </c>
      <c r="H37" s="5" t="inlineStr">
        <is>
          <t>ErrorModal に「指標を取得できませんでした。時間をおいて再度お試しください」</t>
        </is>
      </c>
      <c r="I37" s="5" t="inlineStr">
        <is>
          <t>B2-F, B4-T, B5-F, B6-F, B8-T</t>
        </is>
      </c>
      <c r="J37" s="5" t="inlineStr">
        <is>
          <t>fetch を mockFetch で差し替え（session・world は成功）</t>
        </is>
      </c>
      <c r="K37" s="5" t="inlineStr"/>
      <c r="L37" s="5" t="inlineStr"/>
      <c r="M37" s="5" t="inlineStr">
        <is>
          <t>TC-UT_P206-027 最初の取得が 500 なら「指標を取得できませんでした」をポップアップで出す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</t>
        </is>
      </c>
    </row>
    <row r="38">
      <c r="A38" s="4" t="n">
        <v>34</v>
      </c>
      <c r="B38" s="4" t="inlineStr">
        <is>
          <t>TC-UT_P206-028</t>
        </is>
      </c>
      <c r="C38" s="5" t="inlineStr">
        <is>
          <t>MetricsPage</t>
        </is>
      </c>
      <c r="D38" s="4" t="inlineStr">
        <is>
          <t>異常系</t>
        </is>
      </c>
      <c r="E38" s="4" t="inlineStr">
        <is>
          <t>エラー処理</t>
        </is>
      </c>
      <c r="F38" s="5" t="inlineStr">
        <is>
          <t>最初の取得が通信エラーでも「指標を取得できませんでした」をポップアップで出す</t>
        </is>
      </c>
      <c r="G38" s="5" t="inlineStr">
        <is>
          <t>前提：指標の fetch が TypeError を投げる
入力：/metrics?from=2026-10-20&amp;to=2026-10-21</t>
        </is>
      </c>
      <c r="H38" s="5" t="inlineStr">
        <is>
          <t>同じ文言のポップアップ</t>
        </is>
      </c>
      <c r="I38" s="5" t="inlineStr">
        <is>
          <t>B4-T, B6-F, B8-T</t>
        </is>
      </c>
      <c r="J38" s="5" t="inlineStr">
        <is>
          <t>fetch を差し替え、指標だけ例外を投げる</t>
        </is>
      </c>
      <c r="K38" s="5" t="inlineStr"/>
      <c r="L38" s="5" t="inlineStr"/>
      <c r="M38" s="5" t="inlineStr">
        <is>
          <t>TC-UT_P206-028 最初の取得が通信エラーでも「指標を取得できませんでした」をポップアップで出す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TC-UT_P206-029</t>
        </is>
      </c>
      <c r="C39" s="5" t="inlineStr">
        <is>
          <t>MetricsPage</t>
        </is>
      </c>
      <c r="D39" s="4" t="inlineStr">
        <is>
          <t>異常系</t>
        </is>
      </c>
      <c r="E39" s="4" t="inlineStr">
        <is>
          <t>エラー処理</t>
        </is>
      </c>
      <c r="F39" s="5" t="inlineStr">
        <is>
          <t>取得が 401 ならセッション切れのポップアップを出し、指標のポップアップは出さない</t>
        </is>
      </c>
      <c r="G39" s="5" t="inlineStr">
        <is>
          <t>前提：指標の API が 401 ADMIN_UNAUTHORIZED
入力：/metrics?from=2026-10-20&amp;to=2026-10-21</t>
        </is>
      </c>
      <c r="H39" s="5" t="inlineStr">
        <is>
          <t>「ログインの有効期限が切れました。もう一度ログインしてください」</t>
        </is>
      </c>
      <c r="I39" s="5" t="inlineStr">
        <is>
          <t>B4-T, B5-T</t>
        </is>
      </c>
      <c r="J39" s="5" t="inlineStr">
        <is>
          <t>fetch を mockFetch で差し替え（session・world は成功）</t>
        </is>
      </c>
      <c r="K39" s="5" t="inlineStr"/>
      <c r="L39" s="5" t="inlineStr"/>
      <c r="M39" s="5" t="inlineStr">
        <is>
          <t>TC-UT_P206-029 取得が 401 ならセッション切れのポップアップを出す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</t>
        </is>
      </c>
    </row>
    <row r="40">
      <c r="A40" s="4" t="n">
        <v>36</v>
      </c>
      <c r="B40" s="4" t="inlineStr">
        <is>
          <t>TC-UT_P206-030</t>
        </is>
      </c>
      <c r="C40" s="5" t="inlineStr">
        <is>
          <t>MetricsPage</t>
        </is>
      </c>
      <c r="D40" s="4" t="inlineStr">
        <is>
          <t>異常系</t>
        </is>
      </c>
      <c r="E40" s="4" t="inlineStr">
        <is>
          <t>境界値</t>
        </is>
      </c>
      <c r="F40" s="5" t="inlineStr">
        <is>
          <t>成功の後の再取得が 2 回続けて失敗しても上部の表示は出さず、3 回目で「最新の指標を取得できていません」を出す（様式②）</t>
        </is>
      </c>
      <c r="G40" s="5" t="inlineStr">
        <is>
          <t>前提：最初は成功、その後 500
入力：queryClient.refetchQueries で 3 回取り直す</t>
        </is>
      </c>
      <c r="H40" s="5" t="inlineStr">
        <is>
          <t>2 回目までは表示なし、3 回目で ErrorBanner。ポップアップは出さない</t>
        </is>
      </c>
      <c r="I40" s="5" t="inlineStr">
        <is>
          <t>B2-T, B4-T, B5-F, B6-T, B7-T, B7-F</t>
        </is>
      </c>
      <c r="J40" s="5" t="inlineStr">
        <is>
          <t>fetch を mockFetch で差し替え（session・world は成功）（途中で応答を替える）。再取得は 30 秒の時計を待たず refetchQueries で起こす</t>
        </is>
      </c>
      <c r="K40" s="5" t="inlineStr"/>
      <c r="L40" s="5" t="inlineStr"/>
      <c r="M40" s="5" t="inlineStr">
        <is>
          <t>TC-UT_P206-030 成功の後の再取得が 2 回続けて失敗しても上部の表示は出さず、3 回目で「最新の指標を取得できていません」を出す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TC-UT_P206-031</t>
        </is>
      </c>
      <c r="C41" s="5" t="inlineStr">
        <is>
          <t>MetricsPage</t>
        </is>
      </c>
      <c r="D41" s="4" t="inlineStr">
        <is>
          <t>正常系</t>
        </is>
      </c>
      <c r="E41" s="4" t="inlineStr">
        <is>
          <t>状態遷移</t>
        </is>
      </c>
      <c r="F41" s="5" t="inlineStr">
        <is>
          <t>上部の表示を出した後に再取得が成功すると、表示を消す</t>
        </is>
      </c>
      <c r="G41" s="5" t="inlineStr">
        <is>
          <t>前提：成功 → 500 × 3 → 成功
入力：refetchQueries で 4 回取り直す</t>
        </is>
      </c>
      <c r="H41" s="5" t="inlineStr">
        <is>
          <t>「最新の指標を取得できていません」が消える</t>
        </is>
      </c>
      <c r="I41" s="5" t="inlineStr">
        <is>
          <t>B2-T, B3-T, B7-T</t>
        </is>
      </c>
      <c r="J41" s="5" t="inlineStr">
        <is>
          <t>fetch を mockFetch で差し替え（session・world は成功）（途中で応答を替える）</t>
        </is>
      </c>
      <c r="K41" s="5" t="inlineStr"/>
      <c r="L41" s="5" t="inlineStr"/>
      <c r="M41" s="5" t="inlineStr">
        <is>
          <t>TC-UT_P206-031 上部の表示を出した後に再取得が成功すると、表示を消す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TC-UT_P206-033</t>
        </is>
      </c>
      <c r="C42" s="5" t="inlineStr">
        <is>
          <t>MetricsPage</t>
        </is>
      </c>
      <c r="D42" s="4" t="inlineStr">
        <is>
          <t>異常系</t>
        </is>
      </c>
      <c r="E42" s="4" t="inlineStr">
        <is>
          <t>エラー処理</t>
        </is>
      </c>
      <c r="F42" s="5" t="inlineStr">
        <is>
          <t>取得が 400 なら、サーバーの文言を期間の入力欄の下に出し（E02 の様式④）、指標のポップアップは出さない</t>
        </is>
      </c>
      <c r="G42" s="5" t="inlineStr">
        <is>
          <t>前提：指標の API が 400 VALIDATION_ERROR（message「期間の指定が正しくありません」）
入力：/metrics?from=2026-10-20&amp;to=2026-10-21</t>
        </is>
      </c>
      <c r="H42" s="5" t="inlineStr">
        <is>
          <t>「期間の指定が正しくありません」を出す。「指標を取得できませんでした」は出さない</t>
        </is>
      </c>
      <c r="I42" s="5" t="inlineStr">
        <is>
          <t>B4-T, B5-F, B6-F, B8-F</t>
        </is>
      </c>
      <c r="J42" s="5" t="inlineStr">
        <is>
          <t>fetch を mockFetch で差し替え（session・world は成功）</t>
        </is>
      </c>
      <c r="K42" s="5" t="inlineStr"/>
      <c r="L42" s="5" t="inlineStr"/>
      <c r="M42" s="5" t="inlineStr">
        <is>
          <t>TC-UT_P206-033 取得が 400 なら、サーバーの文言を期間の入力欄の下に出し、指標のポップアップは出さない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
疑い：今の useMetrics は 400 を useApiErrorHandler に渡すだけで、戻り値（項目のエラー）を使わないため、文言がどこにも出ない
画面基本設計書 P206 E02「様式④: 400 の文言」。issues の疑い 2</t>
        </is>
      </c>
    </row>
    <row r="43">
      <c r="A43" s="4" t="n">
        <v>39</v>
      </c>
      <c r="B43" s="4" t="inlineStr">
        <is>
          <t>TC-UT_P206-032</t>
        </is>
      </c>
      <c r="C43" s="5" t="inlineStr">
        <is>
          <t>MetricsPage</t>
        </is>
      </c>
      <c r="D43" s="4" t="inlineStr">
        <is>
          <t>正常系</t>
        </is>
      </c>
      <c r="E43" s="4" t="inlineStr">
        <is>
          <t>分岐網羅</t>
        </is>
      </c>
      <c r="F43" s="5" t="inlineStr">
        <is>
          <t>期間の終了が今日なら 30 秒ごとに取り直し、今日でなければ取り直さない（E04）</t>
        </is>
      </c>
      <c r="G43" s="5" t="inlineStr">
        <is>
          <t>前提：今日 2026-10-21
入力：to=10-21 と to=10-20 のそれぞれで、時計を 30 秒進める</t>
        </is>
      </c>
      <c r="H43" s="5" t="inlineStr">
        <is>
          <t>今日のときは取得が増え、今日でないときは増えない</t>
        </is>
      </c>
      <c r="I43" s="5" t="inlineStr">
        <is>
          <t>B1-T, B1-F, B3-F</t>
        </is>
      </c>
      <c r="J43" s="5" t="inlineStr">
        <is>
          <t>fetch を mockFetch で差し替え（session・world は成功）、vi.useFakeTimers（shouldAdvanceTime、now を固定）（advanceTimersByTimeAsync で 30 秒進める）</t>
        </is>
      </c>
      <c r="K43" s="5" t="inlineStr"/>
      <c r="L43" s="5" t="inlineStr"/>
      <c r="M43" s="5" t="inlineStr">
        <is>
          <t>TC-UT_P206-032 期間の終了が今日なら 30 秒ごとに取り直し、今日でなければ取り直さない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</t>
        </is>
      </c>
    </row>
  </sheetData>
  <autoFilter ref="A4:Q43"/>
  <conditionalFormatting sqref="A5:Q9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3" showDropDown="0" showInputMessage="0" showErrorMessage="0" allowBlank="1" type="list">
      <formula1>"未実施,OK,NG,保留,対象外"</formula1>
    </dataValidation>
    <dataValidation sqref="D5:D9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COUNTA(観点表!$B$5:$B$93)</f>
        <v/>
      </c>
    </row>
    <row r="6">
      <c r="A6" s="10" t="inlineStr">
        <is>
          <t>正常系</t>
        </is>
      </c>
      <c r="B6" s="10">
        <f>COUNTIF(観点表!$D$5:$D$93,"正常系")</f>
        <v/>
      </c>
    </row>
    <row r="7">
      <c r="A7" s="10" t="inlineStr">
        <is>
          <t>異常系</t>
        </is>
      </c>
      <c r="B7" s="10">
        <f>COUNTIF(観点表!$D$5:$D$93,"異常系")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COUNTIF(観点表!$E$5:$E$93,"エラー処理")</f>
        <v/>
      </c>
    </row>
    <row r="11">
      <c r="A11" s="10" t="inlineStr">
        <is>
          <t>分岐網羅</t>
        </is>
      </c>
      <c r="B11" s="10">
        <f>COUNTIF(観点表!$E$5:$E$93,"分岐網羅")</f>
        <v/>
      </c>
    </row>
    <row r="12">
      <c r="A12" s="10" t="inlineStr">
        <is>
          <t>同値分割</t>
        </is>
      </c>
      <c r="B12" s="10">
        <f>COUNTIF(観点表!$E$5:$E$93,"同値分割")</f>
        <v/>
      </c>
    </row>
    <row r="13">
      <c r="A13" s="10" t="inlineStr">
        <is>
          <t>境界値</t>
        </is>
      </c>
      <c r="B13" s="10">
        <f>COUNTIF(観点表!$E$5:$E$93,"境界値")</f>
        <v/>
      </c>
    </row>
    <row r="14">
      <c r="A14" s="10" t="inlineStr">
        <is>
          <t>状態遷移</t>
        </is>
      </c>
      <c r="B14" s="10">
        <f>COUNTIF(観点表!$E$5:$E$93,"状態遷移")</f>
        <v/>
      </c>
    </row>
    <row r="15">
      <c r="A15" s="10" t="inlineStr">
        <is>
          <t>開発者テスト</t>
        </is>
      </c>
      <c r="B15" s="10">
        <f>COUNTIF(観点表!$E$5:$E$93,"開発者テスト")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COUNTIF(観点表!$K$5:$K$93,"?*")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COUNTIF(観点表!$N$5:$N$93,"未実施")</f>
        <v/>
      </c>
    </row>
    <row r="23">
      <c r="A23" s="10" t="inlineStr">
        <is>
          <t>OK</t>
        </is>
      </c>
      <c r="B23" s="10">
        <f>COUNTIF(観点表!$N$5:$N$93,"OK")</f>
        <v/>
      </c>
    </row>
    <row r="24">
      <c r="A24" s="10" t="inlineStr">
        <is>
          <t>NG</t>
        </is>
      </c>
      <c r="B24" s="10">
        <f>COUNTIF(観点表!$N$5:$N$93,"NG")</f>
        <v/>
      </c>
    </row>
    <row r="25">
      <c r="A25" s="10" t="inlineStr">
        <is>
          <t>保留</t>
        </is>
      </c>
      <c r="B25" s="10">
        <f>COUNTIF(観点表!$N$5:$N$93,"保留")</f>
        <v/>
      </c>
    </row>
    <row r="26">
      <c r="A26" s="10" t="inlineStr">
        <is>
          <t>対象外</t>
        </is>
      </c>
      <c r="B26" s="10">
        <f>COUNTIF(観点表!$N$5:$N$93,"対象外")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TC-NOUS71_DEV-01</t>
        </is>
      </c>
      <c r="B5" s="13" t="inlineStr">
        <is>
          <t>開始が終了より後ならエラー、91 日以上ならエラー、90 日以内・同じ日なら null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TC-NOUS71_DEV-02</t>
        </is>
      </c>
      <c r="B6" s="13" t="inlineStr">
        <is>
          <t>7・14・30 日の期間を UTC の日付で返す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TC-NOUS71_DEV-03</t>
        </is>
      </c>
      <c r="B7" s="13" t="inlineStr">
        <is>
          <t>null は「―」、数値は百分率の小数 1 桁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TC-NOUS71_DEV-04</t>
        </is>
      </c>
      <c r="B8" s="13" t="inlineStr">
        <is>
          <t>利用日の 00:00Z から翌日の 00:00Z までの失敗ログの URL へ遷移する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TC-NOUS71_DEV-05</t>
        </is>
      </c>
      <c r="B9" s="13" t="inlineStr">
        <is>
          <t>今日の要約・グラフ・日別の表を描画し、エラー率 5% 超を赤で表示する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TC-NOUS71_DEV-06</t>
        </is>
      </c>
      <c r="B10" s="13" t="inlineStr">
        <is>
          <t>エラー率のクリックで P207 に status=failed と期間を付けて遷移する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TC-UT_P206-001</t>
        </is>
      </c>
      <c r="B11" s="13" t="inlineStr">
        <is>
          <t>開始か終了が空なら null を返す（判定しない）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TC-UT_P206-002</t>
        </is>
      </c>
      <c r="B12" s="13" t="inlineStr">
        <is>
          <t>日付として読めない値なら null 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TC-UT_P206-003</t>
        </is>
      </c>
      <c r="B13" s="13" t="inlineStr">
        <is>
          <t>うるう日をまたいでも日数どおりの開始日を返す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TC-UT_P206-004</t>
        </is>
      </c>
      <c r="B14" s="13" t="inlineStr">
        <is>
          <t>今日の日付は UTC で決まり、00:00:00.000Z（日本時間 9:00）で切り替わる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TC-UT_P206-005</t>
        </is>
      </c>
      <c r="B15" s="13" t="inlineStr">
        <is>
          <t>0.05 は 5.0%、1 は 100.0%、0.05% 未満は 0.0% に丸める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TC-UT_P206-006</t>
        </is>
      </c>
      <c r="B16" s="13" t="inlineStr">
        <is>
          <t>月末の利用日の失敗ログの URL は、翌月 1 日の 00:00Z までにする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TC-UT_P206-007</t>
        </is>
      </c>
      <c r="B17" s="13" t="inlineStr">
        <is>
          <t>エラー率がちょうど 5% なら赤にせず、5% を超えると赤にする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TC-UT_P206-008</t>
        </is>
      </c>
      <c r="B18" s="13" t="inlineStr">
        <is>
          <t>エラー率が null（実行 0 回）の日は「―」で、赤にせず、押せば P207 へ移る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TC-UT_P206-009</t>
        </is>
      </c>
      <c r="B19" s="13" t="inlineStr">
        <is>
          <t>日別の表は、トークンを 3 桁区切り、Neurons を小数 1 桁、概算費用を 0 円で出す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TC-UT_P206-010</t>
        </is>
      </c>
      <c r="B20" s="13" t="inlineStr">
        <is>
          <t>日別の表は 0 件なら「この期間のデータはありません」を出す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TC-UT_P206-011</t>
        </is>
      </c>
      <c r="B21" s="13" t="inlineStr">
        <is>
          <t>今日の値が無ければ 0 / 無料枠・0 回・0 円を出す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TC-UT_P206-012</t>
        </is>
      </c>
      <c r="B22" s="13" t="inlineStr">
        <is>
          <t>Neurons を小数 1 桁まで、呼び出しを 3 桁区切りで出し、渡された無料枠を使う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TC-UT_P206-013</t>
        </is>
      </c>
      <c r="B23" s="13" t="inlineStr">
        <is>
          <t>期間の途中の日が今日なら、末尾の日ではなくその日の値を今日の要約に出す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TC-UT_P206-014</t>
        </is>
      </c>
      <c r="B24" s="13" t="inlineStr">
        <is>
          <t>期間に今日が含まれなければ、今日の要約を 0 にする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TC-UT_P206-015</t>
        </is>
      </c>
      <c r="B25" s="13" t="inlineStr">
        <is>
          <t>期間に今日が含まれても今日の行が無ければ、前の日の値を出さず 0 にする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TC-UT_P206-016</t>
        </is>
      </c>
      <c r="B26" s="13" t="inlineStr">
        <is>
          <t>URL に期間が無ければ今日までの 14 日で取得する（E01）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TC-UT_P206-017</t>
        </is>
      </c>
      <c r="B27" s="13" t="inlineStr">
        <is>
          <t>URL の期間が誤っていれば（開始が終了より後）既定の 14 日で取得する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TC-UT_P206-018</t>
        </is>
      </c>
      <c r="B28" s="13" t="inlineStr">
        <is>
          <t>期間の開始を終了より後にすると、入力欄の下に文言を出し（様式④）、期間を変えない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TC-UT_P206-019</t>
        </is>
      </c>
      <c r="B29" s="13" t="inlineStr">
        <is>
          <t>期間が 91 日なら文言を出して期間を変えず、90 日なら期間を変える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TC-UT_P206-020</t>
        </is>
      </c>
      <c r="B30" s="13" t="inlineStr">
        <is>
          <t>期間の開始を空にしたときは、文言を出さず、期間も変えない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TC-UT_P206-021</t>
        </is>
      </c>
      <c r="B31" s="13" t="inlineStr">
        <is>
          <t>「直近 7 日」を押すと、UTC の今日までの 7 日に変える（E03）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TC-UT_P206-022</t>
        </is>
      </c>
      <c r="B32" s="13" t="inlineStr">
        <is>
          <t>外から渡された期間が変わると入力を合わせ、誤りがあれば文言を出す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TC-UT_P206-023</t>
        </is>
      </c>
      <c r="B33" s="13" t="inlineStr">
        <is>
          <t>日付が UTC の利用日であることを「日本時間 9:00 に切り替わります」と添える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TC-UT_P206-024</t>
        </is>
      </c>
      <c r="B34" s="13" t="inlineStr">
        <is>
          <t>日別の Neurons の棒と、無料枠・日次上限の横線を引く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TC-UT_P206-025</t>
        </is>
      </c>
      <c r="B35" s="13" t="inlineStr">
        <is>
          <t>日次上限が無ければ横線は無料枠だけで、上限が無料枠より大きければ縦軸を上限まで取る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TC-UT_P206-026</t>
        </is>
      </c>
      <c r="B36" s="13" t="inlineStr">
        <is>
          <t>投稿数の棒と、応答率を百分率の小数 1 桁にした線にし、null はそのまま渡す。目標の線は引かない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TC-UT_P206-027</t>
        </is>
      </c>
      <c r="B37" s="13" t="inlineStr">
        <is>
          <t>最初の取得が 500 なら「指標を取得できませんでした」をポップアップで出す（様式①）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TC-UT_P206-028</t>
        </is>
      </c>
      <c r="B38" s="13" t="inlineStr">
        <is>
          <t>最初の取得が通信エラーでも「指標を取得できませんでした」をポップアップで出す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TC-UT_P206-029</t>
        </is>
      </c>
      <c r="B39" s="13" t="inlineStr">
        <is>
          <t>取得が 401 ならセッション切れのポップアップを出し、指標のポップアップは出さない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TC-UT_P206-030</t>
        </is>
      </c>
      <c r="B40" s="13" t="inlineStr">
        <is>
          <t>成功の後の再取得が 2 回続けて失敗しても上部の表示は出さず、3 回目で「最新の指標を取得できていません」を出す（様式②）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TC-UT_P206-031</t>
        </is>
      </c>
      <c r="B41" s="13" t="inlineStr">
        <is>
          <t>上部の表示を出した後に再取得が成功すると、表示を消す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TC-UT_P206-033</t>
        </is>
      </c>
      <c r="B42" s="13" t="inlineStr">
        <is>
          <t>取得が 400 なら、サーバーの文言を期間の入力欄の下に出し（E02 の様式④）、指標のポップアップは出さない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TC-UT_P206-032</t>
        </is>
      </c>
      <c r="B43" s="13" t="inlineStr">
        <is>
          <t>期間の終了が今日なら 30 秒ごとに取り直し、今日でなければ取り直さない（E04）</t>
        </is>
      </c>
      <c r="C43" s="13" t="inlineStr">
        <is>
          <t>未作成</t>
        </is>
      </c>
      <c r="D43" s="13" t="inlineStr"/>
      <c r="E43" s="13" t="inlineStr"/>
      <c r="F43" s="13" t="inlineStr"/>
    </row>
  </sheetData>
  <autoFilter ref="A4:F4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P206 利用量・運用指標（MetricsPage・pages/metrics）</t>
        </is>
      </c>
    </row>
    <row r="4">
      <c r="A4" s="14" t="inlineStr">
        <is>
          <t>対象ファイル</t>
        </is>
      </c>
      <c r="B4" s="15" t="inlineStr">
        <is>
          <t>apps/admin/src/pages/MetricsPage.tsx, apps/admin/src/pages/metrics/DateRangePicker.tsx, apps/admin/src/pages/metrics/TodaySummary.tsx, apps/admin/src/pages/metrics/UsageChart.tsx, apps/admin/src/pages/metrics/ActivityChart.tsx, apps/admin/src/pages/metrics/MetricsTable.tsx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apps/admin/src/pages/metrics/metrics.test.tsx（実装時、NOUS-71）, apps/admin/src/pages/metrics/metrics.ut.test.tsx（単体テストで追加）</t>
        </is>
      </c>
    </row>
    <row r="7">
      <c r="A7" s="14" t="inlineStr">
        <is>
          <t>外部依存</t>
        </is>
      </c>
      <c r="B7" s="15" t="inlineStr">
        <is>
          <t>管理 API（fetch。mockFetch で差し替える）, 時計（Date。今日の日付と 30 秒ごとの取り直しは vi.useFakeTimers で固定する）, Recharts（jsdom では描画されないため、props を写す部品に差し替える）, TanStack Query（renderApp の QueryClient。再取得は refetchQueries で起こす）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range.to === todayUtcDate()（30 秒ごとに取り直す）</t>
        </is>
      </c>
      <c r="C11" s="17" t="inlineStr">
        <is>
          <t>MetricsPage.tsx:27・31</t>
        </is>
      </c>
    </row>
    <row r="12">
      <c r="A12" s="17" t="inlineStr">
        <is>
          <t>B2</t>
        </is>
      </c>
      <c r="B12" s="17" t="inlineStr">
        <is>
          <t>query.isSuccess</t>
        </is>
      </c>
      <c r="C12" s="17" t="inlineStr">
        <is>
          <t>MetricsPage.tsx:46</t>
        </is>
      </c>
    </row>
    <row r="13">
      <c r="A13" s="17" t="inlineStr">
        <is>
          <t>B3</t>
        </is>
      </c>
      <c r="B13" s="17" t="inlineStr">
        <is>
          <t>failures.current &gt;= 3（成功したら上部の表示を消す）</t>
        </is>
      </c>
      <c r="C13" s="17" t="inlineStr">
        <is>
          <t>MetricsPage.tsx:47</t>
        </is>
      </c>
    </row>
    <row r="14">
      <c r="A14" s="17" t="inlineStr">
        <is>
          <t>B4</t>
        </is>
      </c>
      <c r="B14" s="17" t="inlineStr">
        <is>
          <t>query.isError &amp;&amp; query.error</t>
        </is>
      </c>
      <c r="C14" s="17" t="inlineStr">
        <is>
          <t>MetricsPage.tsx:52</t>
        </is>
      </c>
    </row>
    <row r="15">
      <c r="A15" s="17" t="inlineStr">
        <is>
          <t>B5</t>
        </is>
      </c>
      <c r="B15" s="17" t="inlineStr">
        <is>
          <t>ApiError かつ status === 401</t>
        </is>
      </c>
      <c r="C15" s="17" t="inlineStr">
        <is>
          <t>MetricsPage.tsx:53</t>
        </is>
      </c>
    </row>
    <row r="16">
      <c r="A16" s="17" t="inlineStr">
        <is>
          <t>B6</t>
        </is>
      </c>
      <c r="B16" s="17" t="inlineStr">
        <is>
          <t>hadSuccess.current（一度成功した後の失敗）</t>
        </is>
      </c>
      <c r="C16" s="17" t="inlineStr">
        <is>
          <t>MetricsPage.tsx:57</t>
        </is>
      </c>
    </row>
    <row r="17">
      <c r="A17" s="17" t="inlineStr">
        <is>
          <t>B7</t>
        </is>
      </c>
      <c r="B17" s="17" t="inlineStr">
        <is>
          <t>failures.current === 3（上部の表示を出す）</t>
        </is>
      </c>
      <c r="C17" s="17" t="inlineStr">
        <is>
          <t>MetricsPage.tsx:59</t>
        </is>
      </c>
    </row>
    <row r="18">
      <c r="A18" s="17" t="inlineStr">
        <is>
          <t>B8</t>
        </is>
      </c>
      <c r="B18" s="17" t="inlineStr">
        <is>
          <t>ApiError で status &gt;= 500、または NetworkError</t>
        </is>
      </c>
      <c r="C18" s="17" t="inlineStr">
        <is>
          <t>MetricsPage.tsx:61</t>
        </is>
      </c>
    </row>
    <row r="19">
      <c r="A19" s="17" t="inlineStr">
        <is>
          <t>B9</t>
        </is>
      </c>
      <c r="B19" s="17" t="inlineStr">
        <is>
          <t>paramFrom &amp;&amp; paramTo &amp;&amp; !validateRange（URL の期間を使う）</t>
        </is>
      </c>
      <c r="C19" s="17" t="inlineStr">
        <is>
          <t>MetricsPage.tsx:90</t>
        </is>
      </c>
    </row>
    <row r="20">
      <c r="A20" s="17" t="inlineStr">
        <is>
          <t>B10</t>
        </is>
      </c>
      <c r="B20" s="17" t="inlineStr">
        <is>
          <t>items.find(今日) ?? items の末尾 ?? null</t>
        </is>
      </c>
      <c r="C20" s="17" t="inlineStr">
        <is>
          <t>MetricsPage.tsx:99</t>
        </is>
      </c>
    </row>
    <row r="21">
      <c r="A21" s="17" t="inlineStr">
        <is>
          <t>B11</t>
        </is>
      </c>
      <c r="B21" s="17" t="inlineStr">
        <is>
          <t>!from || !to（validateRange が判定しない）</t>
        </is>
      </c>
      <c r="C21" s="17" t="inlineStr">
        <is>
          <t>DateRangePicker.tsx:21</t>
        </is>
      </c>
    </row>
    <row r="22">
      <c r="A22" s="17" t="inlineStr">
        <is>
          <t>B12</t>
        </is>
      </c>
      <c r="B22" s="17" t="inlineStr">
        <is>
          <t>Number.isNaN(fromMs) || Number.isNaN(toMs)</t>
        </is>
      </c>
      <c r="C22" s="17" t="inlineStr">
        <is>
          <t>DateRangePicker.tsx:24</t>
        </is>
      </c>
    </row>
    <row r="23">
      <c r="A23" s="17" t="inlineStr">
        <is>
          <t>B13</t>
        </is>
      </c>
      <c r="B23" s="17" t="inlineStr">
        <is>
          <t>from &gt; to</t>
        </is>
      </c>
      <c r="C23" s="17" t="inlineStr">
        <is>
          <t>DateRangePicker.tsx:25</t>
        </is>
      </c>
    </row>
    <row r="24">
      <c r="A24" s="17" t="inlineStr">
        <is>
          <t>B14</t>
        </is>
      </c>
      <c r="B24" s="17" t="inlineStr">
        <is>
          <t>days &gt; 90</t>
        </is>
      </c>
      <c r="C24" s="17" t="inlineStr">
        <is>
          <t>DateRangePicker.tsx:27</t>
        </is>
      </c>
    </row>
    <row r="25">
      <c r="A25" s="17" t="inlineStr">
        <is>
          <t>B15</t>
        </is>
      </c>
      <c r="B25" s="17" t="inlineStr">
        <is>
          <t>!err &amp;&amp; nextFrom &amp;&amp; nextTo（期間を変える）</t>
        </is>
      </c>
      <c r="C25" s="17" t="inlineStr">
        <is>
          <t>DateRangePicker.tsx:65</t>
        </is>
      </c>
    </row>
    <row r="26">
      <c r="A26" s="17" t="inlineStr">
        <is>
          <t>B16</t>
        </is>
      </c>
      <c r="B26" s="17" t="inlineStr">
        <is>
          <t>today ?（今日の値がある）</t>
        </is>
      </c>
      <c r="C26" s="17" t="inlineStr">
        <is>
          <t>TodaySummary.tsx:11-12</t>
        </is>
      </c>
    </row>
    <row r="27">
      <c r="A27" s="17" t="inlineStr">
        <is>
          <t>B17</t>
        </is>
      </c>
      <c r="B27" s="17" t="inlineStr">
        <is>
          <t>limit !== undefined（日次上限の横線）</t>
        </is>
      </c>
      <c r="C27" s="17" t="inlineStr">
        <is>
          <t>UsageChart.tsx:55</t>
        </is>
      </c>
    </row>
    <row r="28">
      <c r="A28" s="17" t="inlineStr">
        <is>
          <t>B18</t>
        </is>
      </c>
      <c r="B28" s="17" t="inlineStr">
        <is>
          <t>d.replyRate === null</t>
        </is>
      </c>
      <c r="C28" s="17" t="inlineStr">
        <is>
          <t>ActivityChart.tsx:14</t>
        </is>
      </c>
    </row>
    <row r="29">
      <c r="A29" s="17" t="inlineStr">
        <is>
          <t>B19</t>
        </is>
      </c>
      <c r="B29" s="17" t="inlineStr">
        <is>
          <t>rate === null（formatRate）</t>
        </is>
      </c>
      <c r="C29" s="17" t="inlineStr">
        <is>
          <t>MetricsTable.tsx:11</t>
        </is>
      </c>
    </row>
    <row r="30">
      <c r="A30" s="17" t="inlineStr">
        <is>
          <t>B20</t>
        </is>
      </c>
      <c r="B30" s="17" t="inlineStr">
        <is>
          <t>errorRate !== null &amp;&amp; errorRate &gt; 0.05（赤）</t>
        </is>
      </c>
      <c r="C30" s="17" t="inlineStr">
        <is>
          <t>MetricsTable.tsx:69</t>
        </is>
      </c>
    </row>
    <row r="32">
      <c r="A32" s="14" t="inlineStr">
        <is>
          <t>確認事項・潜在バグ</t>
        </is>
      </c>
    </row>
    <row r="33" ht="30" customHeight="1">
      <c r="A33" s="18" t="inlineStr">
        <is>
          <t>・疑い 1：今日の要約（H04・H05）は、MetricsPage が期間の中に今日の行が無いとき、期間の最後の日の値を出す（TC-UT_P206-014・015）。期間に今日が含まれない場合と、今日の利用がまだ無い場合（今日の行が無い）の両方で、前の日の値が「今日の Neurons」に出る。画面基本設計書は「今日の」値と定めているため、0 を出すのが仕様と考えて期待結果を書いた。NOUS-71 で Jane Doe さんが確認を求めたまま決まっていないので、Kouhei Tajima の判断を仰ぐ。</t>
        </is>
      </c>
    </row>
    <row r="34" ht="30" customHeight="1">
      <c r="A34" s="18" t="inlineStr">
        <is>
          <t>・疑い 2：画面基本設計書 P206 E02 は 400 を様式④（入力欄の下に文言）と定めているが、useMetrics は 400 を useApiErrorHandler に渡すだけで、戻り値の項目のエラーを画面に出さない。そのため 400 の文言がどこにも出ない（TC-UT_P206-033）。画面の検証を通った期間だけを送るので、起きるのはサーバー側の検証が画面と食い違ったときに限られる。</t>
        </is>
      </c>
    </row>
    <row r="35" ht="30" customHeight="1">
      <c r="A35" s="18" t="inlineStr">
        <is>
          <t>・確認事項 3：期間（H01・H02）は画面基本設計書 6章で必須だが、空にしたときの文言が定められていない。今は文言を出さず、期間も変えない（TC-UT_P206-020）。</t>
        </is>
      </c>
    </row>
    <row r="36" ht="30" customHeight="1">
      <c r="A36" s="18" t="inlineStr">
        <is>
          <t>・確認事項 4：エラー率 5% 超の赤は色でしか表れないため、テストは style の色で確かめている（DEV-05・TC-UT_P206-007）。data 属性などで状態を持たせると、見た目に頼らずに確かめられる。今回の範囲ではプロダクトのコードを変えないので提案に留める。</t>
        </is>
      </c>
    </row>
  </sheetData>
  <mergeCells count="4">
    <mergeCell ref="A35:C35"/>
    <mergeCell ref="A36:C36"/>
    <mergeCell ref="A33:C3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2026-10-26T06:11:53Z</dcterms:created>
  <dcterms:modified xsi:type="dcterms:W3CDTF">2026-10-26T06:11:53Z</dcterms:modified>
</cp:coreProperties>
</file>