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'観点表'!$A$4:$Q$32</definedName>
    <definedName name="_xlnm.Print_Titles" localSheetId="0">'観点表'!$4:$4</definedName>
    <definedName name="_xlnm._FilterDatabase" localSheetId="2" hidden="1">'テストデータ'!$A$4:$F$32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P208 生成ログ詳細（GenerationDetailPage・pages/generations の概要・入力・全文・試行・矛盾・投稿）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TC-NOUS71_DEV-09</t>
        </is>
      </c>
      <c r="C5" s="5" t="inlineStr">
        <is>
          <t>describeFlag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C01〜C04 を日本語の説明に変える</t>
        </is>
      </c>
      <c r="G5" s="5" t="inlineStr">
        <is>
          <t>前提：なし
入力：C01〜C04、{ code: C02 }</t>
        </is>
      </c>
      <c r="H5" s="5" t="inlineStr">
        <is>
          <t>4 つの日本語</t>
        </is>
      </c>
      <c r="I5" s="5" t="inlineStr">
        <is>
          <t>B31-T, B31-F, B32-F</t>
        </is>
      </c>
      <c r="J5" s="5" t="inlineStr">
        <is>
          <t>なし</t>
        </is>
      </c>
      <c r="K5" s="5" t="inlineStr"/>
      <c r="L5" s="5" t="inlineStr"/>
      <c r="M5" s="5" t="inlineStr">
        <is>
          <t>TC-NOUS71_DEV-09 describeFlag：C01〜C04 を日本語の説明に変える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既存テスト：実装時のテスト（NOUS-71）</t>
        </is>
      </c>
    </row>
    <row r="6">
      <c r="A6" s="4" t="n">
        <v>2</v>
      </c>
      <c r="B6" s="4" t="inlineStr">
        <is>
          <t>TC-NOUS71_DEV-12</t>
        </is>
      </c>
      <c r="C6" s="5" t="inlineStr">
        <is>
          <t>GenerationDetailPage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プロンプトの開閉・試行・矛盾の候補・生成された投稿を描画する</t>
        </is>
      </c>
      <c r="G6" s="5" t="inlineStr">
        <is>
          <t>前提：LLM で成功した詳細（矛盾 2 件、投稿あり）
入力：/generations/{id}、入力の全文を開く、非表示管理で開く</t>
        </is>
      </c>
      <c r="H6" s="5" t="inlineStr">
        <is>
          <t>実行 ID・出力・開いた入力・1,930 ms・C01／C03・投稿の本文、/moderation?postId=…</t>
        </is>
      </c>
      <c r="I6" s="5" t="inlineStr">
        <is>
          <t>B1-F, B2-T, B4-F, B5-T, B13-F, B14-F, B16-T, B18-T, B19-T, B20-F, B21-T, B22-F, B23-T, B24-T, B25-T, B26-F, B27-T, B27-F, B28-F, B29-F, B30-T, B33-F, B34-T, B35-F</t>
        </is>
      </c>
      <c r="J6" s="5" t="inlineStr">
        <is>
          <t>fetch を mockFetch で差し替え（session・world は成功）</t>
        </is>
      </c>
      <c r="K6" s="5" t="inlineStr"/>
      <c r="L6" s="5" t="inlineStr"/>
      <c r="M6" s="5" t="inlineStr">
        <is>
          <t>TC-NOUS71_DEV-12 GenerationDetailPage：プロンプトの開閉・試行・矛盾の候補・生成された投稿を描画する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既存テスト：実装時のテスト（NOUS-71）
DEV の詳細は inputAttributes を displayName（camelCase）で持たせているが、サーバーは snake_case で返す。issues の疑い 1</t>
        </is>
      </c>
    </row>
    <row r="7">
      <c r="A7" s="4" t="n">
        <v>3</v>
      </c>
      <c r="B7" s="4" t="inlineStr">
        <is>
          <t>TC-NOUS71_DEV-13</t>
        </is>
      </c>
      <c r="C7" s="5" t="inlineStr">
        <is>
          <t>GenerationDetailPage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404 EVENT_NOT_FOUND のときは「生成イベントが見つかりません」と一覧へのリンクを表示する（様式③）</t>
        </is>
      </c>
      <c r="G7" s="5" t="inlineStr">
        <is>
          <t>前提：詳細の API が 404 EVENT_NOT_FOUND
入力：/generations/{id}</t>
        </is>
      </c>
      <c r="H7" s="5" t="inlineStr">
        <is>
          <t>文言と /generations へのリンク</t>
        </is>
      </c>
      <c r="I7" s="5" t="inlineStr">
        <is>
          <t>B1-T, B2-T, B4-T</t>
        </is>
      </c>
      <c r="J7" s="5" t="inlineStr">
        <is>
          <t>fetch を mockFetch で差し替え（session・world は成功）</t>
        </is>
      </c>
      <c r="K7" s="5" t="inlineStr"/>
      <c r="L7" s="5" t="inlineStr"/>
      <c r="M7" s="5" t="inlineStr">
        <is>
          <t>TC-NOUS71_DEV-13 GenerationDetailPage：404 EVENT_NOT_FOUND のときは「生成イベントが見つかりません」と一覧へのリンクを表示する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既存テスト：実装時のテスト（NOUS-71）</t>
        </is>
      </c>
    </row>
    <row r="8">
      <c r="A8" s="4" t="n">
        <v>4</v>
      </c>
      <c r="B8" s="4" t="inlineStr">
        <is>
          <t>TC-UT_P208-001</t>
        </is>
      </c>
      <c r="C8" s="5" t="inlineStr">
        <is>
          <t>formatDateTimeJst</t>
        </is>
      </c>
      <c r="D8" s="4" t="inlineStr">
        <is>
          <t>異常系</t>
        </is>
      </c>
      <c r="E8" s="4" t="inlineStr">
        <is>
          <t>境界値</t>
        </is>
      </c>
      <c r="F8" s="5" t="inlineStr">
        <is>
          <t>日時は JST の「YYYY-MM-DD HH:MM:SS」で出し、無いときは「―」、読めない値はそのまま出す</t>
        </is>
      </c>
      <c r="G8" s="5" t="inlineStr">
        <is>
          <t>前提：なし
入力：15:00:00Z、null、"x"</t>
        </is>
      </c>
      <c r="H8" s="5" t="inlineStr">
        <is>
          <t>"2026-10-23 00:00:00"、"―"、"x"</t>
        </is>
      </c>
      <c r="I8" s="5" t="inlineStr">
        <is>
          <t>B6-T, B6-F, B7-T, B7-F</t>
        </is>
      </c>
      <c r="J8" s="5" t="inlineStr">
        <is>
          <t>なし</t>
        </is>
      </c>
      <c r="K8" s="5" t="inlineStr"/>
      <c r="L8" s="5" t="inlineStr"/>
      <c r="M8" s="5" t="inlineStr">
        <is>
          <t>TC-UT_P208-001 日時は JST の「YYYY-MM-DD HH:MM:SS」で出し、無いときは「―」、読めない値はそのまま出す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既存テスト：なし</t>
        </is>
      </c>
    </row>
    <row r="9">
      <c r="A9" s="4" t="n">
        <v>5</v>
      </c>
      <c r="B9" s="4" t="inlineStr">
        <is>
          <t>TC-UT_P208-002</t>
        </is>
      </c>
      <c r="C9" s="5" t="inlineStr">
        <is>
          <t>copyEventId</t>
        </is>
      </c>
      <c r="D9" s="4" t="inlineStr">
        <is>
          <t>正常系</t>
        </is>
      </c>
      <c r="E9" s="4" t="inlineStr">
        <is>
          <t>依存</t>
        </is>
      </c>
      <c r="F9" s="5" t="inlineStr">
        <is>
          <t>クリップボードが使えれば実行 ID を写して true を返す</t>
        </is>
      </c>
      <c r="G9" s="5" t="inlineStr">
        <is>
          <t>前提：navigator.clipboard.writeText を差し替え（成功）
入力：実行 ID</t>
        </is>
      </c>
      <c r="H9" s="5" t="inlineStr">
        <is>
          <t>true、writeText(実行 ID)</t>
        </is>
      </c>
      <c r="I9" s="5" t="inlineStr">
        <is>
          <t>B8-T, B9-F</t>
        </is>
      </c>
      <c r="J9" s="5" t="inlineStr">
        <is>
          <t>navigator.clipboard を Object.defineProperty で差し替え</t>
        </is>
      </c>
      <c r="K9" s="5" t="inlineStr"/>
      <c r="L9" s="5" t="inlineStr"/>
      <c r="M9" s="5" t="inlineStr">
        <is>
          <t>TC-UT_P208-002 クリップボードが使えれば実行 ID を写して true を返す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既存テスト：なし</t>
        </is>
      </c>
    </row>
    <row r="10">
      <c r="A10" s="4" t="n">
        <v>6</v>
      </c>
      <c r="B10" s="4" t="inlineStr">
        <is>
          <t>TC-UT_P208-003</t>
        </is>
      </c>
      <c r="C10" s="5" t="inlineStr">
        <is>
          <t>copyEventId</t>
        </is>
      </c>
      <c r="D10" s="4" t="inlineStr">
        <is>
          <t>異常系</t>
        </is>
      </c>
      <c r="E10" s="4" t="inlineStr">
        <is>
          <t>依存</t>
        </is>
      </c>
      <c r="F10" s="5" t="inlineStr">
        <is>
          <t>クリップボードへの書き込みが失敗したら、実行 ID の要素を選択状態にして false を返す</t>
        </is>
      </c>
      <c r="G10" s="5" t="inlineStr">
        <is>
          <t>前提：writeText が reject
入力：実行 ID、要素</t>
        </is>
      </c>
      <c r="H10" s="5" t="inlineStr">
        <is>
          <t>false、選択範囲が 1 つ</t>
        </is>
      </c>
      <c r="I10" s="5" t="inlineStr">
        <is>
          <t>B8-T, B9-T, B10-T</t>
        </is>
      </c>
      <c r="J10" s="5" t="inlineStr">
        <is>
          <t>navigator.clipboard を差し替え（reject）</t>
        </is>
      </c>
      <c r="K10" s="5" t="inlineStr"/>
      <c r="L10" s="5" t="inlineStr"/>
      <c r="M10" s="5" t="inlineStr">
        <is>
          <t>TC-UT_P208-003 クリップボードへの書き込みが失敗したら、実行 ID の要素を選択状態にして false を返す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既存テスト：なし
設計書 4章「クリップボードが使えなければ選択状態にする」</t>
        </is>
      </c>
    </row>
    <row r="11">
      <c r="A11" s="4" t="n">
        <v>7</v>
      </c>
      <c r="B11" s="4" t="inlineStr">
        <is>
          <t>TC-UT_P208-004</t>
        </is>
      </c>
      <c r="C11" s="5" t="inlineStr">
        <is>
          <t>copyEventId</t>
        </is>
      </c>
      <c r="D11" s="4" t="inlineStr">
        <is>
          <t>異常系</t>
        </is>
      </c>
      <c r="E11" s="4" t="inlineStr">
        <is>
          <t>分岐網羅</t>
        </is>
      </c>
      <c r="F11" s="5" t="inlineStr">
        <is>
          <t>クリップボードも選択する要素も無ければ、例外にせず false を返す</t>
        </is>
      </c>
      <c r="G11" s="5" t="inlineStr">
        <is>
          <t>前提：navigator.clipboard が undefined
入力：実行 ID、null</t>
        </is>
      </c>
      <c r="H11" s="5" t="inlineStr">
        <is>
          <t>false</t>
        </is>
      </c>
      <c r="I11" s="5" t="inlineStr">
        <is>
          <t>B8-F, B10-F</t>
        </is>
      </c>
      <c r="J11" s="5" t="inlineStr">
        <is>
          <t>navigator.clipboard を undefined に差し替え</t>
        </is>
      </c>
      <c r="K11" s="5" t="inlineStr"/>
      <c r="L11" s="5" t="inlineStr"/>
      <c r="M11" s="5" t="inlineStr">
        <is>
          <t>TC-UT_P208-004 クリップボードも選択する要素も無ければ、例外にせず false を返す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既存テスト：なし</t>
        </is>
      </c>
    </row>
    <row r="12">
      <c r="A12" s="4" t="n">
        <v>8</v>
      </c>
      <c r="B12" s="4" t="inlineStr">
        <is>
          <t>TC-UT_P208-005</t>
        </is>
      </c>
      <c r="C12" s="5" t="inlineStr">
        <is>
          <t>EventSummary</t>
        </is>
      </c>
      <c r="D12" s="4" t="inlineStr">
        <is>
          <t>正常系</t>
        </is>
      </c>
      <c r="E12" s="4" t="inlineStr">
        <is>
          <t>状態遷移</t>
        </is>
      </c>
      <c r="F12" s="5" t="inlineStr">
        <is>
          <t>「コピー」を押すと「コピー済み」と「コピーしました」を出し、2 秒後に「コピー」に戻す（E02）</t>
        </is>
      </c>
      <c r="G12" s="5" t="inlineStr">
        <is>
          <t>前提：成功した詳細
入力：コピーを押し、時計を 2 秒進める</t>
        </is>
      </c>
      <c r="H12" s="5" t="inlineStr">
        <is>
          <t>「コピー済み」とトースト「コピーしました」→「コピー」</t>
        </is>
      </c>
      <c r="I12" s="5" t="inlineStr">
        <is>
          <t>B8-T, B11-T, B12-T, B12-F</t>
        </is>
      </c>
      <c r="J12" s="5" t="inlineStr">
        <is>
          <t>fetch を mockFetch で差し替え（session・world は成功）、navigator.clipboard を差し替え、vi.useFakeTimers（shouldAdvanceTime）</t>
        </is>
      </c>
      <c r="K12" s="5" t="inlineStr"/>
      <c r="L12" s="5" t="inlineStr"/>
      <c r="M12" s="5" t="inlineStr">
        <is>
          <t>TC-UT_P208-005 「コピー」を押すと「コピー済み」と「コピーしました」を出し、2 秒後に「コピー」に戻す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既存テスト：なし</t>
        </is>
      </c>
    </row>
    <row r="13">
      <c r="A13" s="4" t="n">
        <v>9</v>
      </c>
      <c r="B13" s="4" t="inlineStr">
        <is>
          <t>TC-UT_P208-006</t>
        </is>
      </c>
      <c r="C13" s="5" t="inlineStr">
        <is>
          <t>EventSummary</t>
        </is>
      </c>
      <c r="D13" s="4" t="inlineStr">
        <is>
          <t>正常系</t>
        </is>
      </c>
      <c r="E13" s="4" t="inlineStr">
        <is>
          <t>同値分割</t>
        </is>
      </c>
      <c r="F13" s="5" t="inlineStr">
        <is>
          <t>概要に @ハンドル・巡と種・モデルと版・利用量（3 桁区切りと小数 1 桁、0 円）・時刻を出し、終了が無ければ「―」</t>
        </is>
      </c>
      <c r="G13" s="5" t="inlineStr">
        <is>
          <t>前提：invalid_format で失敗した詳細（Neurons 31、入力 2960、終了なし）
入力：/generations/{id}</t>
        </is>
      </c>
      <c r="H13" s="5" t="inlineStr">
        <is>
          <t>@minato、巡 22 ／ 種 834201、モデル ／ 版 v1（cloudflare）、入力 2,960 … 31.0 Neurons ・ 概算費用 0 円、終了 ―、失敗（不正な形式）</t>
        </is>
      </c>
      <c r="I13" s="5" t="inlineStr">
        <is>
          <t>B5-T, B6-T, B13-T, B14-F</t>
        </is>
      </c>
      <c r="J13" s="5" t="inlineStr">
        <is>
          <t>fetch を mockFetch で差し替え（session・world は成功）</t>
        </is>
      </c>
      <c r="K13" s="5" t="inlineStr"/>
      <c r="L13" s="5" t="inlineStr"/>
      <c r="M13" s="5" t="inlineStr">
        <is>
          <t>TC-UT_P208-006 概要に @ハンドル・巡と種・モデルと版・利用量（3 桁区切りと小数 1 桁、0 円）・時刻を出し、終了が無ければ「―」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既存テスト：一部 TC-NOUS71_DEV-12（実行 ID と本文だけ）
NOUS-104 の決定（invalid_format の失敗にも Neurons を加算する）を受け、失敗の詳細でも Neurons を出すことを確かめる</t>
        </is>
      </c>
    </row>
    <row r="14">
      <c r="A14" s="4" t="n">
        <v>10</v>
      </c>
      <c r="B14" s="4" t="inlineStr">
        <is>
          <t>TC-UT_P208-007</t>
        </is>
      </c>
      <c r="C14" s="5" t="inlineStr">
        <is>
          <t>EventSummary</t>
        </is>
      </c>
      <c r="D14" s="4" t="inlineStr">
        <is>
          <t>正常系</t>
        </is>
      </c>
      <c r="E14" s="4" t="inlineStr">
        <is>
          <t>分岐網羅</t>
        </is>
      </c>
      <c r="F14" s="5" t="inlineStr">
        <is>
          <t>参加しない（gate）の生成イベントは、行動・モデル・版を「―」、決め方を「参加しない」と出す</t>
        </is>
      </c>
      <c r="G14" s="5" t="inlineStr">
        <is>
          <t>前提：gate の詳細（action・modelId・promptVersion が null、llm_mode fixed）
入力：/generations/{id}</t>
        </is>
      </c>
      <c r="H14" s="5" t="inlineStr">
        <is>
          <t>「行動：― ／ 決め方：参加しない ／ 失敗の種類：―」「― ／ 版 ―（fixed）」</t>
        </is>
      </c>
      <c r="I14" s="5" t="inlineStr">
        <is>
          <t>B13-T, B14-T</t>
        </is>
      </c>
      <c r="J14" s="5" t="inlineStr">
        <is>
          <t>fetch を mockFetch で差し替え（session・world は成功）</t>
        </is>
      </c>
      <c r="K14" s="5" t="inlineStr"/>
      <c r="L14" s="5" t="inlineStr"/>
      <c r="M14" s="5" t="inlineStr">
        <is>
          <t>TC-UT_P208-007 参加しない（gate）の生成イベントは、行動・モデル・版を「―」、決め方を「参加しない」と出す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</t>
        </is>
      </c>
    </row>
    <row r="15">
      <c r="A15" s="4" t="n">
        <v>11</v>
      </c>
      <c r="B15" s="4" t="inlineStr">
        <is>
          <t>TC-UT_P208-008</t>
        </is>
      </c>
      <c r="C15" s="5" t="inlineStr">
        <is>
          <t>InputSection</t>
        </is>
      </c>
      <c r="D15" s="4" t="inlineStr">
        <is>
          <t>異常系</t>
        </is>
      </c>
      <c r="E15" s="4" t="inlineStr">
        <is>
          <t>同値分割</t>
        </is>
      </c>
      <c r="F15" s="5" t="inlineStr">
        <is>
          <t>入力に用いた属性は、サーバーが送る項目名（display_name・values_text・activity_level）も日本語の項目名で出す</t>
        </is>
      </c>
      <c r="G15" s="5" t="inlineStr">
        <is>
          <t>前提：なし
入力：inputAttributes { display_name, values_text, activity_level: 3, interests }</t>
        </is>
      </c>
      <c r="H15" s="5" t="inlineStr">
        <is>
          <t>「表示名」「価値観」「活動頻度」「興味」。display_name のままは出さない</t>
        </is>
      </c>
      <c r="I15" s="5" t="inlineStr">
        <is>
          <t>B16-T, B16-F, B17-T, B22-T, B22-F</t>
        </is>
      </c>
      <c r="J15" s="5" t="inlineStr">
        <is>
          <t>なし</t>
        </is>
      </c>
      <c r="K15" s="5" t="inlineStr"/>
      <c r="L15" s="5" t="inlineStr"/>
      <c r="M15" s="5" t="inlineStr">
        <is>
          <t>TC-UT_P208-008 入力に用いた属性は、サーバーが送る項目名（display_name・values_text・activity_level）も日本語の項目名で出す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TC-NOUS71_DEV-12（camelCase の項目名だけ）
疑い：InputSection の項目名の表は displayName・valuesText・activityLevel（camelCase）で引くが、サーバーは generation_events.input_attributes（promptBuilder の UsedAttributes、snake_case）をそのまま返すため、表示名・価値観・活動頻度が英語の項目名のまま出る
FR-207（入力に用いた属性を日本語で確かめられること）。issues の疑い 1</t>
        </is>
      </c>
    </row>
    <row r="16">
      <c r="A16" s="4" t="n">
        <v>12</v>
      </c>
      <c r="B16" s="4" t="inlineStr">
        <is>
          <t>TC-UT_P208-009</t>
        </is>
      </c>
      <c r="C16" s="5" t="inlineStr">
        <is>
          <t>InputSection</t>
        </is>
      </c>
      <c r="D16" s="4" t="inlineStr">
        <is>
          <t>異常系</t>
        </is>
      </c>
      <c r="E16" s="4" t="inlineStr">
        <is>
          <t>分岐網羅</t>
        </is>
      </c>
      <c r="F16" s="5" t="inlineStr">
        <is>
          <t>参加しない（gate）の生成イベントは、行動の候補・記憶・参照した投稿を出さない</t>
        </is>
      </c>
      <c r="G16" s="5" t="inlineStr">
        <is>
          <t>前提：なし
入力：decidedBy gate、actionCandidates null</t>
        </is>
      </c>
      <c r="H16" s="5" t="inlineStr">
        <is>
          <t>属性は出す。行動の候補・記憶・参照した投稿の見出しは出さない</t>
        </is>
      </c>
      <c r="I16" s="5" t="inlineStr">
        <is>
          <t>B23-F, B24-F</t>
        </is>
      </c>
      <c r="J16" s="5" t="inlineStr">
        <is>
          <t>なし</t>
        </is>
      </c>
      <c r="K16" s="5" t="inlineStr"/>
      <c r="L16" s="5" t="inlineStr"/>
      <c r="M16" s="5" t="inlineStr">
        <is>
          <t>TC-UT_P208-009 参加しない（gate）の生成イベントは、行動の候補・記憶・参照した投稿を出さない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
疑い：今の InputSection は gate でも「行動の候補」を出し、「なし」と表示する
画面基本設計書 H08 は「decided_by が llm のとき」。issues の疑い 2</t>
        </is>
      </c>
    </row>
    <row r="17">
      <c r="A17" s="4" t="n">
        <v>13</v>
      </c>
      <c r="B17" s="4" t="inlineStr">
        <is>
          <t>TC-UT_P208-010</t>
        </is>
      </c>
      <c r="C17" s="5" t="inlineStr">
        <is>
          <t>InputSection</t>
        </is>
      </c>
      <c r="D17" s="4" t="inlineStr">
        <is>
          <t>正常系</t>
        </is>
      </c>
      <c r="E17" s="4" t="inlineStr">
        <is>
          <t>分岐網羅</t>
        </is>
      </c>
      <c r="F17" s="5" t="inlineStr">
        <is>
          <t>記憶は kind・type・番号の順で種類を決め、content・text・summary の順で内容を出す</t>
        </is>
      </c>
      <c r="G17" s="5" t="inlineStr">
        <is>
          <t>前提：なし
入力：{kind, content}、{type, text}、文字列、{summary}</t>
        </is>
      </c>
      <c r="H17" s="5" t="inlineStr">
        <is>
          <t>最近の自分の投稿／内容A、custom／内容B、#3／内容C、#4／内容D</t>
        </is>
      </c>
      <c r="I17" s="5" t="inlineStr">
        <is>
          <t>B15-F, B16-T, B18-T, B18-F, B19-T, B19-F, B20-T, B20-F, B21-T, B21-F, B24-T</t>
        </is>
      </c>
      <c r="J17" s="5" t="inlineStr">
        <is>
          <t>なし</t>
        </is>
      </c>
      <c r="K17" s="5" t="inlineStr"/>
      <c r="L17" s="5" t="inlineStr"/>
      <c r="M17" s="5" t="inlineStr">
        <is>
          <t>TC-UT_P208-010 記憶は kind・type・番号の順で種類を決め、content・text・summary の順で内容を出す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TC-NOUS71_DEV-12（{kind, content} だけ）
サーバーが入れるのは {kind, content} の形だけ。type・text・summary は防御のための分岐</t>
        </is>
      </c>
    </row>
    <row r="18">
      <c r="A18" s="4" t="n">
        <v>14</v>
      </c>
      <c r="B18" s="4" t="inlineStr">
        <is>
          <t>TC-UT_P208-011</t>
        </is>
      </c>
      <c r="C18" s="5" t="inlineStr">
        <is>
          <t>InputSection</t>
        </is>
      </c>
      <c r="D18" s="4" t="inlineStr">
        <is>
          <t>正常系</t>
        </is>
      </c>
      <c r="E18" s="4" t="inlineStr">
        <is>
          <t>境界値</t>
        </is>
      </c>
      <c r="F18" s="5" t="inlineStr">
        <is>
          <t>LLM の生成で記憶・参照した投稿・候補が無ければ、それぞれ「ありません」「なし」と出す</t>
        </is>
      </c>
      <c r="G18" s="5" t="inlineStr">
        <is>
          <t>前提：なし
入力：inputMemories []、refPosts []、actionCandidates []</t>
        </is>
      </c>
      <c r="H18" s="5" t="inlineStr">
        <is>
          <t>「記憶はありません」「参照した投稿はありません」「なし」</t>
        </is>
      </c>
      <c r="I18" s="5" t="inlineStr">
        <is>
          <t>B23-F, B24-T</t>
        </is>
      </c>
      <c r="J18" s="5" t="inlineStr">
        <is>
          <t>なし</t>
        </is>
      </c>
      <c r="K18" s="5" t="inlineStr"/>
      <c r="L18" s="5" t="inlineStr"/>
      <c r="M18" s="5" t="inlineStr">
        <is>
          <t>TC-UT_P208-011 LLM の生成で記憶・参照した投稿・候補が無ければ、それぞれ「ありません」「なし」と出す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TC-UT_P208-012</t>
        </is>
      </c>
      <c r="C19" s="5" t="inlineStr">
        <is>
          <t>PromptViewer</t>
        </is>
      </c>
      <c r="D19" s="4" t="inlineStr">
        <is>
          <t>正常系</t>
        </is>
      </c>
      <c r="E19" s="4" t="inlineStr">
        <is>
          <t>分岐網羅</t>
        </is>
      </c>
      <c r="F19" s="5" t="inlineStr">
        <is>
          <t>入力の全文が無ければ開閉のボタンを出さず「なし（LLM を呼んでいません）」、出力が無ければ「なし」</t>
        </is>
      </c>
      <c r="G19" s="5" t="inlineStr">
        <is>
          <t>前提：なし
入力：promptText null、outputText null</t>
        </is>
      </c>
      <c r="H19" s="5" t="inlineStr">
        <is>
          <t>その 2 つの文言、ボタンなし</t>
        </is>
      </c>
      <c r="I19" s="5" t="inlineStr">
        <is>
          <t>B25-F, B26-T, B28-T</t>
        </is>
      </c>
      <c r="J19" s="5" t="inlineStr">
        <is>
          <t>なし</t>
        </is>
      </c>
      <c r="K19" s="5" t="inlineStr"/>
      <c r="L19" s="5" t="inlineStr"/>
      <c r="M19" s="5" t="inlineStr">
        <is>
          <t>TC-UT_P208-012 入力の全文が無ければ開閉のボタンを出さず「なし（LLM を呼んでいません）」、出力が無ければ「なし」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TC-UT_P208-013</t>
        </is>
      </c>
      <c r="C20" s="5" t="inlineStr">
        <is>
          <t>PromptViewer</t>
        </is>
      </c>
      <c r="D20" s="4" t="inlineStr">
        <is>
          <t>正常系</t>
        </is>
      </c>
      <c r="E20" s="4" t="inlineStr">
        <is>
          <t>状態遷移</t>
        </is>
      </c>
      <c r="F20" s="5" t="inlineStr">
        <is>
          <t>折りたたみ中は字数をコードポイントで出し、ボタンを 2 回押すと閉じる（E03）</t>
        </is>
      </c>
      <c r="G20" s="5" t="inlineStr">
        <is>
          <t>前提：なし
入力：promptText "𠮷あa"</t>
        </is>
      </c>
      <c r="H20" s="5" t="inlineStr">
        <is>
          <t>「折りたたんでいます（3 字）」、aria-expanded false → true、2 回目で閉じる</t>
        </is>
      </c>
      <c r="I20" s="5" t="inlineStr">
        <is>
          <t>B25-T, B26-F, B27-T, B27-F</t>
        </is>
      </c>
      <c r="J20" s="5" t="inlineStr">
        <is>
          <t>なし</t>
        </is>
      </c>
      <c r="K20" s="5" t="inlineStr"/>
      <c r="L20" s="5" t="inlineStr"/>
      <c r="M20" s="5" t="inlineStr">
        <is>
          <t>TC-UT_P208-013 折りたたみ中は字数をコードポイントで出し、ボタンを 2 回押すと閉じる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TC-NOUS71_DEV-12（開くだけ）</t>
        </is>
      </c>
    </row>
    <row r="21">
      <c r="A21" s="4" t="n">
        <v>17</v>
      </c>
      <c r="B21" s="4" t="inlineStr">
        <is>
          <t>TC-UT_P208-014</t>
        </is>
      </c>
      <c r="C21" s="5" t="inlineStr">
        <is>
          <t>PromptViewer</t>
        </is>
      </c>
      <c r="D21" s="4" t="inlineStr">
        <is>
          <t>異常系</t>
        </is>
      </c>
      <c r="E21" s="4" t="inlineStr">
        <is>
          <t>同値分割</t>
        </is>
      </c>
      <c r="F21" s="5" t="inlineStr">
        <is>
          <t>入力・出力の全文に HTML があっても、文字のまま出して要素にしない</t>
        </is>
      </c>
      <c r="G21" s="5" t="inlineStr">
        <is>
          <t>前提：なし
入力："&lt;i&gt;入力&lt;/i&gt;"、"&lt;b&gt;太字&lt;/b&gt;"</t>
        </is>
      </c>
      <c r="H21" s="5" t="inlineStr">
        <is>
          <t>textContent がそのまま、b・i の要素が無い</t>
        </is>
      </c>
      <c r="I21" s="5" t="inlineStr">
        <is>
          <t>B27-T, B28-F</t>
        </is>
      </c>
      <c r="J21" s="5" t="inlineStr">
        <is>
          <t>なし</t>
        </is>
      </c>
      <c r="K21" s="5" t="inlineStr"/>
      <c r="L21" s="5" t="inlineStr"/>
      <c r="M21" s="5" t="inlineStr">
        <is>
          <t>TC-UT_P208-014 入力・出力の全文に HTML があっても、文字のまま出して要素にしない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
画面基本設計書 7章「他のエージェントの投稿の本文はテキストとして表示し、HTML として解釈しない」</t>
        </is>
      </c>
    </row>
    <row r="22">
      <c r="A22" s="4" t="n">
        <v>18</v>
      </c>
      <c r="B22" s="4" t="inlineStr">
        <is>
          <t>TC-UT_P208-015</t>
        </is>
      </c>
      <c r="C22" s="5" t="inlineStr">
        <is>
          <t>AttemptTable</t>
        </is>
      </c>
      <c r="D22" s="4" t="inlineStr">
        <is>
          <t>正常系</t>
        </is>
      </c>
      <c r="E22" s="4" t="inlineStr">
        <is>
          <t>同値分割</t>
        </is>
      </c>
      <c r="F22" s="5" t="inlineStr">
        <is>
          <t>試行の表は、不正な形式の試行にも Neurons を出し、HTTP とエラーの内容が無ければ「―」</t>
        </is>
      </c>
      <c r="G22" s="5" t="inlineStr">
        <is>
          <t>前提：なし
入力：invalid_format（Neurons 15.5、12345 ms）、timeout（HTTP・エラーの内容なし）</t>
        </is>
      </c>
      <c r="H22" s="5" t="inlineStr">
        <is>
          <t>「不正な形式」「15.5」「12,345 ms」、「タイムアウト」と「―」2 つ</t>
        </is>
      </c>
      <c r="I22" s="5" t="inlineStr">
        <is>
          <t>B29-T, B29-F, B30-T, B30-F</t>
        </is>
      </c>
      <c r="J22" s="5" t="inlineStr">
        <is>
          <t>なし</t>
        </is>
      </c>
      <c r="K22" s="5" t="inlineStr"/>
      <c r="L22" s="5" t="inlineStr"/>
      <c r="M22" s="5" t="inlineStr">
        <is>
          <t>TC-UT_P208-015 試行の表は、不正な形式の試行にも Neurons を出し、HTTP とエラーの内容が無ければ「―」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既存テスト：一部 TC-NOUS71_DEV-12（成功の 1 件だけ）
NOUS-104 の決定とつながる観点</t>
        </is>
      </c>
    </row>
    <row r="23">
      <c r="A23" s="4" t="n">
        <v>19</v>
      </c>
      <c r="B23" s="4" t="inlineStr">
        <is>
          <t>TC-UT_P208-016</t>
        </is>
      </c>
      <c r="C23" s="5" t="inlineStr">
        <is>
          <t>AttemptTable</t>
        </is>
      </c>
      <c r="D23" s="4" t="inlineStr">
        <is>
          <t>正常系</t>
        </is>
      </c>
      <c r="E23" s="4" t="inlineStr">
        <is>
          <t>境界値</t>
        </is>
      </c>
      <c r="F23" s="5" t="inlineStr">
        <is>
          <t>試行が無ければ「試行はありません」を出す</t>
        </is>
      </c>
      <c r="G23" s="5" t="inlineStr">
        <is>
          <t>前提：なし
入力：attempts []</t>
        </is>
      </c>
      <c r="H23" s="5" t="inlineStr">
        <is>
          <t>その文言</t>
        </is>
      </c>
      <c r="I23" s="5" t="inlineStr"/>
      <c r="J23" s="5" t="inlineStr">
        <is>
          <t>なし</t>
        </is>
      </c>
      <c r="K23" s="5" t="inlineStr"/>
      <c r="L23" s="5" t="inlineStr"/>
      <c r="M23" s="5" t="inlineStr">
        <is>
          <t>TC-UT_P208-016 試行が無ければ「試行はありません」を出す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</t>
        </is>
      </c>
    </row>
    <row r="24">
      <c r="A24" s="4" t="n">
        <v>20</v>
      </c>
      <c r="B24" s="4" t="inlineStr">
        <is>
          <t>TC-UT_P208-017</t>
        </is>
      </c>
      <c r="C24" s="5" t="inlineStr">
        <is>
          <t>ConsistencyFlags</t>
        </is>
      </c>
      <c r="D24" s="4" t="inlineStr">
        <is>
          <t>正常系</t>
        </is>
      </c>
      <c r="E24" s="4" t="inlineStr">
        <is>
          <t>分岐網羅</t>
        </is>
      </c>
      <c r="F24" s="5" t="inlineStr">
        <is>
          <t>矛盾の候補が null・0 件なら「なし」、内容が空なら括弧を付けない</t>
        </is>
      </c>
      <c r="G24" s="5" t="inlineStr">
        <is>
          <t>前提：なし
入力：null、[]、[{ C02, detail "" }]</t>
        </is>
      </c>
      <c r="H24" s="5" t="inlineStr">
        <is>
          <t>「なし」2 回、「C02：過去の発言の繰り返し」で括弧なし</t>
        </is>
      </c>
      <c r="I24" s="5" t="inlineStr">
        <is>
          <t>B33-T, B33-F, B34-F</t>
        </is>
      </c>
      <c r="J24" s="5" t="inlineStr">
        <is>
          <t>なし</t>
        </is>
      </c>
      <c r="K24" s="5" t="inlineStr"/>
      <c r="L24" s="5" t="inlineStr"/>
      <c r="M24" s="5" t="inlineStr">
        <is>
          <t>TC-UT_P208-017 矛盾の候補が null・0 件なら「なし」、内容が空なら括弧を付けない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</t>
        </is>
      </c>
    </row>
    <row r="25">
      <c r="A25" s="4" t="n">
        <v>21</v>
      </c>
      <c r="B25" s="4" t="inlineStr">
        <is>
          <t>TC-UT_P208-018</t>
        </is>
      </c>
      <c r="C25" s="5" t="inlineStr">
        <is>
          <t>describeFlag</t>
        </is>
      </c>
      <c r="D25" s="4" t="inlineStr">
        <is>
          <t>異常系</t>
        </is>
      </c>
      <c r="E25" s="4" t="inlineStr">
        <is>
          <t>同値分割</t>
        </is>
      </c>
      <c r="F25" s="5" t="inlineStr">
        <is>
          <t>知らないコードは、そのままのコードを説明として返す</t>
        </is>
      </c>
      <c r="G25" s="5" t="inlineStr">
        <is>
          <t>前提：なし
入力："C99"</t>
        </is>
      </c>
      <c r="H25" s="5" t="inlineStr">
        <is>
          <t>"C99"</t>
        </is>
      </c>
      <c r="I25" s="5" t="inlineStr">
        <is>
          <t>B31-T, B32-T</t>
        </is>
      </c>
      <c r="J25" s="5" t="inlineStr">
        <is>
          <t>なし</t>
        </is>
      </c>
      <c r="K25" s="5" t="inlineStr"/>
      <c r="L25" s="5" t="inlineStr"/>
      <c r="M25" s="5" t="inlineStr">
        <is>
          <t>TC-UT_P208-018 知らないコードは、そのままのコードを説明として返す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TC-UT_P208-019</t>
        </is>
      </c>
      <c r="C26" s="5" t="inlineStr">
        <is>
          <t>ResultPostCard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生成された投稿が無ければ「なし」、非表示の投稿は「非表示」と出し、本文の HTML は文字のまま出す</t>
        </is>
      </c>
      <c r="G26" s="5" t="inlineStr">
        <is>
          <t>前提：MemoryRouter の中で描く
入力：post null、{ body "&lt;b&gt;本文&lt;/b&gt;", hidden }</t>
        </is>
      </c>
      <c r="H26" s="5" t="inlineStr">
        <is>
          <t>「なし」、「非表示」、本文はそのままの文字で b 要素なし</t>
        </is>
      </c>
      <c r="I26" s="5" t="inlineStr">
        <is>
          <t>B35-T, B35-F</t>
        </is>
      </c>
      <c r="J26" s="5" t="inlineStr">
        <is>
          <t>なし</t>
        </is>
      </c>
      <c r="K26" s="5" t="inlineStr"/>
      <c r="L26" s="5" t="inlineStr"/>
      <c r="M26" s="5" t="inlineStr">
        <is>
          <t>TC-UT_P208-019 生成された投稿が無ければ「なし」、非表示の投稿は「非表示」と出し、本文の HTML は文字のまま出す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TC-NOUS71_DEV-12（公開の投稿だけ）</t>
        </is>
      </c>
    </row>
    <row r="27">
      <c r="A27" s="4" t="n">
        <v>23</v>
      </c>
      <c r="B27" s="4" t="inlineStr">
        <is>
          <t>TC-UT_P208-020</t>
        </is>
      </c>
      <c r="C27" s="5" t="inlineStr">
        <is>
          <t>buildModerationPath</t>
        </is>
      </c>
      <c r="D27" s="4" t="inlineStr">
        <is>
          <t>正常系</t>
        </is>
      </c>
      <c r="E27" s="4" t="inlineStr">
        <is>
          <t>同値分割</t>
        </is>
      </c>
      <c r="F27" s="5" t="inlineStr">
        <is>
          <t>非表示管理への URL は、投稿 ID を URL に使える形にして付ける</t>
        </is>
      </c>
      <c r="G27" s="5" t="inlineStr">
        <is>
          <t>前提：なし
入力："a b/c"</t>
        </is>
      </c>
      <c r="H27" s="5" t="inlineStr">
        <is>
          <t>"/moderation?postId=a%20b%2Fc"</t>
        </is>
      </c>
      <c r="I27" s="5" t="inlineStr"/>
      <c r="J27" s="5" t="inlineStr">
        <is>
          <t>なし</t>
        </is>
      </c>
      <c r="K27" s="5" t="inlineStr"/>
      <c r="L27" s="5" t="inlineStr"/>
      <c r="M27" s="5" t="inlineStr">
        <is>
          <t>TC-UT_P208-020 非表示管理への URL は、投稿 ID を URL に使える形にして付ける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TC-NOUS71_DEV-12（ULID だけ）</t>
        </is>
      </c>
    </row>
    <row r="28">
      <c r="A28" s="4" t="n">
        <v>24</v>
      </c>
      <c r="B28" s="4" t="inlineStr">
        <is>
          <t>TC-UT_P208-024</t>
        </is>
      </c>
      <c r="C28" s="5" t="inlineStr">
        <is>
          <t>EventSummary</t>
        </is>
      </c>
      <c r="D28" s="4" t="inlineStr">
        <is>
          <t>異常系</t>
        </is>
      </c>
      <c r="E28" s="4" t="inlineStr">
        <is>
          <t>依存</t>
        </is>
      </c>
      <c r="F28" s="5" t="inlineStr">
        <is>
          <t>クリップボードに写せなかったときは「コピー済み」にするが、「コピーしました」は出さない</t>
        </is>
      </c>
      <c r="G28" s="5" t="inlineStr">
        <is>
          <t>前提：成功した詳細。writeText が reject
入力：コピーを押す</t>
        </is>
      </c>
      <c r="H28" s="5" t="inlineStr">
        <is>
          <t>「コピー済み」、トーストなし</t>
        </is>
      </c>
      <c r="I28" s="5" t="inlineStr">
        <is>
          <t>B8-T, B9-T, B11-F, B12-T</t>
        </is>
      </c>
      <c r="J28" s="5" t="inlineStr">
        <is>
          <t>fetch を mockFetch で差し替え（session・world は成功）、navigator.clipboard を差し替え（reject）</t>
        </is>
      </c>
      <c r="K28" s="5" t="inlineStr"/>
      <c r="L28" s="5" t="inlineStr"/>
      <c r="M28" s="5" t="inlineStr">
        <is>
          <t>TC-UT_P208-024 クリップボードに写せなかったときは「コピー済み」にするが、「コピーしました」は出さない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
設計書 4章（使えなければ選択状態にする）。トーストを出さないのは実装の値</t>
        </is>
      </c>
    </row>
    <row r="29">
      <c r="A29" s="4" t="n">
        <v>25</v>
      </c>
      <c r="B29" s="4" t="inlineStr">
        <is>
          <t>TC-UT_P208-025</t>
        </is>
      </c>
      <c r="C29" s="5" t="inlineStr">
        <is>
          <t>InputSection</t>
        </is>
      </c>
      <c r="D29" s="4" t="inlineStr">
        <is>
          <t>正常系</t>
        </is>
      </c>
      <c r="E29" s="4" t="inlineStr">
        <is>
          <t>同値分割</t>
        </is>
      </c>
      <c r="F29" s="5" t="inlineStr">
        <is>
          <t>属性の値は、null を「―」、真偽値を文字に、オブジェクトを JSON にして出す</t>
        </is>
      </c>
      <c r="G29" s="5" t="inlineStr">
        <is>
          <t>前提：なし
入力：inputAttributes { bio: null, flag: true, extra: { a: 1 } }</t>
        </is>
      </c>
      <c r="H29" s="5" t="inlineStr">
        <is>
          <t>自己紹介／―、flag／true、extra／{"a":1}</t>
        </is>
      </c>
      <c r="I29" s="5" t="inlineStr">
        <is>
          <t>B15-T, B16-F, B17-T, B17-F, B22-T, B22-F</t>
        </is>
      </c>
      <c r="J29" s="5" t="inlineStr">
        <is>
          <t>なし</t>
        </is>
      </c>
      <c r="K29" s="5" t="inlineStr"/>
      <c r="L29" s="5" t="inlineStr"/>
      <c r="M29" s="5" t="inlineStr">
        <is>
          <t>TC-UT_P208-025 属性の値は、null を「―」、真偽値を文字に、オブジェクトを JSON にして出す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
サーバーは文字列と数だけを入れる。null・真偽値・オブジェクトは防御のための分岐</t>
        </is>
      </c>
    </row>
    <row r="30">
      <c r="A30" s="4" t="n">
        <v>26</v>
      </c>
      <c r="B30" s="4" t="inlineStr">
        <is>
          <t>TC-UT_P208-021</t>
        </is>
      </c>
      <c r="C30" s="5" t="inlineStr">
        <is>
          <t>GenerationDetailPage</t>
        </is>
      </c>
      <c r="D30" s="4" t="inlineStr">
        <is>
          <t>異常系</t>
        </is>
      </c>
      <c r="E30" s="4" t="inlineStr">
        <is>
          <t>エラー処理</t>
        </is>
      </c>
      <c r="F30" s="5" t="inlineStr">
        <is>
          <t>詳細の取得が 500 なら「生成ログを取得できませんでした」をポップアップで出す（様式①）</t>
        </is>
      </c>
      <c r="G30" s="5" t="inlineStr">
        <is>
          <t>前提：詳細の API が 500
入力：/generations/{id}</t>
        </is>
      </c>
      <c r="H30" s="5" t="inlineStr">
        <is>
          <t>ポップアップの文言。見つからない画面は出さない</t>
        </is>
      </c>
      <c r="I30" s="5" t="inlineStr">
        <is>
          <t>B1-F, B2-F, B3-T, B4-F, B5-F</t>
        </is>
      </c>
      <c r="J30" s="5" t="inlineStr">
        <is>
          <t>fetch を mockFetch で差し替え（session・world は成功）</t>
        </is>
      </c>
      <c r="K30" s="5" t="inlineStr"/>
      <c r="L30" s="5" t="inlineStr"/>
      <c r="M30" s="5" t="inlineStr">
        <is>
          <t>TC-UT_P208-021 詳細の取得が 500 なら「生成ログを取得できませんでした」をポップアップで出す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TC-UT_P208-022</t>
        </is>
      </c>
      <c r="C31" s="5" t="inlineStr">
        <is>
          <t>GenerationDetailPage</t>
        </is>
      </c>
      <c r="D31" s="4" t="inlineStr">
        <is>
          <t>異常系</t>
        </is>
      </c>
      <c r="E31" s="4" t="inlineStr">
        <is>
          <t>エラー処理</t>
        </is>
      </c>
      <c r="F31" s="5" t="inlineStr">
        <is>
          <t>詳細の取得が 401 ならセッション切れのポップアップを出す</t>
        </is>
      </c>
      <c r="G31" s="5" t="inlineStr">
        <is>
          <t>前提：詳細の API が 401
入力：/generations/{id}</t>
        </is>
      </c>
      <c r="H31" s="5" t="inlineStr">
        <is>
          <t>セッション切れの文言</t>
        </is>
      </c>
      <c r="I31" s="5" t="inlineStr">
        <is>
          <t>B2-F, B3-F</t>
        </is>
      </c>
      <c r="J31" s="5" t="inlineStr">
        <is>
          <t>fetch を mockFetch で差し替え（session・world は成功）</t>
        </is>
      </c>
      <c r="K31" s="5" t="inlineStr"/>
      <c r="L31" s="5" t="inlineStr"/>
      <c r="M31" s="5" t="inlineStr">
        <is>
          <t>TC-UT_P208-022 詳細の取得が 401 ならセッション切れのポップアップを出す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TC-UT_P208-023</t>
        </is>
      </c>
      <c r="C32" s="5" t="inlineStr">
        <is>
          <t>GenerationDetailPage</t>
        </is>
      </c>
      <c r="D32" s="4" t="inlineStr">
        <is>
          <t>異常系</t>
        </is>
      </c>
      <c r="E32" s="4" t="inlineStr">
        <is>
          <t>分岐網羅</t>
        </is>
      </c>
      <c r="F32" s="5" t="inlineStr">
        <is>
          <t>404 なら、コードが EVENT_NOT_FOUND でなくても「生成イベントが見つかりません」を出し、ポップアップは出さない</t>
        </is>
      </c>
      <c r="G32" s="5" t="inlineStr">
        <is>
          <t>前提：詳細の API が 404 NOT_FOUND
入力：/generations/{id}</t>
        </is>
      </c>
      <c r="H32" s="5" t="inlineStr">
        <is>
          <t>見つからない画面。dialog なし</t>
        </is>
      </c>
      <c r="I32" s="5" t="inlineStr">
        <is>
          <t>B1-T, B2-T, B4-T</t>
        </is>
      </c>
      <c r="J32" s="5" t="inlineStr">
        <is>
          <t>fetch を mockFetch で差し替え（session・world は成功）</t>
        </is>
      </c>
      <c r="K32" s="5" t="inlineStr"/>
      <c r="L32" s="5" t="inlineStr"/>
      <c r="M32" s="5" t="inlineStr">
        <is>
          <t>TC-UT_P208-023 404 なら、コードが EVENT_NOT_FOUND でなくても「生成イベントが見つかりません」を出し、ポップアップは出さない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TC-NOUS71_DEV-13（EVENT_NOT_FOUND だけ）</t>
        </is>
      </c>
    </row>
  </sheetData>
  <autoFilter ref="A4:Q32"/>
  <conditionalFormatting sqref="A5:Q82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2" showDropDown="0" showInputMessage="0" showErrorMessage="0" allowBlank="1" type="list">
      <formula1>"未実施,OK,NG,保留,対象外"</formula1>
    </dataValidation>
    <dataValidation sqref="D5:D82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COUNTA(観点表!$B$5:$B$82)</f>
        <v/>
      </c>
    </row>
    <row r="6">
      <c r="A6" s="10" t="inlineStr">
        <is>
          <t>正常系</t>
        </is>
      </c>
      <c r="B6" s="10">
        <f>COUNTIF(観点表!$D$5:$D$82,"正常系")</f>
        <v/>
      </c>
    </row>
    <row r="7">
      <c r="A7" s="10" t="inlineStr">
        <is>
          <t>異常系</t>
        </is>
      </c>
      <c r="B7" s="10">
        <f>COUNTIF(観点表!$D$5:$D$82,"異常系")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COUNTIF(観点表!$E$5:$E$82,"エラー処理")</f>
        <v/>
      </c>
    </row>
    <row r="11">
      <c r="A11" s="10" t="inlineStr">
        <is>
          <t>依存</t>
        </is>
      </c>
      <c r="B11" s="10">
        <f>COUNTIF(観点表!$E$5:$E$82,"依存")</f>
        <v/>
      </c>
    </row>
    <row r="12">
      <c r="A12" s="10" t="inlineStr">
        <is>
          <t>分岐網羅</t>
        </is>
      </c>
      <c r="B12" s="10">
        <f>COUNTIF(観点表!$E$5:$E$82,"分岐網羅")</f>
        <v/>
      </c>
    </row>
    <row r="13">
      <c r="A13" s="10" t="inlineStr">
        <is>
          <t>同値分割</t>
        </is>
      </c>
      <c r="B13" s="10">
        <f>COUNTIF(観点表!$E$5:$E$82,"同値分割")</f>
        <v/>
      </c>
    </row>
    <row r="14">
      <c r="A14" s="10" t="inlineStr">
        <is>
          <t>境界値</t>
        </is>
      </c>
      <c r="B14" s="10">
        <f>COUNTIF(観点表!$E$5:$E$82,"境界値")</f>
        <v/>
      </c>
    </row>
    <row r="15">
      <c r="A15" s="10" t="inlineStr">
        <is>
          <t>状態遷移</t>
        </is>
      </c>
      <c r="B15" s="10">
        <f>COUNTIF(観点表!$E$5:$E$82,"状態遷移")</f>
        <v/>
      </c>
    </row>
    <row r="16">
      <c r="A16" s="10" t="inlineStr">
        <is>
          <t>開発者テスト</t>
        </is>
      </c>
      <c r="B16" s="10">
        <f>COUNTIF(観点表!$E$5:$E$82,"開発者テスト")</f>
        <v/>
      </c>
    </row>
    <row r="18">
      <c r="A18" s="8" t="inlineStr">
        <is>
          <t>テストデータ</t>
        </is>
      </c>
      <c r="B18" s="9" t="n"/>
      <c r="C18" s="9" t="n"/>
    </row>
    <row r="19">
      <c r="A19" s="10" t="inlineStr">
        <is>
          <t>作成済み</t>
        </is>
      </c>
      <c r="B19" s="10">
        <f>COUNTIF(観点表!$K$5:$K$82,"?*")</f>
        <v/>
      </c>
    </row>
    <row r="20">
      <c r="A20" s="10" t="inlineStr">
        <is>
          <t>未作成</t>
        </is>
      </c>
      <c r="B20" s="10">
        <f>B5-B19</f>
        <v/>
      </c>
    </row>
    <row r="22">
      <c r="A22" s="8" t="inlineStr">
        <is>
          <t>実施状況</t>
        </is>
      </c>
      <c r="B22" s="9" t="n"/>
      <c r="C22" s="9" t="n"/>
    </row>
    <row r="23">
      <c r="A23" s="10" t="inlineStr">
        <is>
          <t>未実施</t>
        </is>
      </c>
      <c r="B23" s="10">
        <f>COUNTIF(観点表!$N$5:$N$82,"未実施")</f>
        <v/>
      </c>
    </row>
    <row r="24">
      <c r="A24" s="10" t="inlineStr">
        <is>
          <t>OK</t>
        </is>
      </c>
      <c r="B24" s="10">
        <f>COUNTIF(観点表!$N$5:$N$82,"OK")</f>
        <v/>
      </c>
    </row>
    <row r="25">
      <c r="A25" s="10" t="inlineStr">
        <is>
          <t>NG</t>
        </is>
      </c>
      <c r="B25" s="10">
        <f>COUNTIF(観点表!$N$5:$N$82,"NG")</f>
        <v/>
      </c>
    </row>
    <row r="26">
      <c r="A26" s="10" t="inlineStr">
        <is>
          <t>保留</t>
        </is>
      </c>
      <c r="B26" s="10">
        <f>COUNTIF(観点表!$N$5:$N$82,"保留")</f>
        <v/>
      </c>
    </row>
    <row r="27">
      <c r="A27" s="10" t="inlineStr">
        <is>
          <t>対象外</t>
        </is>
      </c>
      <c r="B27" s="10">
        <f>COUNTIF(観点表!$N$5:$N$82,"対象外")</f>
        <v/>
      </c>
    </row>
    <row r="28">
      <c r="A28" s="10" t="inlineStr">
        <is>
          <t>消化率（未実施以外 / 総数）</t>
        </is>
      </c>
      <c r="B28" s="11">
        <f>IF(B5=0,0,(B5-B23)/B5)</f>
        <v/>
      </c>
    </row>
    <row r="29">
      <c r="A29" s="10" t="inlineStr">
        <is>
          <t>合格率（OK / (総数-対象外)）</t>
        </is>
      </c>
      <c r="B29" s="11">
        <f>IF(B5-B27=0,0,B24/(B5-B27))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TC-NOUS71_DEV-09</t>
        </is>
      </c>
      <c r="B5" s="13" t="inlineStr">
        <is>
          <t>C01〜C04 を日本語の説明に変える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TC-NOUS71_DEV-12</t>
        </is>
      </c>
      <c r="B6" s="13" t="inlineStr">
        <is>
          <t>プロンプトの開閉・試行・矛盾の候補・生成された投稿を描画する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TC-NOUS71_DEV-13</t>
        </is>
      </c>
      <c r="B7" s="13" t="inlineStr">
        <is>
          <t>404 EVENT_NOT_FOUND のときは「生成イベントが見つかりません」と一覧へのリンクを表示する（様式③）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TC-UT_P208-001</t>
        </is>
      </c>
      <c r="B8" s="13" t="inlineStr">
        <is>
          <t>日時は JST の「YYYY-MM-DD HH:MM:SS」で出し、無いときは「―」、読めない値はそのまま出す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TC-UT_P208-002</t>
        </is>
      </c>
      <c r="B9" s="13" t="inlineStr">
        <is>
          <t>クリップボードが使えれば実行 ID を写して true を返す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TC-UT_P208-003</t>
        </is>
      </c>
      <c r="B10" s="13" t="inlineStr">
        <is>
          <t>クリップボードへの書き込みが失敗したら、実行 ID の要素を選択状態にして false を返す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TC-UT_P208-004</t>
        </is>
      </c>
      <c r="B11" s="13" t="inlineStr">
        <is>
          <t>クリップボードも選択する要素も無ければ、例外にせず false を返す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TC-UT_P208-005</t>
        </is>
      </c>
      <c r="B12" s="13" t="inlineStr">
        <is>
          <t>「コピー」を押すと「コピー済み」と「コピーしました」を出し、2 秒後に「コピー」に戻す（E02）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TC-UT_P208-006</t>
        </is>
      </c>
      <c r="B13" s="13" t="inlineStr">
        <is>
          <t>概要に @ハンドル・巡と種・モデルと版・利用量（3 桁区切りと小数 1 桁、0 円）・時刻を出し、終了が無ければ「―」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TC-UT_P208-007</t>
        </is>
      </c>
      <c r="B14" s="13" t="inlineStr">
        <is>
          <t>参加しない（gate）の生成イベントは、行動・モデル・版を「―」、決め方を「参加しない」と出す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TC-UT_P208-008</t>
        </is>
      </c>
      <c r="B15" s="13" t="inlineStr">
        <is>
          <t>入力に用いた属性は、サーバーが送る項目名（display_name・values_text・activity_level）も日本語の項目名で出す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TC-UT_P208-009</t>
        </is>
      </c>
      <c r="B16" s="13" t="inlineStr">
        <is>
          <t>参加しない（gate）の生成イベントは、行動の候補・記憶・参照した投稿を出さない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TC-UT_P208-010</t>
        </is>
      </c>
      <c r="B17" s="13" t="inlineStr">
        <is>
          <t>記憶は kind・type・番号の順で種類を決め、content・text・summary の順で内容を出す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TC-UT_P208-011</t>
        </is>
      </c>
      <c r="B18" s="13" t="inlineStr">
        <is>
          <t>LLM の生成で記憶・参照した投稿・候補が無ければ、それぞれ「ありません」「なし」と出す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TC-UT_P208-012</t>
        </is>
      </c>
      <c r="B19" s="13" t="inlineStr">
        <is>
          <t>入力の全文が無ければ開閉のボタンを出さず「なし（LLM を呼んでいません）」、出力が無ければ「なし」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TC-UT_P208-013</t>
        </is>
      </c>
      <c r="B20" s="13" t="inlineStr">
        <is>
          <t>折りたたみ中は字数をコードポイントで出し、ボタンを 2 回押すと閉じる（E03）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TC-UT_P208-014</t>
        </is>
      </c>
      <c r="B21" s="13" t="inlineStr">
        <is>
          <t>入力・出力の全文に HTML があっても、文字のまま出して要素にしない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TC-UT_P208-015</t>
        </is>
      </c>
      <c r="B22" s="13" t="inlineStr">
        <is>
          <t>試行の表は、不正な形式の試行にも Neurons を出し、HTTP とエラーの内容が無ければ「―」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TC-UT_P208-016</t>
        </is>
      </c>
      <c r="B23" s="13" t="inlineStr">
        <is>
          <t>試行が無ければ「試行はありません」を出す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TC-UT_P208-017</t>
        </is>
      </c>
      <c r="B24" s="13" t="inlineStr">
        <is>
          <t>矛盾の候補が null・0 件なら「なし」、内容が空なら括弧を付けない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TC-UT_P208-018</t>
        </is>
      </c>
      <c r="B25" s="13" t="inlineStr">
        <is>
          <t>知らないコードは、そのままのコードを説明として返す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TC-UT_P208-019</t>
        </is>
      </c>
      <c r="B26" s="13" t="inlineStr">
        <is>
          <t>生成された投稿が無ければ「なし」、非表示の投稿は「非表示」と出し、本文の HTML は文字のまま出す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TC-UT_P208-020</t>
        </is>
      </c>
      <c r="B27" s="13" t="inlineStr">
        <is>
          <t>非表示管理への URL は、投稿 ID を URL に使える形にして付ける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TC-UT_P208-024</t>
        </is>
      </c>
      <c r="B28" s="13" t="inlineStr">
        <is>
          <t>クリップボードに写せなかったときは「コピー済み」にするが、「コピーしました」は出さない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TC-UT_P208-025</t>
        </is>
      </c>
      <c r="B29" s="13" t="inlineStr">
        <is>
          <t>属性の値は、null を「―」、真偽値を文字に、オブジェクトを JSON にして出す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TC-UT_P208-021</t>
        </is>
      </c>
      <c r="B30" s="13" t="inlineStr">
        <is>
          <t>詳細の取得が 500 なら「生成ログを取得できませんでした」をポップアップで出す（様式①）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TC-UT_P208-022</t>
        </is>
      </c>
      <c r="B31" s="13" t="inlineStr">
        <is>
          <t>詳細の取得が 401 ならセッション切れのポップアップを出す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TC-UT_P208-023</t>
        </is>
      </c>
      <c r="B32" s="13" t="inlineStr">
        <is>
          <t>404 なら、コードが EVENT_NOT_FOUND でなくても「生成イベントが見つかりません」を出し、ポップアップは出さない</t>
        </is>
      </c>
      <c r="C32" s="13" t="inlineStr">
        <is>
          <t>未作成</t>
        </is>
      </c>
      <c r="D32" s="13" t="inlineStr"/>
      <c r="E32" s="13" t="inlineStr"/>
      <c r="F32" s="13" t="inlineStr"/>
    </row>
  </sheetData>
  <autoFilter ref="A4:F3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P208 生成ログ詳細（GenerationDetailPage・pages/generations の概要・入力・全文・試行・矛盾・投稿）</t>
        </is>
      </c>
    </row>
    <row r="4">
      <c r="A4" s="14" t="inlineStr">
        <is>
          <t>対象ファイル</t>
        </is>
      </c>
      <c r="B4" s="15" t="inlineStr">
        <is>
          <t>apps/admin/src/pages/GenerationDetailPage.tsx, apps/admin/src/pages/generations/EventSummary.tsx, apps/admin/src/pages/generations/InputSection.tsx, apps/admin/src/pages/generations/PromptViewer.tsx, apps/admin/src/pages/generations/AttemptTable.tsx, apps/admin/src/pages/generations/ConsistencyFlags.tsx, apps/admin/src/pages/generations/ResultPostCard.tsx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apps/admin/src/pages/generations/generations.test.tsx（実装時、NOUS-71）, apps/admin/src/pages/generations/generations.ut.test.tsx（単体テストで追加）</t>
        </is>
      </c>
    </row>
    <row r="7">
      <c r="A7" s="14" t="inlineStr">
        <is>
          <t>外部依存</t>
        </is>
      </c>
      <c r="B7" s="15" t="inlineStr">
        <is>
          <t>管理 API（fetch。mockFetch で差し替える）, クリップボード（navigator.clipboard を差し替える）, 時計（コピーの表示の 2 秒は vi.useFakeTimers で進める）, react-router（renderApp・MemoryRouter）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isNotFound（ApiError で status 404 または code EVENT_NOT_FOUND）</t>
        </is>
      </c>
      <c r="C11" s="17" t="inlineStr">
        <is>
          <t>GenerationDetailPage.tsx:34-37</t>
        </is>
      </c>
    </row>
    <row r="12">
      <c r="A12" s="17" t="inlineStr">
        <is>
          <t>B2</t>
        </is>
      </c>
      <c r="B12" s="17" t="inlineStr">
        <is>
          <t>!query.isError || !query.error || isNotFound（ポップアップを出さない）</t>
        </is>
      </c>
      <c r="C12" s="17" t="inlineStr">
        <is>
          <t>GenerationDetailPage.tsx:40</t>
        </is>
      </c>
    </row>
    <row r="13">
      <c r="A13" s="17" t="inlineStr">
        <is>
          <t>B3</t>
        </is>
      </c>
      <c r="B13" s="17" t="inlineStr">
        <is>
          <t>ApiError で status &gt;= 500、または NetworkError</t>
        </is>
      </c>
      <c r="C13" s="17" t="inlineStr">
        <is>
          <t>GenerationDetailPage.tsx:41</t>
        </is>
      </c>
    </row>
    <row r="14">
      <c r="A14" s="17" t="inlineStr">
        <is>
          <t>B4</t>
        </is>
      </c>
      <c r="B14" s="17" t="inlineStr">
        <is>
          <t>isNotFound（見つからない画面を描く）</t>
        </is>
      </c>
      <c r="C14" s="17" t="inlineStr">
        <is>
          <t>GenerationDetailPage.tsx:55</t>
        </is>
      </c>
    </row>
    <row r="15">
      <c r="A15" s="17" t="inlineStr">
        <is>
          <t>B5</t>
        </is>
      </c>
      <c r="B15" s="17" t="inlineStr">
        <is>
          <t>data（詳細を描く）</t>
        </is>
      </c>
      <c r="C15" s="17" t="inlineStr">
        <is>
          <t>GenerationDetailPage.tsx:85</t>
        </is>
      </c>
    </row>
    <row r="16">
      <c r="A16" s="17" t="inlineStr">
        <is>
          <t>B6</t>
        </is>
      </c>
      <c r="B16" s="17" t="inlineStr">
        <is>
          <t>!iso（formatDateTimeJst）</t>
        </is>
      </c>
      <c r="C16" s="17" t="inlineStr">
        <is>
          <t>EventSummary.tsx:16</t>
        </is>
      </c>
    </row>
    <row r="17">
      <c r="A17" s="17" t="inlineStr">
        <is>
          <t>B7</t>
        </is>
      </c>
      <c r="B17" s="17" t="inlineStr">
        <is>
          <t>Number.isNaN(ms)（formatDateTimeJst）</t>
        </is>
      </c>
      <c r="C17" s="17" t="inlineStr">
        <is>
          <t>EventSummary.tsx:18</t>
        </is>
      </c>
    </row>
    <row r="18">
      <c r="A18" s="17" t="inlineStr">
        <is>
          <t>B8</t>
        </is>
      </c>
      <c r="B18" s="17" t="inlineStr">
        <is>
          <t>navigator.clipboard.writeText がある</t>
        </is>
      </c>
      <c r="C18" s="17" t="inlineStr">
        <is>
          <t>EventSummary.tsx:26</t>
        </is>
      </c>
    </row>
    <row r="19">
      <c r="A19" s="17" t="inlineStr">
        <is>
          <t>B9</t>
        </is>
      </c>
      <c r="B19" s="17" t="inlineStr">
        <is>
          <t>writeText が例外（catch）</t>
        </is>
      </c>
      <c r="C19" s="17" t="inlineStr">
        <is>
          <t>EventSummary.tsx:30</t>
        </is>
      </c>
    </row>
    <row r="20">
      <c r="A20" s="17" t="inlineStr">
        <is>
          <t>B10</t>
        </is>
      </c>
      <c r="B20" s="17" t="inlineStr">
        <is>
          <t>targetElement &amp;&amp; getSelection（選択状態にする）</t>
        </is>
      </c>
      <c r="C20" s="17" t="inlineStr">
        <is>
          <t>EventSummary.tsx:33</t>
        </is>
      </c>
    </row>
    <row r="21">
      <c r="A21" s="17" t="inlineStr">
        <is>
          <t>B11</t>
        </is>
      </c>
      <c r="B21" s="17" t="inlineStr">
        <is>
          <t>ok（トーストを出す）</t>
        </is>
      </c>
      <c r="C21" s="17" t="inlineStr">
        <is>
          <t>EventSummary.tsx:62</t>
        </is>
      </c>
    </row>
    <row r="22">
      <c r="A22" s="17" t="inlineStr">
        <is>
          <t>B12</t>
        </is>
      </c>
      <c r="B22" s="17" t="inlineStr">
        <is>
          <t>copied（「コピー済み」）</t>
        </is>
      </c>
      <c r="C22" s="17" t="inlineStr">
        <is>
          <t>EventSummary.tsx:98</t>
        </is>
      </c>
    </row>
    <row r="23">
      <c r="A23" s="17" t="inlineStr">
        <is>
          <t>B13</t>
        </is>
      </c>
      <c r="B23" s="17" t="inlineStr">
        <is>
          <t>action ?? "―"</t>
        </is>
      </c>
      <c r="C23" s="17" t="inlineStr">
        <is>
          <t>EventSummary.tsx:123</t>
        </is>
      </c>
    </row>
    <row r="24">
      <c r="A24" s="17" t="inlineStr">
        <is>
          <t>B14</t>
        </is>
      </c>
      <c r="B24" s="17" t="inlineStr">
        <is>
          <t>modelId ?? "―"・promptVersion ?? "―"</t>
        </is>
      </c>
      <c r="C24" s="17" t="inlineStr">
        <is>
          <t>EventSummary.tsx:136</t>
        </is>
      </c>
    </row>
    <row r="25">
      <c r="A25" s="17" t="inlineStr">
        <is>
          <t>B15</t>
        </is>
      </c>
      <c r="B25" s="17" t="inlineStr">
        <is>
          <t>value が null・undefined（formatJsonValue）</t>
        </is>
      </c>
      <c r="C25" s="17" t="inlineStr">
        <is>
          <t>InputSection.tsx:26</t>
        </is>
      </c>
    </row>
    <row r="26">
      <c r="A26" s="17" t="inlineStr">
        <is>
          <t>B16</t>
        </is>
      </c>
      <c r="B26" s="17" t="inlineStr">
        <is>
          <t>typeof value === "string"</t>
        </is>
      </c>
      <c r="C26" s="17" t="inlineStr">
        <is>
          <t>InputSection.tsx:27</t>
        </is>
      </c>
    </row>
    <row r="27">
      <c r="A27" s="17" t="inlineStr">
        <is>
          <t>B17</t>
        </is>
      </c>
      <c r="B27" s="17" t="inlineStr">
        <is>
          <t>number・boolean（それ以外は JSON.stringify）</t>
        </is>
      </c>
      <c r="C27" s="17" t="inlineStr">
        <is>
          <t>InputSection.tsx:28</t>
        </is>
      </c>
    </row>
    <row r="28">
      <c r="A28" s="17" t="inlineStr">
        <is>
          <t>B18</t>
        </is>
      </c>
      <c r="B28" s="17" t="inlineStr">
        <is>
          <t>記憶がオブジェクト（配列でない）</t>
        </is>
      </c>
      <c r="C28" s="17" t="inlineStr">
        <is>
          <t>InputSection.tsx:46</t>
        </is>
      </c>
    </row>
    <row r="29">
      <c r="A29" s="17" t="inlineStr">
        <is>
          <t>B19</t>
        </is>
      </c>
      <c r="B29" s="17" t="inlineStr">
        <is>
          <t>kind → type → #番号</t>
        </is>
      </c>
      <c r="C29" s="17" t="inlineStr">
        <is>
          <t>InputSection.tsx:48</t>
        </is>
      </c>
    </row>
    <row r="30">
      <c r="A30" s="17" t="inlineStr">
        <is>
          <t>B20</t>
        </is>
      </c>
      <c r="B30" s="17" t="inlineStr">
        <is>
          <t>MEMORY_KIND_LABELS[rawKind] ?? rawKind</t>
        </is>
      </c>
      <c r="C30" s="17" t="inlineStr">
        <is>
          <t>InputSection.tsx:49</t>
        </is>
      </c>
    </row>
    <row r="31">
      <c r="A31" s="17" t="inlineStr">
        <is>
          <t>B21</t>
        </is>
      </c>
      <c r="B31" s="17" t="inlineStr">
        <is>
          <t>content → text → summary → JSON</t>
        </is>
      </c>
      <c r="C31" s="17" t="inlineStr">
        <is>
          <t>InputSection.tsx:50-57</t>
        </is>
      </c>
    </row>
    <row r="32">
      <c r="A32" s="17" t="inlineStr">
        <is>
          <t>B22</t>
        </is>
      </c>
      <c r="B32" s="17" t="inlineStr">
        <is>
          <t>ATTRIBUTE_LABELS[key] ?? key</t>
        </is>
      </c>
      <c r="C32" s="17" t="inlineStr">
        <is>
          <t>InputSection.tsx:72</t>
        </is>
      </c>
    </row>
    <row r="33">
      <c r="A33" s="17" t="inlineStr">
        <is>
          <t>B23</t>
        </is>
      </c>
      <c r="B33" s="17" t="inlineStr">
        <is>
          <t>actionCandidates &amp;&amp; length &gt; 0</t>
        </is>
      </c>
      <c r="C33" s="17" t="inlineStr">
        <is>
          <t>InputSection.tsx:113</t>
        </is>
      </c>
    </row>
    <row r="34">
      <c r="A34" s="17" t="inlineStr">
        <is>
          <t>B24</t>
        </is>
      </c>
      <c r="B34" s="17" t="inlineStr">
        <is>
          <t>decidedBy === "llm"（記憶・参照した投稿を出す）</t>
        </is>
      </c>
      <c r="C34" s="17" t="inlineStr">
        <is>
          <t>InputSection.tsx:122</t>
        </is>
      </c>
    </row>
    <row r="35">
      <c r="A35" s="17" t="inlineStr">
        <is>
          <t>B25</t>
        </is>
      </c>
      <c r="B35" s="17" t="inlineStr">
        <is>
          <t>promptText !== null（開閉のボタン）</t>
        </is>
      </c>
      <c r="C35" s="17" t="inlineStr">
        <is>
          <t>PromptViewer.tsx:41</t>
        </is>
      </c>
    </row>
    <row r="36">
      <c r="A36" s="17" t="inlineStr">
        <is>
          <t>B26</t>
        </is>
      </c>
      <c r="B36" s="17" t="inlineStr">
        <is>
          <t>promptText === null</t>
        </is>
      </c>
      <c r="C36" s="17" t="inlineStr">
        <is>
          <t>PromptViewer.tsx:52</t>
        </is>
      </c>
    </row>
    <row r="37">
      <c r="A37" s="17" t="inlineStr">
        <is>
          <t>B27</t>
        </is>
      </c>
      <c r="B37" s="17" t="inlineStr">
        <is>
          <t>expanded</t>
        </is>
      </c>
      <c r="C37" s="17" t="inlineStr">
        <is>
          <t>PromptViewer.tsx:54</t>
        </is>
      </c>
    </row>
    <row r="38">
      <c r="A38" s="17" t="inlineStr">
        <is>
          <t>B28</t>
        </is>
      </c>
      <c r="B38" s="17" t="inlineStr">
        <is>
          <t>outputText === null</t>
        </is>
      </c>
      <c r="C38" s="17" t="inlineStr">
        <is>
          <t>PromptViewer.tsx:65</t>
        </is>
      </c>
    </row>
    <row r="39">
      <c r="A39" s="17" t="inlineStr">
        <is>
          <t>B29</t>
        </is>
      </c>
      <c r="B39" s="17" t="inlineStr">
        <is>
          <t>httpStatus ?? "―"</t>
        </is>
      </c>
      <c r="C39" s="17" t="inlineStr">
        <is>
          <t>AttemptTable.tsx:24</t>
        </is>
      </c>
    </row>
    <row r="40">
      <c r="A40" s="17" t="inlineStr">
        <is>
          <t>B30</t>
        </is>
      </c>
      <c r="B40" s="17" t="inlineStr">
        <is>
          <t>errorDetail ?? "―"</t>
        </is>
      </c>
      <c r="C40" s="17" t="inlineStr">
        <is>
          <t>AttemptTable.tsx:25</t>
        </is>
      </c>
    </row>
    <row r="41">
      <c r="A41" s="17" t="inlineStr">
        <is>
          <t>B31</t>
        </is>
      </c>
      <c r="B41" s="17" t="inlineStr">
        <is>
          <t>typeof flag === "string"（describeFlag）</t>
        </is>
      </c>
      <c r="C41" s="17" t="inlineStr">
        <is>
          <t>ConsistencyFlags.tsx:14</t>
        </is>
      </c>
    </row>
    <row r="42">
      <c r="A42" s="17" t="inlineStr">
        <is>
          <t>B32</t>
        </is>
      </c>
      <c r="B42" s="17" t="inlineStr">
        <is>
          <t>CONSISTENCY_FLAG_LABELS[code] ?? code</t>
        </is>
      </c>
      <c r="C42" s="17" t="inlineStr">
        <is>
          <t>ConsistencyFlags.tsx:15</t>
        </is>
      </c>
    </row>
    <row r="43">
      <c r="A43" s="17" t="inlineStr">
        <is>
          <t>B33</t>
        </is>
      </c>
      <c r="B43" s="17" t="inlineStr">
        <is>
          <t>!flags || flags.length === 0</t>
        </is>
      </c>
      <c r="C43" s="17" t="inlineStr">
        <is>
          <t>ConsistencyFlags.tsx:35</t>
        </is>
      </c>
    </row>
    <row r="44">
      <c r="A44" s="17" t="inlineStr">
        <is>
          <t>B34</t>
        </is>
      </c>
      <c r="B44" s="17" t="inlineStr">
        <is>
          <t>f.detail（括弧で添える）</t>
        </is>
      </c>
      <c r="C44" s="17" t="inlineStr">
        <is>
          <t>ConsistencyFlags.tsx:44</t>
        </is>
      </c>
    </row>
    <row r="45">
      <c r="A45" s="17" t="inlineStr">
        <is>
          <t>B35</t>
        </is>
      </c>
      <c r="B45" s="17" t="inlineStr">
        <is>
          <t>!post（ResultPostCard）</t>
        </is>
      </c>
      <c r="C45" s="17" t="inlineStr">
        <is>
          <t>ResultPostCard.tsx:39</t>
        </is>
      </c>
    </row>
    <row r="47">
      <c r="A47" s="14" t="inlineStr">
        <is>
          <t>確認事項・潜在バグ</t>
        </is>
      </c>
    </row>
    <row r="48" ht="30" customHeight="1">
      <c r="A48" s="18" t="inlineStr">
        <is>
          <t>・疑い 1：InputSection の項目名の表は displayName・valuesText・activityLevel（camelCase）で引くが、サーバーの詳細 API は generation_events.input_attributes をそのまま返し、その中身は promptBuilder の UsedAttributes（display_name・values_text・activity_level、snake_case）である。そのため P208 では表示名・価値観・活動頻度が英語の項目名のまま出る（TC-UT_P208-008）。DEV-12 は camelCase の値で書かれていて、この食い違いを見ていない。</t>
        </is>
      </c>
    </row>
    <row r="49" ht="30" customHeight="1">
      <c r="A49" s="18" t="inlineStr">
        <is>
          <t>・疑い 2：画面基本設計書 H08（行動の候補）は「decided_by が llm のとき」だけ出す項目だが、InputSection は gate でも見出しを出し「なし」と表示する（TC-UT_P208-009）。記憶・参照した投稿は llm のときだけで、設計どおり。</t>
        </is>
      </c>
    </row>
    <row r="50" ht="30" customHeight="1">
      <c r="A50" s="18" t="inlineStr">
        <is>
          <t>・確認事項 3：P208 の様式①の文言は、画面基本設計書が「生成ログを取得できませんでした」（後半なし）、P207 が「…時間をおいて再度お試しください」付きで、画面ごとに違う。実装はどちらも設計どおり。</t>
        </is>
      </c>
    </row>
  </sheetData>
  <mergeCells count="3">
    <mergeCell ref="A50:C50"/>
    <mergeCell ref="A48:C48"/>
    <mergeCell ref="A49:C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2026-10-26T06:11:54Z</dcterms:created>
  <dcterms:modified xsi:type="dcterms:W3CDTF">2026-10-26T06:11:54Z</dcterms:modified>
</cp:coreProperties>
</file>