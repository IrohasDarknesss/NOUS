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'観点表'!$A$4:$Q$37</definedName>
    <definedName name="_xlnm.Print_Titles" localSheetId="0">'観点表'!$4:$4</definedName>
    <definedName name="_xlnm._FilterDatabase" localSheetId="2" hidden="1">'テストデータ'!$A$4:$F$37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P207 生成ログ一覧（GenerationListPage・pages/generations の絞り込み・表・状態バッジ）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TC-NOUS71_DEV-07</t>
        </is>
      </c>
      <c r="C5" s="5" t="inlineStr">
        <is>
          <t>searchByEventId</t>
        </is>
      </c>
      <c r="D5" s="4" t="inlineStr">
        <is>
          <t>異常系</t>
        </is>
      </c>
      <c r="E5" s="4" t="inlineStr">
        <is>
          <t>開発者テスト</t>
        </is>
      </c>
      <c r="F5" s="5" t="inlineStr">
        <is>
          <t>26 字の ULID でなければエラー、合えば /generations/{id} へ移動する</t>
        </is>
      </c>
      <c r="G5" s="5" t="inlineStr">
        <is>
          <t>前提：なし
入力："short"、I を含む 26 字、正しい 26 字</t>
        </is>
      </c>
      <c r="H5" s="5" t="inlineStr">
        <is>
          <t>文言 2 回と navigate なし、正しい ID は navigate</t>
        </is>
      </c>
      <c r="I5" s="5" t="inlineStr">
        <is>
          <t>B18-T, B18-F</t>
        </is>
      </c>
      <c r="J5" s="5" t="inlineStr">
        <is>
          <t>なし</t>
        </is>
      </c>
      <c r="K5" s="5" t="inlineStr"/>
      <c r="L5" s="5" t="inlineStr"/>
      <c r="M5" s="5" t="inlineStr">
        <is>
          <t>TC-NOUS71_DEV-07 searchByEventId：26 字の ULID でなければエラー、合えば /generations/{id} へ移動する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既存テスト：実装時のテスト（NOUS-71）</t>
        </is>
      </c>
    </row>
    <row r="6">
      <c r="A6" s="4" t="n">
        <v>2</v>
      </c>
      <c r="B6" s="4" t="inlineStr">
        <is>
          <t>TC-NOUS71_DEV-08</t>
        </is>
      </c>
      <c r="C6" s="5" t="inlineStr">
        <is>
          <t>toUtcIso / toLocalDateTime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JST の入力と UTC の ISO 8601 を相互に変換する</t>
        </is>
      </c>
      <c r="G6" s="5" t="inlineStr">
        <is>
          <t>前提：なし
入力："2026-10-22T14:20"、undefined、""</t>
        </is>
      </c>
      <c r="H6" s="5" t="inlineStr">
        <is>
          <t>05:20Z と 14:20 の往復、空</t>
        </is>
      </c>
      <c r="I6" s="5" t="inlineStr">
        <is>
          <t>B10-T, B10-F, B11-F, B12-T, B12-F, B13-T, B14-F, B15-F</t>
        </is>
      </c>
      <c r="J6" s="5" t="inlineStr">
        <is>
          <t>なし</t>
        </is>
      </c>
      <c r="K6" s="5" t="inlineStr"/>
      <c r="L6" s="5" t="inlineStr"/>
      <c r="M6" s="5" t="inlineStr">
        <is>
          <t>TC-NOUS71_DEV-08 toUtcIso / toLocalDateTime：JST の入力と UTC の ISO 8601 を相互に変換する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既存テスト：実装時のテスト（NOUS-71）</t>
        </is>
      </c>
    </row>
    <row r="7">
      <c r="A7" s="4" t="n">
        <v>3</v>
      </c>
      <c r="B7" s="4" t="inlineStr">
        <is>
          <t>TC-NOUS71_DEV-10</t>
        </is>
      </c>
      <c r="C7" s="5" t="inlineStr">
        <is>
          <t>StatusBadge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状態ごとの色と文言を出し、失敗のときは failureKind も出す</t>
        </is>
      </c>
      <c r="G7" s="5" t="inlineStr">
        <is>
          <t>前提：なし
入力：succeeded・failed＋invalid_format・cancelled＋cancelled・interrupted・running</t>
        </is>
      </c>
      <c r="H7" s="5" t="inlineStr">
        <is>
          <t>成功・失敗（不正な形式）・取り消し（取り消し）・中断・実行中と各色</t>
        </is>
      </c>
      <c r="I7" s="5" t="inlineStr">
        <is>
          <t>B27-T, B27-F, B28-F</t>
        </is>
      </c>
      <c r="J7" s="5" t="inlineStr">
        <is>
          <t>なし</t>
        </is>
      </c>
      <c r="K7" s="5" t="inlineStr"/>
      <c r="L7" s="5" t="inlineStr"/>
      <c r="M7" s="5" t="inlineStr">
        <is>
          <t>TC-NOUS71_DEV-10 StatusBadge：状態ごとの色と文言を出し、失敗のときは failureKind も出す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既存テスト：実装時のテスト（NOUS-71）</t>
        </is>
      </c>
    </row>
    <row r="8">
      <c r="A8" s="4" t="n">
        <v>4</v>
      </c>
      <c r="B8" s="4" t="inlineStr">
        <is>
          <t>TC-NOUS71_DEV-11</t>
        </is>
      </c>
      <c r="C8" s="5" t="inlineStr">
        <is>
          <t>GenerationListPage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絞り込みの変更が URL の検索パラメータに入り、行クリックで詳細へ遷移する</t>
        </is>
      </c>
      <c r="G8" s="5" t="inlineStr">
        <is>
          <t>前提：エージェント 1 体、生成イベント 1 件
入力：状態 failed、行動 post を選び、行を押す</t>
        </is>
      </c>
      <c r="H8" s="5" t="inlineStr">
        <is>
          <t>URL に status・action、/generations/{id} へ</t>
        </is>
      </c>
      <c r="I8" s="5" t="inlineStr">
        <is>
          <t>B1-T, B2-T, B4-T, B5-F, B6-F, B8-F, B23-F, B24-F, B25-F, B26-T</t>
        </is>
      </c>
      <c r="J8" s="5" t="inlineStr">
        <is>
          <t>fetch を mockFetch で差し替え（session・world は成功）</t>
        </is>
      </c>
      <c r="K8" s="5" t="inlineStr"/>
      <c r="L8" s="5" t="inlineStr"/>
      <c r="M8" s="5" t="inlineStr">
        <is>
          <t>TC-NOUS71_DEV-11 GenerationListPage：絞り込みの変更が URL の検索パラメータに入り、行クリックで詳細へ遷移する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既存テスト：実装時のテスト（NOUS-71）
エージェントの選択肢にも「ミナト」があるため、findByText("ミナト") が複数の要素に当たる可能性がある。issues の確認事項 4</t>
        </is>
      </c>
    </row>
    <row r="9">
      <c r="A9" s="4" t="n">
        <v>5</v>
      </c>
      <c r="B9" s="4" t="inlineStr">
        <is>
          <t>TC-UT_P207-001</t>
        </is>
      </c>
      <c r="C9" s="5" t="inlineStr">
        <is>
          <t>parseGenerationFilters</t>
        </is>
      </c>
      <c r="D9" s="4" t="inlineStr">
        <is>
          <t>異常系</t>
        </is>
      </c>
      <c r="E9" s="4" t="inlineStr">
        <is>
          <t>同値分割</t>
        </is>
      </c>
      <c r="F9" s="5" t="inlineStr">
        <is>
          <t>URL の知らない行動・状態と、空の値は絞り込みに入れない</t>
        </is>
      </c>
      <c r="G9" s="5" t="inlineStr">
        <is>
          <t>前提：なし
入力：action=repost&amp;status=done&amp;agentId=&amp;from=&amp;to=</t>
        </is>
      </c>
      <c r="H9" s="5" t="inlineStr">
        <is>
          <t>すべて undefined</t>
        </is>
      </c>
      <c r="I9" s="5" t="inlineStr">
        <is>
          <t>B1-F, B2-F, B3-F</t>
        </is>
      </c>
      <c r="J9" s="5" t="inlineStr">
        <is>
          <t>なし</t>
        </is>
      </c>
      <c r="K9" s="5" t="inlineStr"/>
      <c r="L9" s="5" t="inlineStr"/>
      <c r="M9" s="5" t="inlineStr">
        <is>
          <t>TC-UT_P207-001 URL の知らない行動・状態と、空の値は絞り込みに入れない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既存テスト：なし</t>
        </is>
      </c>
    </row>
    <row r="10">
      <c r="A10" s="4" t="n">
        <v>6</v>
      </c>
      <c r="B10" s="4" t="inlineStr">
        <is>
          <t>TC-UT_P207-002</t>
        </is>
      </c>
      <c r="C10" s="5" t="inlineStr">
        <is>
          <t>buildGenerationSearchParams / parseGenerationFilters</t>
        </is>
      </c>
      <c r="D10" s="4" t="inlineStr">
        <is>
          <t>正常系</t>
        </is>
      </c>
      <c r="E10" s="4" t="inlineStr">
        <is>
          <t>同値分割</t>
        </is>
      </c>
      <c r="F10" s="5" t="inlineStr">
        <is>
          <t>値のある項目だけを URL に入れ、URL から読み直すと同じ絞り込みになる</t>
        </is>
      </c>
      <c r="G10" s="5" t="inlineStr">
        <is>
          <t>前提：なし
入力：agentId・status・from だけ</t>
        </is>
      </c>
      <c r="H10" s="5" t="inlineStr">
        <is>
          <t>キーは agentId・status・from の順、読み直すと等しい</t>
        </is>
      </c>
      <c r="I10" s="5" t="inlineStr">
        <is>
          <t>B2-T, B3-T, B4-T, B4-F</t>
        </is>
      </c>
      <c r="J10" s="5" t="inlineStr">
        <is>
          <t>なし</t>
        </is>
      </c>
      <c r="K10" s="5" t="inlineStr"/>
      <c r="L10" s="5" t="inlineStr"/>
      <c r="M10" s="5" t="inlineStr">
        <is>
          <t>TC-UT_P207-002 絞り込みは値のある項目だけを URL に入れ、URL から読み直すと同じ絞り込みになる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既存テスト：一部 TC-NOUS71_DEV-11（画面の操作だけ）</t>
        </is>
      </c>
    </row>
    <row r="11">
      <c r="A11" s="4" t="n">
        <v>7</v>
      </c>
      <c r="B11" s="4" t="inlineStr">
        <is>
          <t>TC-UT_P207-003</t>
        </is>
      </c>
      <c r="C11" s="5" t="inlineStr">
        <is>
          <t>toUtcIso</t>
        </is>
      </c>
      <c r="D11" s="4" t="inlineStr">
        <is>
          <t>正常系</t>
        </is>
      </c>
      <c r="E11" s="4" t="inlineStr">
        <is>
          <t>同値分割</t>
        </is>
      </c>
      <c r="F11" s="5" t="inlineStr">
        <is>
          <t>秒まである JST の入力も UTC に変える</t>
        </is>
      </c>
      <c r="G11" s="5" t="inlineStr">
        <is>
          <t>前提：なし
入力："2026-10-22T14:20:30"</t>
        </is>
      </c>
      <c r="H11" s="5" t="inlineStr">
        <is>
          <t>"2026-10-22T05:20:30.000Z"</t>
        </is>
      </c>
      <c r="I11" s="5" t="inlineStr">
        <is>
          <t>B12-F, B13-F, B14-F, B15-F</t>
        </is>
      </c>
      <c r="J11" s="5" t="inlineStr">
        <is>
          <t>なし</t>
        </is>
      </c>
      <c r="K11" s="5" t="inlineStr"/>
      <c r="L11" s="5" t="inlineStr"/>
      <c r="M11" s="5" t="inlineStr">
        <is>
          <t>TC-UT_P207-003 toUtcIso は秒まである JST の入力も UTC に変える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既存テスト：一部 TC-NOUS71_DEV-08（分までだけ）</t>
        </is>
      </c>
    </row>
    <row r="12">
      <c r="A12" s="4" t="n">
        <v>8</v>
      </c>
      <c r="B12" s="4" t="inlineStr">
        <is>
          <t>TC-UT_P207-004</t>
        </is>
      </c>
      <c r="C12" s="5" t="inlineStr">
        <is>
          <t>toUtcIso</t>
        </is>
      </c>
      <c r="D12" s="4" t="inlineStr">
        <is>
          <t>異常系</t>
        </is>
      </c>
      <c r="E12" s="4" t="inlineStr">
        <is>
          <t>分岐網羅</t>
        </is>
      </c>
      <c r="F12" s="5" t="inlineStr">
        <is>
          <t>Z や +09:00 の付いた値をその時刻のまま扱い、読めない値は空にする</t>
        </is>
      </c>
      <c r="G12" s="5" t="inlineStr">
        <is>
          <t>前提：なし
入力："…05:20:00Z"、"…14:20:00+09:00"、"abc"</t>
        </is>
      </c>
      <c r="H12" s="5" t="inlineStr">
        <is>
          <t>05:20Z、05:20Z、""</t>
        </is>
      </c>
      <c r="I12" s="5" t="inlineStr">
        <is>
          <t>B14-T, B14-F, B15-T, B15-F</t>
        </is>
      </c>
      <c r="J12" s="5" t="inlineStr">
        <is>
          <t>なし</t>
        </is>
      </c>
      <c r="K12" s="5" t="inlineStr"/>
      <c r="L12" s="5" t="inlineStr"/>
      <c r="M12" s="5" t="inlineStr">
        <is>
          <t>TC-UT_P207-004 toUtcIso は Z や +09:00 の付いた値をその時刻のまま扱い、読めない値は空にする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既存テスト：なし</t>
        </is>
      </c>
    </row>
    <row r="13">
      <c r="A13" s="4" t="n">
        <v>9</v>
      </c>
      <c r="B13" s="4" t="inlineStr">
        <is>
          <t>TC-UT_P207-005</t>
        </is>
      </c>
      <c r="C13" s="5" t="inlineStr">
        <is>
          <t>toUtcIso</t>
        </is>
      </c>
      <c r="D13" s="4" t="inlineStr">
        <is>
          <t>正常系</t>
        </is>
      </c>
      <c r="E13" s="4" t="inlineStr">
        <is>
          <t>境界値</t>
        </is>
      </c>
      <c r="F13" s="5" t="inlineStr">
        <is>
          <t>JST の 8:59 は UTC の前の日、9:00 は同じ日の 00:00 になる</t>
        </is>
      </c>
      <c r="G13" s="5" t="inlineStr">
        <is>
          <t>前提：なし
入力："2026-10-22T08:59"、"2026-10-22T09:00"</t>
        </is>
      </c>
      <c r="H13" s="5" t="inlineStr">
        <is>
          <t>2026-10-21T23:59Z、2026-10-22T00:00Z</t>
        </is>
      </c>
      <c r="I13" s="5" t="inlineStr">
        <is>
          <t>B13-T</t>
        </is>
      </c>
      <c r="J13" s="5" t="inlineStr">
        <is>
          <t>なし</t>
        </is>
      </c>
      <c r="K13" s="5" t="inlineStr"/>
      <c r="L13" s="5" t="inlineStr"/>
      <c r="M13" s="5" t="inlineStr">
        <is>
          <t>TC-UT_P207-005 JST の 8:59 は UTC の前の日、9:00 は同じ日の 00:00 になる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既存テスト：なし</t>
        </is>
      </c>
    </row>
    <row r="14">
      <c r="A14" s="4" t="n">
        <v>10</v>
      </c>
      <c r="B14" s="4" t="inlineStr">
        <is>
          <t>TC-UT_P207-006</t>
        </is>
      </c>
      <c r="C14" s="5" t="inlineStr">
        <is>
          <t>toLocalDateTime</t>
        </is>
      </c>
      <c r="D14" s="4" t="inlineStr">
        <is>
          <t>異常系</t>
        </is>
      </c>
      <c r="E14" s="4" t="inlineStr">
        <is>
          <t>境界値</t>
        </is>
      </c>
      <c r="F14" s="5" t="inlineStr">
        <is>
          <t>UTC の 15:00 を JST の翌日 00:00 にし、読めない値は空にする</t>
        </is>
      </c>
      <c r="G14" s="5" t="inlineStr">
        <is>
          <t>前提：なし
入力："2026-10-21T15:00:00.000Z"、"not-a-date"</t>
        </is>
      </c>
      <c r="H14" s="5" t="inlineStr">
        <is>
          <t>"2026-10-22T00:00"、""</t>
        </is>
      </c>
      <c r="I14" s="5" t="inlineStr">
        <is>
          <t>B10-F, B11-T, B11-F</t>
        </is>
      </c>
      <c r="J14" s="5" t="inlineStr">
        <is>
          <t>なし</t>
        </is>
      </c>
      <c r="K14" s="5" t="inlineStr"/>
      <c r="L14" s="5" t="inlineStr"/>
      <c r="M14" s="5" t="inlineStr">
        <is>
          <t>TC-UT_P207-006 toLocalDateTime は UTC の 15:00 を JST の翌日 00:00 にし、読めない値は空にする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既存テスト：なし</t>
        </is>
      </c>
    </row>
    <row r="15">
      <c r="A15" s="4" t="n">
        <v>11</v>
      </c>
      <c r="B15" s="4" t="inlineStr">
        <is>
          <t>TC-UT_P207-007</t>
        </is>
      </c>
      <c r="C15" s="5" t="inlineStr">
        <is>
          <t>validateGenerationRange</t>
        </is>
      </c>
      <c r="D15" s="4" t="inlineStr">
        <is>
          <t>異常系</t>
        </is>
      </c>
      <c r="E15" s="4" t="inlineStr">
        <is>
          <t>境界値</t>
        </is>
      </c>
      <c r="F15" s="5" t="inlineStr">
        <is>
          <t>開始と終了が同じ時刻なら通し、1 秒でも開始が後なら文言を返し、片方だけなら通す</t>
        </is>
      </c>
      <c r="G15" s="5" t="inlineStr">
        <is>
          <t>前提：なし
入力：同じ時刻、開始が 1 秒後、終了なし</t>
        </is>
      </c>
      <c r="H15" s="5" t="inlineStr">
        <is>
          <t>null、「開始は終了より前にしてください」、null</t>
        </is>
      </c>
      <c r="I15" s="5" t="inlineStr">
        <is>
          <t>B16-T, B16-F, B17-T, B17-F</t>
        </is>
      </c>
      <c r="J15" s="5" t="inlineStr">
        <is>
          <t>なし</t>
        </is>
      </c>
      <c r="K15" s="5" t="inlineStr"/>
      <c r="L15" s="5" t="inlineStr"/>
      <c r="M15" s="5" t="inlineStr">
        <is>
          <t>TC-UT_P207-007 期間は開始と終了が同じ時刻なら通し、開始が後なら文言を返し、片方だけなら通す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既存テスト：なし</t>
        </is>
      </c>
    </row>
    <row r="16">
      <c r="A16" s="4" t="n">
        <v>12</v>
      </c>
      <c r="B16" s="4" t="inlineStr">
        <is>
          <t>TC-UT_P207-008</t>
        </is>
      </c>
      <c r="C16" s="5" t="inlineStr">
        <is>
          <t>searchByEventId</t>
        </is>
      </c>
      <c r="D16" s="4" t="inlineStr">
        <is>
          <t>異常系</t>
        </is>
      </c>
      <c r="E16" s="4" t="inlineStr">
        <is>
          <t>境界値</t>
        </is>
      </c>
      <c r="F16" s="5" t="inlineStr">
        <is>
          <t>前後の空白を除いて検索し、25 字・27 字は文言を返す</t>
        </is>
      </c>
      <c r="G16" s="5" t="inlineStr">
        <is>
          <t>前提：なし
入力：空白付きの正しい ID、25 字、27 字</t>
        </is>
      </c>
      <c r="H16" s="5" t="inlineStr">
        <is>
          <t>空白付きは /generations/{id} へ、25・27 字は「実行 ID は 26 字です」</t>
        </is>
      </c>
      <c r="I16" s="5" t="inlineStr">
        <is>
          <t>B18-T, B18-F</t>
        </is>
      </c>
      <c r="J16" s="5" t="inlineStr">
        <is>
          <t>なし</t>
        </is>
      </c>
      <c r="K16" s="5" t="inlineStr"/>
      <c r="L16" s="5" t="inlineStr"/>
      <c r="M16" s="5" t="inlineStr">
        <is>
          <t>TC-UT_P207-008 実行 ID は前後の空白を除いて検索し、25 字・27 字は文言を返す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既存テスト：一部 TC-NOUS71_DEV-07（字数の境界と空白を見ていない）</t>
        </is>
      </c>
    </row>
    <row r="17">
      <c r="A17" s="4" t="n">
        <v>13</v>
      </c>
      <c r="B17" s="4" t="inlineStr">
        <is>
          <t>TC-UT_P207-009</t>
        </is>
      </c>
      <c r="C17" s="5" t="inlineStr">
        <is>
          <t>searchByEventId</t>
        </is>
      </c>
      <c r="D17" s="4" t="inlineStr">
        <is>
          <t>異常系</t>
        </is>
      </c>
      <c r="E17" s="4" t="inlineStr">
        <is>
          <t>同値分割</t>
        </is>
      </c>
      <c r="F17" s="5" t="inlineStr">
        <is>
          <t>実行 ID の英小文字は受け付けない</t>
        </is>
      </c>
      <c r="G17" s="5" t="inlineStr">
        <is>
          <t>前提：なし
入力：正しい ID を英小文字にしたもの</t>
        </is>
      </c>
      <c r="H17" s="5" t="inlineStr">
        <is>
          <t>「実行 ID は 26 字です」、navigate なし</t>
        </is>
      </c>
      <c r="I17" s="5" t="inlineStr">
        <is>
          <t>B18-T</t>
        </is>
      </c>
      <c r="J17" s="5" t="inlineStr">
        <is>
          <t>なし</t>
        </is>
      </c>
      <c r="K17" s="5" t="inlineStr"/>
      <c r="L17" s="5" t="inlineStr"/>
      <c r="M17" s="5" t="inlineStr">
        <is>
          <t>TC-UT_P207-009 実行 ID の英小文字は受け付けない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既存テスト：なし
設計書 6章の正規表現（英大文字のみ）どおり。issues の確認事項 3</t>
        </is>
      </c>
    </row>
    <row r="18">
      <c r="A18" s="4" t="n">
        <v>14</v>
      </c>
      <c r="B18" s="4" t="inlineStr">
        <is>
          <t>TC-UT_P207-010</t>
        </is>
      </c>
      <c r="C18" s="5" t="inlineStr">
        <is>
          <t>GenerationFilters</t>
        </is>
      </c>
      <c r="D18" s="4" t="inlineStr">
        <is>
          <t>異常系</t>
        </is>
      </c>
      <c r="E18" s="4" t="inlineStr">
        <is>
          <t>分岐網羅</t>
        </is>
      </c>
      <c r="F18" s="5" t="inlineStr">
        <is>
          <t>期間の開始を終了より後にすると、入力欄の下に文言を出し（様式④）、絞り込みを変えない</t>
        </is>
      </c>
      <c r="G18" s="5" t="inlineStr">
        <is>
          <t>前提：filters {}
入力：開始 2026-10-22T15:00、次に終了 2026-10-22T14:00</t>
        </is>
      </c>
      <c r="H18" s="5" t="inlineStr">
        <is>
          <t>1 回目は onChange({ from: 06:00Z })、2 回目は文言を出し onChange を呼ばない</t>
        </is>
      </c>
      <c r="I18" s="5" t="inlineStr">
        <is>
          <t>B16-T, B16-F, B17-T, B19-T, B19-F</t>
        </is>
      </c>
      <c r="J18" s="5" t="inlineStr">
        <is>
          <t>なし</t>
        </is>
      </c>
      <c r="K18" s="5" t="inlineStr"/>
      <c r="L18" s="5" t="inlineStr"/>
      <c r="M18" s="5" t="inlineStr">
        <is>
          <t>TC-UT_P207-010 期間の開始を終了より後にすると、入力欄の下に文言を出し、絞り込みを変えない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既存テスト：なし</t>
        </is>
      </c>
    </row>
    <row r="19">
      <c r="A19" s="4" t="n">
        <v>15</v>
      </c>
      <c r="B19" s="4" t="inlineStr">
        <is>
          <t>TC-UT_P207-011</t>
        </is>
      </c>
      <c r="C19" s="5" t="inlineStr">
        <is>
          <t>GenerationFilters</t>
        </is>
      </c>
      <c r="D19" s="4" t="inlineStr">
        <is>
          <t>正常系</t>
        </is>
      </c>
      <c r="E19" s="4" t="inlineStr">
        <is>
          <t>同値分割</t>
        </is>
      </c>
      <c r="F19" s="5" t="inlineStr">
        <is>
          <t>期間を入れると、ほかの絞り込みを残したまま、UTC の ISO 8601 で絞り込みを変える</t>
        </is>
      </c>
      <c r="G19" s="5" t="inlineStr">
        <is>
          <t>前提：filters { status: failed }
入力：開始 2026-10-22T09:00</t>
        </is>
      </c>
      <c r="H19" s="5" t="inlineStr">
        <is>
          <t>onChange({ status: failed, from: 2026-10-22T00:00:00.000Z })</t>
        </is>
      </c>
      <c r="I19" s="5" t="inlineStr">
        <is>
          <t>B16-T, B19-T</t>
        </is>
      </c>
      <c r="J19" s="5" t="inlineStr">
        <is>
          <t>なし</t>
        </is>
      </c>
      <c r="K19" s="5" t="inlineStr"/>
      <c r="L19" s="5" t="inlineStr"/>
      <c r="M19" s="5" t="inlineStr">
        <is>
          <t>TC-UT_P207-011 期間を入れると、ほかの絞り込みを残したまま、UTC の ISO 8601 で絞り込みを変える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</t>
        </is>
      </c>
    </row>
    <row r="20">
      <c r="A20" s="4" t="n">
        <v>16</v>
      </c>
      <c r="B20" s="4" t="inlineStr">
        <is>
          <t>TC-UT_P207-012</t>
        </is>
      </c>
      <c r="C20" s="5" t="inlineStr">
        <is>
          <t>GenerationFilters</t>
        </is>
      </c>
      <c r="D20" s="4" t="inlineStr">
        <is>
          <t>異常系</t>
        </is>
      </c>
      <c r="E20" s="4" t="inlineStr">
        <is>
          <t>状態遷移</t>
        </is>
      </c>
      <c r="F20" s="5" t="inlineStr">
        <is>
          <t>実行 ID が誤っていれば文言を出し、入力を直すと文言を消す</t>
        </is>
      </c>
      <c r="G20" s="5" t="inlineStr">
        <is>
          <t>前提：なし
入力："abc" で検索、続けて "d" を入力</t>
        </is>
      </c>
      <c r="H20" s="5" t="inlineStr">
        <is>
          <t>「実行 ID は 26 字です」と aria-invalid、入力で文言が消える</t>
        </is>
      </c>
      <c r="I20" s="5" t="inlineStr">
        <is>
          <t>B18-T, B20-T, B20-F</t>
        </is>
      </c>
      <c r="J20" s="5" t="inlineStr">
        <is>
          <t>なし</t>
        </is>
      </c>
      <c r="K20" s="5" t="inlineStr"/>
      <c r="L20" s="5" t="inlineStr"/>
      <c r="M20" s="5" t="inlineStr">
        <is>
          <t>TC-UT_P207-012 実行 ID が誤っていれば文言を出し、入力を直すと文言を消す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既存テスト：一部 TC-NOUS71_DEV-07（関数だけ）</t>
        </is>
      </c>
    </row>
    <row r="21">
      <c r="A21" s="4" t="n">
        <v>17</v>
      </c>
      <c r="B21" s="4" t="inlineStr">
        <is>
          <t>TC-UT_P207-013</t>
        </is>
      </c>
      <c r="C21" s="5" t="inlineStr">
        <is>
          <t>GenerationFilters</t>
        </is>
      </c>
      <c r="D21" s="4" t="inlineStr">
        <is>
          <t>正常系</t>
        </is>
      </c>
      <c r="E21" s="4" t="inlineStr">
        <is>
          <t>分岐網羅</t>
        </is>
      </c>
      <c r="F21" s="5" t="inlineStr">
        <is>
          <t>「クリア」は絞り込みがあるときだけ出し、押すと絞り込みを空にする</t>
        </is>
      </c>
      <c r="G21" s="5" t="inlineStr">
        <is>
          <t>前提：filters {} → { action: post }
入力：クリアを押す</t>
        </is>
      </c>
      <c r="H21" s="5" t="inlineStr">
        <is>
          <t>{} では無く、{ action } で出て onChange({})</t>
        </is>
      </c>
      <c r="I21" s="5" t="inlineStr">
        <is>
          <t>B21-T, B21-F</t>
        </is>
      </c>
      <c r="J21" s="5" t="inlineStr">
        <is>
          <t>なし</t>
        </is>
      </c>
      <c r="K21" s="5" t="inlineStr"/>
      <c r="L21" s="5" t="inlineStr"/>
      <c r="M21" s="5" t="inlineStr">
        <is>
          <t>TC-UT_P207-013 「クリア」は絞り込みがあるときだけ出し、押すと絞り込みを空にする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</t>
        </is>
      </c>
    </row>
    <row r="22">
      <c r="A22" s="4" t="n">
        <v>18</v>
      </c>
      <c r="B22" s="4" t="inlineStr">
        <is>
          <t>TC-UT_P207-014</t>
        </is>
      </c>
      <c r="C22" s="5" t="inlineStr">
        <is>
          <t>GenerationFilters</t>
        </is>
      </c>
      <c r="D22" s="4" t="inlineStr">
        <is>
          <t>正常系</t>
        </is>
      </c>
      <c r="E22" s="4" t="inlineStr">
        <is>
          <t>同値分割</t>
        </is>
      </c>
      <c r="F22" s="5" t="inlineStr">
        <is>
          <t>エージェントの選択肢は「すべて」と各エージェントの表示名で、「すべて」を選ぶと絞り込みを外す</t>
        </is>
      </c>
      <c r="G22" s="5" t="inlineStr">
        <is>
          <t>前提：エージェント 1 体
入力：エージェントを選ぶ → 「すべて」を選ぶ</t>
        </is>
      </c>
      <c r="H22" s="5" t="inlineStr">
        <is>
          <t>選択肢は「すべて」「ミナト」。onChange({ agentId }) → onChange({ agentId: undefined })</t>
        </is>
      </c>
      <c r="I22" s="5" t="inlineStr"/>
      <c r="J22" s="5" t="inlineStr">
        <is>
          <t>なし</t>
        </is>
      </c>
      <c r="K22" s="5" t="inlineStr"/>
      <c r="L22" s="5" t="inlineStr"/>
      <c r="M22" s="5" t="inlineStr">
        <is>
          <t>TC-UT_P207-014 エージェントの選択肢は「すべて」と各エージェントの表示名で、「すべて」を選ぶと絞り込みを外す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</t>
        </is>
      </c>
    </row>
    <row r="23">
      <c r="A23" s="4" t="n">
        <v>19</v>
      </c>
      <c r="B23" s="4" t="inlineStr">
        <is>
          <t>TC-UT_P207-015</t>
        </is>
      </c>
      <c r="C23" s="5" t="inlineStr">
        <is>
          <t>GenerationTable</t>
        </is>
      </c>
      <c r="D23" s="4" t="inlineStr">
        <is>
          <t>正常系</t>
        </is>
      </c>
      <c r="E23" s="4" t="inlineStr">
        <is>
          <t>分岐網羅</t>
        </is>
      </c>
      <c r="F23" s="5" t="inlineStr">
        <is>
          <t>参加しない（gate）の行は決め方を「参加しない」、Neurons を 0 と出し、LLM の行は小数 1 桁で出す</t>
        </is>
      </c>
      <c r="G23" s="5" t="inlineStr">
        <is>
          <t>前提：なし
入力：gate の行、LLM で 15.24 の行</t>
        </is>
      </c>
      <c r="H23" s="5" t="inlineStr">
        <is>
          <t>gate は「参加しない」と「0」、LLM は「LLM」と「15.2」</t>
        </is>
      </c>
      <c r="I23" s="5" t="inlineStr">
        <is>
          <t>B25-T, B25-F</t>
        </is>
      </c>
      <c r="J23" s="5" t="inlineStr">
        <is>
          <t>なし</t>
        </is>
      </c>
      <c r="K23" s="5" t="inlineStr"/>
      <c r="L23" s="5" t="inlineStr"/>
      <c r="M23" s="5" t="inlineStr">
        <is>
          <t>TC-UT_P207-015 参加しない（gate）の行は決め方を「参加しない」、Neurons を 0 と出し、LLM の行は小数 1 桁で出す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
画面基本設計書 7章（gate も一覧に出し Neurons は 0）</t>
        </is>
      </c>
    </row>
    <row r="24">
      <c r="A24" s="4" t="n">
        <v>20</v>
      </c>
      <c r="B24" s="4" t="inlineStr">
        <is>
          <t>TC-UT_P207-016</t>
        </is>
      </c>
      <c r="C24" s="5" t="inlineStr">
        <is>
          <t>GenerationTable</t>
        </is>
      </c>
      <c r="D24" s="4" t="inlineStr">
        <is>
          <t>正常系</t>
        </is>
      </c>
      <c r="E24" s="4" t="inlineStr">
        <is>
          <t>同値分割</t>
        </is>
      </c>
      <c r="F24" s="5" t="inlineStr">
        <is>
          <t>不正な形式で失敗した行も、Neurons と試行の回数をそのまま出す</t>
        </is>
      </c>
      <c r="G24" s="5" t="inlineStr">
        <is>
          <t>前提：なし
入力：failed・invalid_format、Neurons 31、試行 2</t>
        </is>
      </c>
      <c r="H24" s="5" t="inlineStr">
        <is>
          <t>「31.0」「2」「不正な形式」「失敗（不正な形式）」</t>
        </is>
      </c>
      <c r="I24" s="5" t="inlineStr">
        <is>
          <t>B23-T, B24-T, B25-F, B27-T</t>
        </is>
      </c>
      <c r="J24" s="5" t="inlineStr">
        <is>
          <t>なし</t>
        </is>
      </c>
      <c r="K24" s="5" t="inlineStr"/>
      <c r="L24" s="5" t="inlineStr"/>
      <c r="M24" s="5" t="inlineStr">
        <is>
          <t>TC-UT_P207-016 不正な形式で失敗した行も、Neurons と試行の回数をそのまま出す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
NOUS-104 で決めた「invalid_format の失敗にも Neurons を加算する」を画面でも隠さないことを確かめる（ワイヤーフレームの invalid_format 31.0・2 回）</t>
        </is>
      </c>
    </row>
    <row r="25">
      <c r="A25" s="4" t="n">
        <v>21</v>
      </c>
      <c r="B25" s="4" t="inlineStr">
        <is>
          <t>TC-UT_P207-017</t>
        </is>
      </c>
      <c r="C25" s="5" t="inlineStr">
        <is>
          <t>GenerationTable</t>
        </is>
      </c>
      <c r="D25" s="4" t="inlineStr">
        <is>
          <t>異常系</t>
        </is>
      </c>
      <c r="E25" s="4" t="inlineStr">
        <is>
          <t>同値分割</t>
        </is>
      </c>
      <c r="F25" s="5" t="inlineStr">
        <is>
          <t>失敗の行の行動は、action の値があっても「―」と出す</t>
        </is>
      </c>
      <c r="G25" s="5" t="inlineStr">
        <is>
          <t>前提：なし
入力：failed・server_error で action が post</t>
        </is>
      </c>
      <c r="H25" s="5" t="inlineStr">
        <is>
          <t>行動の列に post が出ない</t>
        </is>
      </c>
      <c r="I25" s="5" t="inlineStr">
        <is>
          <t>B23-F, B24-T</t>
        </is>
      </c>
      <c r="J25" s="5" t="inlineStr">
        <is>
          <t>なし</t>
        </is>
      </c>
      <c r="K25" s="5" t="inlineStr"/>
      <c r="L25" s="5" t="inlineStr"/>
      <c r="M25" s="5" t="inlineStr">
        <is>
          <t>TC-UT_P207-017 失敗の行の行動は、action の値があっても「―」と出す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
疑い：今の GenerationTable は action ?? "―" のため、失敗の行でも action に値があればそのまま出す
画面基本設計書 H09「失敗は「―」」。サーバーが失敗で action を入れることが無ければ表には出ない。issues の疑い 1</t>
        </is>
      </c>
    </row>
    <row r="26">
      <c r="A26" s="4" t="n">
        <v>22</v>
      </c>
      <c r="B26" s="4" t="inlineStr">
        <is>
          <t>TC-UT_P207-018</t>
        </is>
      </c>
      <c r="C26" s="5" t="inlineStr">
        <is>
          <t>GenerationTable</t>
        </is>
      </c>
      <c r="D26" s="4" t="inlineStr">
        <is>
          <t>正常系</t>
        </is>
      </c>
      <c r="E26" s="4" t="inlineStr">
        <is>
          <t>分岐網羅</t>
        </is>
      </c>
      <c r="F26" s="5" t="inlineStr">
        <is>
          <t>失敗の種類は失敗・取り消し・中断の行だけに出し、成功の行は「―」</t>
        </is>
      </c>
      <c r="G26" s="5" t="inlineStr">
        <is>
          <t>前提：なし
入力：succeeded、cancelled・stopped</t>
        </is>
      </c>
      <c r="H26" s="5" t="inlineStr">
        <is>
          <t>成功の行に「停止」なし。取り消しの行は「停止」と「取り消し（停止）」</t>
        </is>
      </c>
      <c r="I26" s="5" t="inlineStr">
        <is>
          <t>B24-T, B24-F, B27-T</t>
        </is>
      </c>
      <c r="J26" s="5" t="inlineStr">
        <is>
          <t>なし</t>
        </is>
      </c>
      <c r="K26" s="5" t="inlineStr"/>
      <c r="L26" s="5" t="inlineStr"/>
      <c r="M26" s="5" t="inlineStr">
        <is>
          <t>TC-UT_P207-018 失敗の種類は失敗・取り消し・中断の行だけに出し、成功の行は「―」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</t>
        </is>
      </c>
    </row>
    <row r="27">
      <c r="A27" s="4" t="n">
        <v>23</v>
      </c>
      <c r="B27" s="4" t="inlineStr">
        <is>
          <t>TC-UT_P207-019</t>
        </is>
      </c>
      <c r="C27" s="5" t="inlineStr">
        <is>
          <t>GenerationTable</t>
        </is>
      </c>
      <c r="D27" s="4" t="inlineStr">
        <is>
          <t>正常系</t>
        </is>
      </c>
      <c r="E27" s="4" t="inlineStr">
        <is>
          <t>分岐網羅</t>
        </is>
      </c>
      <c r="F27" s="5" t="inlineStr">
        <is>
          <t>矛盾の候補は、あれば「あり」、なければ「―」</t>
        </is>
      </c>
      <c r="G27" s="5" t="inlineStr">
        <is>
          <t>前提：なし
入力：hasConsistencyFlags true と false</t>
        </is>
      </c>
      <c r="H27" s="5" t="inlineStr">
        <is>
          <t>「あり」と、その無い行</t>
        </is>
      </c>
      <c r="I27" s="5" t="inlineStr">
        <is>
          <t>B26-T, B26-F</t>
        </is>
      </c>
      <c r="J27" s="5" t="inlineStr">
        <is>
          <t>なし</t>
        </is>
      </c>
      <c r="K27" s="5" t="inlineStr"/>
      <c r="L27" s="5" t="inlineStr"/>
      <c r="M27" s="5" t="inlineStr">
        <is>
          <t>TC-UT_P207-019 矛盾の候補は、あれば「あり」、なければ「―」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既存テスト：一部 TC-NOUS71_DEV-11（true の行だけ）
画面基本設計書 H15 は「あり（N 件）」だが、一覧の API（GenerationItem）は件数を持たない。issues の確認事項 2</t>
        </is>
      </c>
    </row>
    <row r="28">
      <c r="A28" s="4" t="n">
        <v>24</v>
      </c>
      <c r="B28" s="4" t="inlineStr">
        <is>
          <t>TC-UT_P207-020</t>
        </is>
      </c>
      <c r="C28" s="5" t="inlineStr">
        <is>
          <t>formatStartedTimeJst</t>
        </is>
      </c>
      <c r="D28" s="4" t="inlineStr">
        <is>
          <t>異常系</t>
        </is>
      </c>
      <c r="E28" s="4" t="inlineStr">
        <is>
          <t>境界値</t>
        </is>
      </c>
      <c r="F28" s="5" t="inlineStr">
        <is>
          <t>開始時刻は JST の HH:MM:SS で出し、日をまたぐと 00:00:00 になり、読めない値はそのまま出す</t>
        </is>
      </c>
      <c r="G28" s="5" t="inlineStr">
        <is>
          <t>前提：なし
入力：15:00:00Z、14:59:59Z、"x"</t>
        </is>
      </c>
      <c r="H28" s="5" t="inlineStr">
        <is>
          <t>00:00:00、23:59:59、x</t>
        </is>
      </c>
      <c r="I28" s="5" t="inlineStr">
        <is>
          <t>B22-T, B22-F</t>
        </is>
      </c>
      <c r="J28" s="5" t="inlineStr">
        <is>
          <t>なし</t>
        </is>
      </c>
      <c r="K28" s="5" t="inlineStr"/>
      <c r="L28" s="5" t="inlineStr"/>
      <c r="M28" s="5" t="inlineStr">
        <is>
          <t>TC-UT_P207-020 開始時刻は JST の HH:MM:SS で出し、日をまたぐと 00:00:00 になり、読めない値はそのまま出す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</t>
        </is>
      </c>
    </row>
    <row r="29">
      <c r="A29" s="4" t="n">
        <v>25</v>
      </c>
      <c r="B29" s="4" t="inlineStr">
        <is>
          <t>TC-UT_P207-021</t>
        </is>
      </c>
      <c r="C29" s="5" t="inlineStr">
        <is>
          <t>GenerationTable</t>
        </is>
      </c>
      <c r="D29" s="4" t="inlineStr">
        <is>
          <t>正常系</t>
        </is>
      </c>
      <c r="E29" s="4" t="inlineStr">
        <is>
          <t>境界値</t>
        </is>
      </c>
      <c r="F29" s="5" t="inlineStr">
        <is>
          <t>一覧が 0 件なら「条件に一致する生成イベントはありません」を出す</t>
        </is>
      </c>
      <c r="G29" s="5" t="inlineStr">
        <is>
          <t>前提：なし
入力：items []</t>
        </is>
      </c>
      <c r="H29" s="5" t="inlineStr">
        <is>
          <t>その文言</t>
        </is>
      </c>
      <c r="I29" s="5" t="inlineStr"/>
      <c r="J29" s="5" t="inlineStr">
        <is>
          <t>なし</t>
        </is>
      </c>
      <c r="K29" s="5" t="inlineStr"/>
      <c r="L29" s="5" t="inlineStr"/>
      <c r="M29" s="5" t="inlineStr">
        <is>
          <t>TC-UT_P207-021 一覧が 0 件なら「条件に一致する生成イベントはありません」を出す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
文言は設計書に記載なし。実装の値</t>
        </is>
      </c>
    </row>
    <row r="30">
      <c r="A30" s="4" t="n">
        <v>26</v>
      </c>
      <c r="B30" s="4" t="inlineStr">
        <is>
          <t>TC-UT_P207-022</t>
        </is>
      </c>
      <c r="C30" s="5" t="inlineStr">
        <is>
          <t>formatFailureKind</t>
        </is>
      </c>
      <c r="D30" s="4" t="inlineStr">
        <is>
          <t>正常系</t>
        </is>
      </c>
      <c r="E30" s="4" t="inlineStr">
        <is>
          <t>同値分割</t>
        </is>
      </c>
      <c r="F30" s="5" t="inlineStr">
        <is>
          <t>失敗の種類の 8 つを日本語にし、無いときは「―」にする</t>
        </is>
      </c>
      <c r="G30" s="5" t="inlineStr">
        <is>
          <t>前提：なし
入力：8 種類、null、undefined</t>
        </is>
      </c>
      <c r="H30" s="5" t="inlineStr">
        <is>
          <t>画面基本設計書 H12 の 8 つの日本語、「―」</t>
        </is>
      </c>
      <c r="I30" s="5" t="inlineStr">
        <is>
          <t>B28-T, B28-F</t>
        </is>
      </c>
      <c r="J30" s="5" t="inlineStr">
        <is>
          <t>なし</t>
        </is>
      </c>
      <c r="K30" s="5" t="inlineStr"/>
      <c r="L30" s="5" t="inlineStr"/>
      <c r="M30" s="5" t="inlineStr">
        <is>
          <t>TC-UT_P207-022 失敗の種類の 8 つを日本語にし、無いときは「―」にする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既存テスト：一部 TC-NOUS71_DEV-10（invalid_format・cancelled だけ）</t>
        </is>
      </c>
    </row>
    <row r="31">
      <c r="A31" s="4" t="n">
        <v>27</v>
      </c>
      <c r="B31" s="4" t="inlineStr">
        <is>
          <t>TC-UT_P207-023</t>
        </is>
      </c>
      <c r="C31" s="5" t="inlineStr">
        <is>
          <t>StatusBadge</t>
        </is>
      </c>
      <c r="D31" s="4" t="inlineStr">
        <is>
          <t>異常系</t>
        </is>
      </c>
      <c r="E31" s="4" t="inlineStr">
        <is>
          <t>分岐網羅</t>
        </is>
      </c>
      <c r="F31" s="5" t="inlineStr">
        <is>
          <t>失敗でも種類が無ければ状態だけを出し、成功には種類を付けない</t>
        </is>
      </c>
      <c r="G31" s="5" t="inlineStr">
        <is>
          <t>前提：なし
入力：failed＋null、succeeded＋timeout</t>
        </is>
      </c>
      <c r="H31" s="5" t="inlineStr">
        <is>
          <t>「失敗」、「成功」（タイムアウトを付けない）</t>
        </is>
      </c>
      <c r="I31" s="5" t="inlineStr">
        <is>
          <t>B27-F</t>
        </is>
      </c>
      <c r="J31" s="5" t="inlineStr">
        <is>
          <t>なし</t>
        </is>
      </c>
      <c r="K31" s="5" t="inlineStr"/>
      <c r="L31" s="5" t="inlineStr"/>
      <c r="M31" s="5" t="inlineStr">
        <is>
          <t>TC-UT_P207-023 状態のバッジは、失敗でも種類が無ければ状態だけを出し、成功には種類を付けない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既存テスト：一部 TC-NOUS71_DEV-10</t>
        </is>
      </c>
    </row>
    <row r="32">
      <c r="A32" s="4" t="n">
        <v>28</v>
      </c>
      <c r="B32" s="4" t="inlineStr">
        <is>
          <t>TC-UT_P207-024</t>
        </is>
      </c>
      <c r="C32" s="5" t="inlineStr">
        <is>
          <t>GenerationListPage</t>
        </is>
      </c>
      <c r="D32" s="4" t="inlineStr">
        <is>
          <t>正常系</t>
        </is>
      </c>
      <c r="E32" s="4" t="inlineStr">
        <is>
          <t>同値分割</t>
        </is>
      </c>
      <c r="F32" s="5" t="inlineStr">
        <is>
          <t>URL の絞り込みをそのまま一覧の API に渡し、期間は JST で入力欄に出す（P206・P203 からの移動）</t>
        </is>
      </c>
      <c r="G32" s="5" t="inlineStr">
        <is>
          <t>前提：なし
入力：/generations?agentId&amp;action=post&amp;status=failed&amp;from=10-22T00:00Z&amp;to=10-23T00:00Z</t>
        </is>
      </c>
      <c r="H32" s="5" t="inlineStr">
        <is>
          <t>API の URL に同じ 5 項目。開始 2026-10-22T09:00、終了 2026-10-23T09:00</t>
        </is>
      </c>
      <c r="I32" s="5" t="inlineStr">
        <is>
          <t>B1-T, B2-T, B3-T, B4-T, B10-F, B11-F</t>
        </is>
      </c>
      <c r="J32" s="5" t="inlineStr">
        <is>
          <t>fetch を mockFetch で差し替え（session・world は成功）</t>
        </is>
      </c>
      <c r="K32" s="5" t="inlineStr"/>
      <c r="L32" s="5" t="inlineStr"/>
      <c r="M32" s="5" t="inlineStr">
        <is>
          <t>TC-UT_P207-024 URL の絞り込みをそのまま一覧の API に渡し、期間は JST で入力欄に出す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既存テスト：一部 TC-NOUS71_DEV-11（URL を書く側だけ）</t>
        </is>
      </c>
    </row>
    <row r="33">
      <c r="A33" s="4" t="n">
        <v>29</v>
      </c>
      <c r="B33" s="4" t="inlineStr">
        <is>
          <t>TC-UT_P207-025</t>
        </is>
      </c>
      <c r="C33" s="5" t="inlineStr">
        <is>
          <t>GenerationListPage</t>
        </is>
      </c>
      <c r="D33" s="4" t="inlineStr">
        <is>
          <t>正常系</t>
        </is>
      </c>
      <c r="E33" s="4" t="inlineStr">
        <is>
          <t>状態遷移</t>
        </is>
      </c>
      <c r="F33" s="5" t="inlineStr">
        <is>
          <t>続きがあれば「さらに読み込む」を出し、押すと cursor を付けて取得して末尾に足し、続きが無くなれば消す（E05）</t>
        </is>
      </c>
      <c r="G33" s="5" t="inlineStr">
        <is>
          <t>前提：1 ページ目 nextCursor=cursor-1、2 ページ目 null
入力：「さらに読み込む」を押す</t>
        </is>
      </c>
      <c r="H33" s="5" t="inlineStr">
        <is>
          <t>2 件目が足され 1 件目も残る。最後の取得は ?cursor=cursor-1。ボタンが消える</t>
        </is>
      </c>
      <c r="I33" s="5" t="inlineStr">
        <is>
          <t>B5-T, B5-F, B8-T, B8-F, B9-T, B9-F</t>
        </is>
      </c>
      <c r="J33" s="5" t="inlineStr">
        <is>
          <t>fetch を mockFetch で差し替え（session・world は成功）（呼ばれた順にページを返す）</t>
        </is>
      </c>
      <c r="K33" s="5" t="inlineStr"/>
      <c r="L33" s="5" t="inlineStr"/>
      <c r="M33" s="5" t="inlineStr">
        <is>
          <t>TC-UT_P207-025 続きがあれば「さらに読み込む」を出し、押すと cursor を付けて取得して末尾に足し、続きが無くなれば消す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</t>
        </is>
      </c>
    </row>
    <row r="34">
      <c r="A34" s="4" t="n">
        <v>30</v>
      </c>
      <c r="B34" s="4" t="inlineStr">
        <is>
          <t>TC-UT_P207-026</t>
        </is>
      </c>
      <c r="C34" s="5" t="inlineStr">
        <is>
          <t>GenerationListPage</t>
        </is>
      </c>
      <c r="D34" s="4" t="inlineStr">
        <is>
          <t>異常系</t>
        </is>
      </c>
      <c r="E34" s="4" t="inlineStr">
        <is>
          <t>エラー処理</t>
        </is>
      </c>
      <c r="F34" s="5" t="inlineStr">
        <is>
          <t>一覧の取得が 500 なら「生成ログを取得できませんでした」をポップアップで出す（様式①）</t>
        </is>
      </c>
      <c r="G34" s="5" t="inlineStr">
        <is>
          <t>前提：一覧の API が 500
入力：/generations</t>
        </is>
      </c>
      <c r="H34" s="5" t="inlineStr">
        <is>
          <t>「生成ログを取得できませんでした。時間をおいて再度お試しください」</t>
        </is>
      </c>
      <c r="I34" s="5" t="inlineStr">
        <is>
          <t>B6-T, B7-T</t>
        </is>
      </c>
      <c r="J34" s="5" t="inlineStr">
        <is>
          <t>fetch を mockFetch で差し替え（session・world は成功）</t>
        </is>
      </c>
      <c r="K34" s="5" t="inlineStr"/>
      <c r="L34" s="5" t="inlineStr"/>
      <c r="M34" s="5" t="inlineStr">
        <is>
          <t>TC-UT_P207-026 一覧の取得が 500 なら「生成ログを取得できませんでした」をポップアップで出す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</t>
        </is>
      </c>
    </row>
    <row r="35">
      <c r="A35" s="4" t="n">
        <v>31</v>
      </c>
      <c r="B35" s="4" t="inlineStr">
        <is>
          <t>TC-UT_P207-027</t>
        </is>
      </c>
      <c r="C35" s="5" t="inlineStr">
        <is>
          <t>GenerationListPage</t>
        </is>
      </c>
      <c r="D35" s="4" t="inlineStr">
        <is>
          <t>異常系</t>
        </is>
      </c>
      <c r="E35" s="4" t="inlineStr">
        <is>
          <t>エラー処理</t>
        </is>
      </c>
      <c r="F35" s="5" t="inlineStr">
        <is>
          <t>一覧の取得が 401 ならセッション切れのポップアップを出す</t>
        </is>
      </c>
      <c r="G35" s="5" t="inlineStr">
        <is>
          <t>前提：一覧の API が 401
入力：/generations</t>
        </is>
      </c>
      <c r="H35" s="5" t="inlineStr">
        <is>
          <t>セッション切れの文言。生成ログの文言は出さない</t>
        </is>
      </c>
      <c r="I35" s="5" t="inlineStr">
        <is>
          <t>B6-T, B7-F</t>
        </is>
      </c>
      <c r="J35" s="5" t="inlineStr">
        <is>
          <t>fetch を mockFetch で差し替え（session・world は成功）</t>
        </is>
      </c>
      <c r="K35" s="5" t="inlineStr"/>
      <c r="L35" s="5" t="inlineStr"/>
      <c r="M35" s="5" t="inlineStr">
        <is>
          <t>TC-UT_P207-027 一覧の取得が 401 ならセッション切れのポップアップを出す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既存テスト：なし</t>
        </is>
      </c>
    </row>
    <row r="36">
      <c r="A36" s="4" t="n">
        <v>32</v>
      </c>
      <c r="B36" s="4" t="inlineStr">
        <is>
          <t>TC-UT_P207-028</t>
        </is>
      </c>
      <c r="C36" s="5" t="inlineStr">
        <is>
          <t>GenerationListPage</t>
        </is>
      </c>
      <c r="D36" s="4" t="inlineStr">
        <is>
          <t>正常系</t>
        </is>
      </c>
      <c r="E36" s="4" t="inlineStr">
        <is>
          <t>同値分割</t>
        </is>
      </c>
      <c r="F36" s="5" t="inlineStr">
        <is>
          <t>一覧の画面で正しい実行 ID を入れて Enter を押すと、P208 を開く（E03）</t>
        </is>
      </c>
      <c r="G36" s="5" t="inlineStr">
        <is>
          <t>前提：一覧 0 件
入力：実行 ID を入力して Enter</t>
        </is>
      </c>
      <c r="H36" s="5" t="inlineStr">
        <is>
          <t>/generations/{id} へ</t>
        </is>
      </c>
      <c r="I36" s="5" t="inlineStr">
        <is>
          <t>B18-F</t>
        </is>
      </c>
      <c r="J36" s="5" t="inlineStr">
        <is>
          <t>fetch を mockFetch で差し替え（session・world は成功）</t>
        </is>
      </c>
      <c r="K36" s="5" t="inlineStr"/>
      <c r="L36" s="5" t="inlineStr"/>
      <c r="M36" s="5" t="inlineStr">
        <is>
          <t>TC-UT_P207-028 一覧の画面で正しい実行 ID を入れて検索すると、P208 を開く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既存テスト：一部 TC-NOUS71_DEV-07（関数だけ）</t>
        </is>
      </c>
    </row>
    <row r="37">
      <c r="A37" s="4" t="n">
        <v>33</v>
      </c>
      <c r="B37" s="4" t="inlineStr">
        <is>
          <t>TC-UT_P207-029</t>
        </is>
      </c>
      <c r="C37" s="5" t="inlineStr">
        <is>
          <t>GenerationListPage</t>
        </is>
      </c>
      <c r="D37" s="4" t="inlineStr">
        <is>
          <t>異常系</t>
        </is>
      </c>
      <c r="E37" s="4" t="inlineStr">
        <is>
          <t>依存</t>
        </is>
      </c>
      <c r="F37" s="5" t="inlineStr">
        <is>
          <t>エージェントの選択肢の取得に失敗しても、一覧と「すべて」だけの選択肢を出す</t>
        </is>
      </c>
      <c r="G37" s="5" t="inlineStr">
        <is>
          <t>前提：エージェントの API が 500
入力：/generations</t>
        </is>
      </c>
      <c r="H37" s="5" t="inlineStr">
        <is>
          <t>一覧は出る。選択肢は「すべて」だけ</t>
        </is>
      </c>
      <c r="I37" s="5" t="inlineStr">
        <is>
          <t>B6-F</t>
        </is>
      </c>
      <c r="J37" s="5" t="inlineStr">
        <is>
          <t>fetch を mockFetch で差し替え（session・world は成功）</t>
        </is>
      </c>
      <c r="K37" s="5" t="inlineStr"/>
      <c r="L37" s="5" t="inlineStr"/>
      <c r="M37" s="5" t="inlineStr">
        <is>
          <t>TC-UT_P207-029 エージェントの選択肢の取得に失敗しても、一覧と「すべて」だけの選択肢を出す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既存テスト：なし
設計書に記載なし。実装の値（選択肢の失敗は知らせない）。issues の確認事項 5</t>
        </is>
      </c>
    </row>
  </sheetData>
  <autoFilter ref="A4:Q37"/>
  <conditionalFormatting sqref="A5:Q87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87" showDropDown="0" showInputMessage="0" showErrorMessage="0" allowBlank="1" type="list">
      <formula1>"未実施,OK,NG,保留,対象外"</formula1>
    </dataValidation>
    <dataValidation sqref="D5:D87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COUNTA(観点表!$B$5:$B$87)</f>
        <v/>
      </c>
    </row>
    <row r="6">
      <c r="A6" s="10" t="inlineStr">
        <is>
          <t>正常系</t>
        </is>
      </c>
      <c r="B6" s="10">
        <f>COUNTIF(観点表!$D$5:$D$87,"正常系")</f>
        <v/>
      </c>
    </row>
    <row r="7">
      <c r="A7" s="10" t="inlineStr">
        <is>
          <t>異常系</t>
        </is>
      </c>
      <c r="B7" s="10">
        <f>COUNTIF(観点表!$D$5:$D$87,"異常系")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COUNTIF(観点表!$E$5:$E$87,"エラー処理")</f>
        <v/>
      </c>
    </row>
    <row r="11">
      <c r="A11" s="10" t="inlineStr">
        <is>
          <t>依存</t>
        </is>
      </c>
      <c r="B11" s="10">
        <f>COUNTIF(観点表!$E$5:$E$87,"依存")</f>
        <v/>
      </c>
    </row>
    <row r="12">
      <c r="A12" s="10" t="inlineStr">
        <is>
          <t>分岐網羅</t>
        </is>
      </c>
      <c r="B12" s="10">
        <f>COUNTIF(観点表!$E$5:$E$87,"分岐網羅")</f>
        <v/>
      </c>
    </row>
    <row r="13">
      <c r="A13" s="10" t="inlineStr">
        <is>
          <t>同値分割</t>
        </is>
      </c>
      <c r="B13" s="10">
        <f>COUNTIF(観点表!$E$5:$E$87,"同値分割")</f>
        <v/>
      </c>
    </row>
    <row r="14">
      <c r="A14" s="10" t="inlineStr">
        <is>
          <t>境界値</t>
        </is>
      </c>
      <c r="B14" s="10">
        <f>COUNTIF(観点表!$E$5:$E$87,"境界値")</f>
        <v/>
      </c>
    </row>
    <row r="15">
      <c r="A15" s="10" t="inlineStr">
        <is>
          <t>状態遷移</t>
        </is>
      </c>
      <c r="B15" s="10">
        <f>COUNTIF(観点表!$E$5:$E$87,"状態遷移")</f>
        <v/>
      </c>
    </row>
    <row r="16">
      <c r="A16" s="10" t="inlineStr">
        <is>
          <t>開発者テスト</t>
        </is>
      </c>
      <c r="B16" s="10">
        <f>COUNTIF(観点表!$E$5:$E$87,"開発者テスト")</f>
        <v/>
      </c>
    </row>
    <row r="18">
      <c r="A18" s="8" t="inlineStr">
        <is>
          <t>テストデータ</t>
        </is>
      </c>
      <c r="B18" s="9" t="n"/>
      <c r="C18" s="9" t="n"/>
    </row>
    <row r="19">
      <c r="A19" s="10" t="inlineStr">
        <is>
          <t>作成済み</t>
        </is>
      </c>
      <c r="B19" s="10">
        <f>COUNTIF(観点表!$K$5:$K$87,"?*")</f>
        <v/>
      </c>
    </row>
    <row r="20">
      <c r="A20" s="10" t="inlineStr">
        <is>
          <t>未作成</t>
        </is>
      </c>
      <c r="B20" s="10">
        <f>B5-B19</f>
        <v/>
      </c>
    </row>
    <row r="22">
      <c r="A22" s="8" t="inlineStr">
        <is>
          <t>実施状況</t>
        </is>
      </c>
      <c r="B22" s="9" t="n"/>
      <c r="C22" s="9" t="n"/>
    </row>
    <row r="23">
      <c r="A23" s="10" t="inlineStr">
        <is>
          <t>未実施</t>
        </is>
      </c>
      <c r="B23" s="10">
        <f>COUNTIF(観点表!$N$5:$N$87,"未実施")</f>
        <v/>
      </c>
    </row>
    <row r="24">
      <c r="A24" s="10" t="inlineStr">
        <is>
          <t>OK</t>
        </is>
      </c>
      <c r="B24" s="10">
        <f>COUNTIF(観点表!$N$5:$N$87,"OK")</f>
        <v/>
      </c>
    </row>
    <row r="25">
      <c r="A25" s="10" t="inlineStr">
        <is>
          <t>NG</t>
        </is>
      </c>
      <c r="B25" s="10">
        <f>COUNTIF(観点表!$N$5:$N$87,"NG")</f>
        <v/>
      </c>
    </row>
    <row r="26">
      <c r="A26" s="10" t="inlineStr">
        <is>
          <t>保留</t>
        </is>
      </c>
      <c r="B26" s="10">
        <f>COUNTIF(観点表!$N$5:$N$87,"保留")</f>
        <v/>
      </c>
    </row>
    <row r="27">
      <c r="A27" s="10" t="inlineStr">
        <is>
          <t>対象外</t>
        </is>
      </c>
      <c r="B27" s="10">
        <f>COUNTIF(観点表!$N$5:$N$87,"対象外")</f>
        <v/>
      </c>
    </row>
    <row r="28">
      <c r="A28" s="10" t="inlineStr">
        <is>
          <t>消化率（未実施以外 / 総数）</t>
        </is>
      </c>
      <c r="B28" s="11">
        <f>IF(B5=0,0,(B5-B23)/B5)</f>
        <v/>
      </c>
    </row>
    <row r="29">
      <c r="A29" s="10" t="inlineStr">
        <is>
          <t>合格率（OK / (総数-対象外)）</t>
        </is>
      </c>
      <c r="B29" s="11">
        <f>IF(B5-B27=0,0,B24/(B5-B27))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TC-NOUS71_DEV-07</t>
        </is>
      </c>
      <c r="B5" s="13" t="inlineStr">
        <is>
          <t>26 字の ULID でなければエラー、合えば /generations/{id} へ移動する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TC-NOUS71_DEV-08</t>
        </is>
      </c>
      <c r="B6" s="13" t="inlineStr">
        <is>
          <t>JST の入力と UTC の ISO 8601 を相互に変換する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TC-NOUS71_DEV-10</t>
        </is>
      </c>
      <c r="B7" s="13" t="inlineStr">
        <is>
          <t>状態ごとの色と文言を出し、失敗のときは failureKind も出す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TC-NOUS71_DEV-11</t>
        </is>
      </c>
      <c r="B8" s="13" t="inlineStr">
        <is>
          <t>絞り込みの変更が URL の検索パラメータに入り、行クリックで詳細へ遷移する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TC-UT_P207-001</t>
        </is>
      </c>
      <c r="B9" s="13" t="inlineStr">
        <is>
          <t>URL の知らない行動・状態と、空の値は絞り込みに入れない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TC-UT_P207-002</t>
        </is>
      </c>
      <c r="B10" s="13" t="inlineStr">
        <is>
          <t>値のある項目だけを URL に入れ、URL から読み直すと同じ絞り込みになる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TC-UT_P207-003</t>
        </is>
      </c>
      <c r="B11" s="13" t="inlineStr">
        <is>
          <t>秒まである JST の入力も UTC に変える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TC-UT_P207-004</t>
        </is>
      </c>
      <c r="B12" s="13" t="inlineStr">
        <is>
          <t>Z や +09:00 の付いた値をその時刻のまま扱い、読めない値は空にする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TC-UT_P207-005</t>
        </is>
      </c>
      <c r="B13" s="13" t="inlineStr">
        <is>
          <t>JST の 8:59 は UTC の前の日、9:00 は同じ日の 00:00 になる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TC-UT_P207-006</t>
        </is>
      </c>
      <c r="B14" s="13" t="inlineStr">
        <is>
          <t>UTC の 15:00 を JST の翌日 00:00 にし、読めない値は空にする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TC-UT_P207-007</t>
        </is>
      </c>
      <c r="B15" s="13" t="inlineStr">
        <is>
          <t>開始と終了が同じ時刻なら通し、1 秒でも開始が後なら文言を返し、片方だけなら通す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TC-UT_P207-008</t>
        </is>
      </c>
      <c r="B16" s="13" t="inlineStr">
        <is>
          <t>前後の空白を除いて検索し、25 字・27 字は文言を返す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TC-UT_P207-009</t>
        </is>
      </c>
      <c r="B17" s="13" t="inlineStr">
        <is>
          <t>実行 ID の英小文字は受け付けない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TC-UT_P207-010</t>
        </is>
      </c>
      <c r="B18" s="13" t="inlineStr">
        <is>
          <t>期間の開始を終了より後にすると、入力欄の下に文言を出し（様式④）、絞り込みを変えない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TC-UT_P207-011</t>
        </is>
      </c>
      <c r="B19" s="13" t="inlineStr">
        <is>
          <t>期間を入れると、ほかの絞り込みを残したまま、UTC の ISO 8601 で絞り込みを変える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TC-UT_P207-012</t>
        </is>
      </c>
      <c r="B20" s="13" t="inlineStr">
        <is>
          <t>実行 ID が誤っていれば文言を出し、入力を直すと文言を消す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TC-UT_P207-013</t>
        </is>
      </c>
      <c r="B21" s="13" t="inlineStr">
        <is>
          <t>「クリア」は絞り込みがあるときだけ出し、押すと絞り込みを空にする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TC-UT_P207-014</t>
        </is>
      </c>
      <c r="B22" s="13" t="inlineStr">
        <is>
          <t>エージェントの選択肢は「すべて」と各エージェントの表示名で、「すべて」を選ぶと絞り込みを外す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TC-UT_P207-015</t>
        </is>
      </c>
      <c r="B23" s="13" t="inlineStr">
        <is>
          <t>参加しない（gate）の行は決め方を「参加しない」、Neurons を 0 と出し、LLM の行は小数 1 桁で出す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TC-UT_P207-016</t>
        </is>
      </c>
      <c r="B24" s="13" t="inlineStr">
        <is>
          <t>不正な形式で失敗した行も、Neurons と試行の回数をそのまま出す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TC-UT_P207-017</t>
        </is>
      </c>
      <c r="B25" s="13" t="inlineStr">
        <is>
          <t>失敗の行の行動は、action の値があっても「―」と出す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TC-UT_P207-018</t>
        </is>
      </c>
      <c r="B26" s="13" t="inlineStr">
        <is>
          <t>失敗の種類は失敗・取り消し・中断の行だけに出し、成功の行は「―」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TC-UT_P207-019</t>
        </is>
      </c>
      <c r="B27" s="13" t="inlineStr">
        <is>
          <t>矛盾の候補は、あれば「あり」、なければ「―」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TC-UT_P207-020</t>
        </is>
      </c>
      <c r="B28" s="13" t="inlineStr">
        <is>
          <t>開始時刻は JST の HH:MM:SS で出し、日をまたぐと 00:00:00 になり、読めない値はそのまま出す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TC-UT_P207-021</t>
        </is>
      </c>
      <c r="B29" s="13" t="inlineStr">
        <is>
          <t>一覧が 0 件なら「条件に一致する生成イベントはありません」を出す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TC-UT_P207-022</t>
        </is>
      </c>
      <c r="B30" s="13" t="inlineStr">
        <is>
          <t>失敗の種類の 8 つを日本語にし、無いときは「―」にする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TC-UT_P207-023</t>
        </is>
      </c>
      <c r="B31" s="13" t="inlineStr">
        <is>
          <t>失敗でも種類が無ければ状態だけを出し、成功には種類を付けない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TC-UT_P207-024</t>
        </is>
      </c>
      <c r="B32" s="13" t="inlineStr">
        <is>
          <t>URL の絞り込みをそのまま一覧の API に渡し、期間は JST で入力欄に出す（P206・P203 からの移動）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TC-UT_P207-025</t>
        </is>
      </c>
      <c r="B33" s="13" t="inlineStr">
        <is>
          <t>続きがあれば「さらに読み込む」を出し、押すと cursor を付けて取得して末尾に足し、続きが無くなれば消す（E05）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TC-UT_P207-026</t>
        </is>
      </c>
      <c r="B34" s="13" t="inlineStr">
        <is>
          <t>一覧の取得が 500 なら「生成ログを取得できませんでした」をポップアップで出す（様式①）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TC-UT_P207-027</t>
        </is>
      </c>
      <c r="B35" s="13" t="inlineStr">
        <is>
          <t>一覧の取得が 401 ならセッション切れのポップアップを出す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TC-UT_P207-028</t>
        </is>
      </c>
      <c r="B36" s="13" t="inlineStr">
        <is>
          <t>一覧の画面で正しい実行 ID を入れて Enter を押すと、P208 を開く（E03）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TC-UT_P207-029</t>
        </is>
      </c>
      <c r="B37" s="13" t="inlineStr">
        <is>
          <t>エージェントの選択肢の取得に失敗しても、一覧と「すべて」だけの選択肢を出す</t>
        </is>
      </c>
      <c r="C37" s="13" t="inlineStr">
        <is>
          <t>未作成</t>
        </is>
      </c>
      <c r="D37" s="13" t="inlineStr"/>
      <c r="E37" s="13" t="inlineStr"/>
      <c r="F37" s="13" t="inlineStr"/>
    </row>
  </sheetData>
  <autoFilter ref="A4:F3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P207 生成ログ一覧（GenerationListPage・pages/generations の絞り込み・表・状態バッジ）</t>
        </is>
      </c>
    </row>
    <row r="4">
      <c r="A4" s="14" t="inlineStr">
        <is>
          <t>対象ファイル</t>
        </is>
      </c>
      <c r="B4" s="15" t="inlineStr">
        <is>
          <t>apps/admin/src/pages/GenerationListPage.tsx, apps/admin/src/pages/generations/GenerationFilters.tsx, apps/admin/src/pages/generations/GenerationTable.tsx, apps/admin/src/pages/generations/StatusBadge.tsx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apps/admin/src/pages/generations/generations.test.tsx（実装時、NOUS-71）, apps/admin/src/pages/generations/generations.ut.test.tsx（単体テストで追加）</t>
        </is>
      </c>
    </row>
    <row r="7">
      <c r="A7" s="14" t="inlineStr">
        <is>
          <t>外部依存</t>
        </is>
      </c>
      <c r="B7" s="15" t="inlineStr">
        <is>
          <t>管理 API（fetch。mockFetch で差し替える）, TanStack Query（useInfiniteQuery。renderApp の QueryClient）, react-router（renderApp の createMemoryRouter。URL の検索パラメータを読む）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action が ACTIONS に含まれる</t>
        </is>
      </c>
      <c r="C11" s="17" t="inlineStr">
        <is>
          <t>GenerationListPage.tsx:26-27</t>
        </is>
      </c>
    </row>
    <row r="12">
      <c r="A12" s="17" t="inlineStr">
        <is>
          <t>B2</t>
        </is>
      </c>
      <c r="B12" s="17" t="inlineStr">
        <is>
          <t>status が GENERATION_STATUSES に含まれる</t>
        </is>
      </c>
      <c r="C12" s="17" t="inlineStr">
        <is>
          <t>GenerationListPage.tsx:29-32</t>
        </is>
      </c>
    </row>
    <row r="13">
      <c r="A13" s="17" t="inlineStr">
        <is>
          <t>B3</t>
        </is>
      </c>
      <c r="B13" s="17" t="inlineStr">
        <is>
          <t>searchParams.get(…) || undefined（agentId・from・to が空でない）</t>
        </is>
      </c>
      <c r="C13" s="17" t="inlineStr">
        <is>
          <t>GenerationListPage.tsx:24・33・34</t>
        </is>
      </c>
    </row>
    <row r="14">
      <c r="A14" s="17" t="inlineStr">
        <is>
          <t>B4</t>
        </is>
      </c>
      <c r="B14" s="17" t="inlineStr">
        <is>
          <t>buildGenerationSearchParams の各項目に値がある</t>
        </is>
      </c>
      <c r="C14" s="17" t="inlineStr">
        <is>
          <t>GenerationListPage.tsx:40-44</t>
        </is>
      </c>
    </row>
    <row r="15">
      <c r="A15" s="17" t="inlineStr">
        <is>
          <t>B5</t>
        </is>
      </c>
      <c r="B15" s="17" t="inlineStr">
        <is>
          <t>lastPage.nextCursor ?? undefined（続きがある）</t>
        </is>
      </c>
      <c r="C15" s="17" t="inlineStr">
        <is>
          <t>GenerationListPage.tsx:67</t>
        </is>
      </c>
    </row>
    <row r="16">
      <c r="A16" s="17" t="inlineStr">
        <is>
          <t>B6</t>
        </is>
      </c>
      <c r="B16" s="17" t="inlineStr">
        <is>
          <t>query.isError &amp;&amp; query.error</t>
        </is>
      </c>
      <c r="C16" s="17" t="inlineStr">
        <is>
          <t>GenerationListPage.tsx:75</t>
        </is>
      </c>
    </row>
    <row r="17">
      <c r="A17" s="17" t="inlineStr">
        <is>
          <t>B7</t>
        </is>
      </c>
      <c r="B17" s="17" t="inlineStr">
        <is>
          <t>ApiError で status &gt;= 500、または NetworkError</t>
        </is>
      </c>
      <c r="C17" s="17" t="inlineStr">
        <is>
          <t>GenerationListPage.tsx:76</t>
        </is>
      </c>
    </row>
    <row r="18">
      <c r="A18" s="17" t="inlineStr">
        <is>
          <t>B8</t>
        </is>
      </c>
      <c r="B18" s="17" t="inlineStr">
        <is>
          <t>hasNextPage（さらに読み込むを出す）</t>
        </is>
      </c>
      <c r="C18" s="17" t="inlineStr">
        <is>
          <t>GenerationListPage.tsx:111</t>
        </is>
      </c>
    </row>
    <row r="19">
      <c r="A19" s="17" t="inlineStr">
        <is>
          <t>B9</t>
        </is>
      </c>
      <c r="B19" s="17" t="inlineStr">
        <is>
          <t>isFetchingNextPage（読み込み中）</t>
        </is>
      </c>
      <c r="C19" s="17" t="inlineStr">
        <is>
          <t>GenerationListPage.tsx:113-114</t>
        </is>
      </c>
    </row>
    <row r="20">
      <c r="A20" s="17" t="inlineStr">
        <is>
          <t>B10</t>
        </is>
      </c>
      <c r="B20" s="17" t="inlineStr">
        <is>
          <t>!iso（toLocalDateTime）</t>
        </is>
      </c>
      <c r="C20" s="17" t="inlineStr">
        <is>
          <t>GenerationFilters.tsx:19</t>
        </is>
      </c>
    </row>
    <row r="21">
      <c r="A21" s="17" t="inlineStr">
        <is>
          <t>B11</t>
        </is>
      </c>
      <c r="B21" s="17" t="inlineStr">
        <is>
          <t>Number.isNaN(ms)（toLocalDateTime）</t>
        </is>
      </c>
      <c r="C21" s="17" t="inlineStr">
        <is>
          <t>GenerationFilters.tsx:21</t>
        </is>
      </c>
    </row>
    <row r="22">
      <c r="A22" s="17" t="inlineStr">
        <is>
          <t>B12</t>
        </is>
      </c>
      <c r="B22" s="17" t="inlineStr">
        <is>
          <t>!trimmed（toUtcIso）</t>
        </is>
      </c>
      <c r="C22" s="17" t="inlineStr">
        <is>
          <t>GenerationFilters.tsx:29</t>
        </is>
      </c>
    </row>
    <row r="23">
      <c r="A23" s="17" t="inlineStr">
        <is>
          <t>B13</t>
        </is>
      </c>
      <c r="B23" s="17" t="inlineStr">
        <is>
          <t>YYYY-MM-DDTHH:mm の形（:00 を足す）</t>
        </is>
      </c>
      <c r="C23" s="17" t="inlineStr">
        <is>
          <t>GenerationFilters.tsx:30</t>
        </is>
      </c>
    </row>
    <row r="24">
      <c r="A24" s="17" t="inlineStr">
        <is>
          <t>B14</t>
        </is>
      </c>
      <c r="B24" s="17" t="inlineStr">
        <is>
          <t>hasOffset（Z か ±HH:MM がある）</t>
        </is>
      </c>
      <c r="C24" s="17" t="inlineStr">
        <is>
          <t>GenerationFilters.tsx:31-32</t>
        </is>
      </c>
    </row>
    <row r="25">
      <c r="A25" s="17" t="inlineStr">
        <is>
          <t>B15</t>
        </is>
      </c>
      <c r="B25" s="17" t="inlineStr">
        <is>
          <t>Number.isNaN(d.getTime())（toUtcIso）</t>
        </is>
      </c>
      <c r="C25" s="17" t="inlineStr">
        <is>
          <t>GenerationFilters.tsx:33</t>
        </is>
      </c>
    </row>
    <row r="26">
      <c r="A26" s="17" t="inlineStr">
        <is>
          <t>B16</t>
        </is>
      </c>
      <c r="B26" s="17" t="inlineStr">
        <is>
          <t>!fromIso || !toIso（validateGenerationRange）</t>
        </is>
      </c>
      <c r="C26" s="17" t="inlineStr">
        <is>
          <t>GenerationFilters.tsx:39</t>
        </is>
      </c>
    </row>
    <row r="27">
      <c r="A27" s="17" t="inlineStr">
        <is>
          <t>B17</t>
        </is>
      </c>
      <c r="B27" s="17" t="inlineStr">
        <is>
          <t>Date.parse(from) &gt; Date.parse(to)</t>
        </is>
      </c>
      <c r="C27" s="17" t="inlineStr">
        <is>
          <t>GenerationFilters.tsx:40</t>
        </is>
      </c>
    </row>
    <row r="28">
      <c r="A28" s="17" t="inlineStr">
        <is>
          <t>B18</t>
        </is>
      </c>
      <c r="B28" s="17" t="inlineStr">
        <is>
          <t>!EVENT_ID_PATTERN.test(trimmed)</t>
        </is>
      </c>
      <c r="C28" s="17" t="inlineStr">
        <is>
          <t>GenerationFilters.tsx:47</t>
        </is>
      </c>
    </row>
    <row r="29">
      <c r="A29" s="17" t="inlineStr">
        <is>
          <t>B19</t>
        </is>
      </c>
      <c r="B29" s="17" t="inlineStr">
        <is>
          <t>!err（期間を変える）</t>
        </is>
      </c>
      <c r="C29" s="17" t="inlineStr">
        <is>
          <t>GenerationFilters.tsx:100</t>
        </is>
      </c>
    </row>
    <row r="30">
      <c r="A30" s="17" t="inlineStr">
        <is>
          <t>B20</t>
        </is>
      </c>
      <c r="B30" s="17" t="inlineStr">
        <is>
          <t>eventIdError（入力で文言を消す）</t>
        </is>
      </c>
      <c r="C30" s="17" t="inlineStr">
        <is>
          <t>GenerationFilters.tsx:191</t>
        </is>
      </c>
    </row>
    <row r="31">
      <c r="A31" s="17" t="inlineStr">
        <is>
          <t>B21</t>
        </is>
      </c>
      <c r="B31" s="17" t="inlineStr">
        <is>
          <t>絞り込みのどれかに値がある（クリアを出す）</t>
        </is>
      </c>
      <c r="C31" s="17" t="inlineStr">
        <is>
          <t>GenerationFilters.tsx:198</t>
        </is>
      </c>
    </row>
    <row r="32">
      <c r="A32" s="17" t="inlineStr">
        <is>
          <t>B22</t>
        </is>
      </c>
      <c r="B32" s="17" t="inlineStr">
        <is>
          <t>Number.isNaN(ms)（formatStartedTimeJst）</t>
        </is>
      </c>
      <c r="C32" s="17" t="inlineStr">
        <is>
          <t>GenerationTable.tsx:18</t>
        </is>
      </c>
    </row>
    <row r="33">
      <c r="A33" s="17" t="inlineStr">
        <is>
          <t>B23</t>
        </is>
      </c>
      <c r="B33" s="17" t="inlineStr">
        <is>
          <t>r.action ?? "―"</t>
        </is>
      </c>
      <c r="C33" s="17" t="inlineStr">
        <is>
          <t>GenerationTable.tsx:33</t>
        </is>
      </c>
    </row>
    <row r="34">
      <c r="A34" s="17" t="inlineStr">
        <is>
          <t>B24</t>
        </is>
      </c>
      <c r="B34" s="17" t="inlineStr">
        <is>
          <t>status が failed・cancelled・interrupted（失敗の種類を出す）</t>
        </is>
      </c>
      <c r="C34" s="17" t="inlineStr">
        <is>
          <t>GenerationTable.tsx:44</t>
        </is>
      </c>
    </row>
    <row r="35">
      <c r="A35" s="17" t="inlineStr">
        <is>
          <t>B25</t>
        </is>
      </c>
      <c r="B35" s="17" t="inlineStr">
        <is>
          <t>decidedBy === "gate"（Neurons を 0）</t>
        </is>
      </c>
      <c r="C35" s="17" t="inlineStr">
        <is>
          <t>GenerationTable.tsx:52</t>
        </is>
      </c>
    </row>
    <row r="36">
      <c r="A36" s="17" t="inlineStr">
        <is>
          <t>B26</t>
        </is>
      </c>
      <c r="B36" s="17" t="inlineStr">
        <is>
          <t>hasConsistencyFlags</t>
        </is>
      </c>
      <c r="C36" s="17" t="inlineStr">
        <is>
          <t>GenerationTable.tsx:59</t>
        </is>
      </c>
    </row>
    <row r="37">
      <c r="A37" s="17" t="inlineStr">
        <is>
          <t>B27</t>
        </is>
      </c>
      <c r="B37" s="17" t="inlineStr">
        <is>
          <t>showFailure（失敗・取り消し・中断で failureKind がある）</t>
        </is>
      </c>
      <c r="C37" s="17" t="inlineStr">
        <is>
          <t>StatusBadge.tsx:43</t>
        </is>
      </c>
    </row>
    <row r="38">
      <c r="A38" s="17" t="inlineStr">
        <is>
          <t>B28</t>
        </is>
      </c>
      <c r="B38" s="17" t="inlineStr">
        <is>
          <t>!kind（formatFailureKind）</t>
        </is>
      </c>
      <c r="C38" s="17" t="inlineStr">
        <is>
          <t>StatusBadge.tsx:33</t>
        </is>
      </c>
    </row>
    <row r="40">
      <c r="A40" s="14" t="inlineStr">
        <is>
          <t>確認事項・潜在バグ</t>
        </is>
      </c>
    </row>
    <row r="41" ht="30" customHeight="1">
      <c r="A41" s="18" t="inlineStr">
        <is>
          <t>・疑い 1：画面基本設計書 H09 は失敗の行の行動を「―」と定めているが、GenerationTable は action ?? "―" のため、失敗の行でも action に値があればそのまま出す（TC-UT_P207-017）。サーバーが失敗の生成イベントに action を入れなければ表には現れないので、影響は小さいと考える。</t>
        </is>
      </c>
    </row>
    <row r="42" ht="30" customHeight="1">
      <c r="A42" s="18" t="inlineStr">
        <is>
          <t>・確認事項 2：画面基本設計書 H15 は「あり（N 件）」だが、一覧の API の GenerationItem は hasConsistencyFlags（真偽）だけで件数を持たない。今は「あり」とだけ出す（TC-UT_P207-019）。件数を出すなら API の変更が要る。</t>
        </is>
      </c>
    </row>
    <row r="43" ht="30" customHeight="1">
      <c r="A43" s="18" t="inlineStr">
        <is>
          <t>・確認事項 3：実行 ID は設計書 6章の正規表現（Crockford Base32 の英大文字）で検査するため、英小文字で貼ると「実行 ID は 26 字です」になる（TC-UT_P207-009）。ULID は大小を区別しないので、大文字に直してから検査するかを確認したい。</t>
        </is>
      </c>
    </row>
    <row r="44" ht="30" customHeight="1">
      <c r="A44" s="18" t="inlineStr">
        <is>
          <t>・確認事項 4：TC-NOUS71_DEV-11 は findByText("ミナト") を使うが、エージェントの選択肢（option）にも「ミナト」があるため、複数の要素に当たって失敗する可能性がある。DEV のテストは直さず、実施のときに結果を見る。UT では表のセル（role=cell）で探している。</t>
        </is>
      </c>
    </row>
    <row r="45" ht="30" customHeight="1">
      <c r="A45" s="18" t="inlineStr">
        <is>
          <t>・確認事項 5：エージェントの選択肢の取得（GET /admin/api/agents）が失敗しても何も知らせず、選択肢が「すべて」だけになる（TC-UT_P207-029）。</t>
        </is>
      </c>
    </row>
  </sheetData>
  <mergeCells count="5">
    <mergeCell ref="A42:C42"/>
    <mergeCell ref="A41:C41"/>
    <mergeCell ref="A44:C44"/>
    <mergeCell ref="A45:C45"/>
    <mergeCell ref="A43:C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2026-10-26T06:11:53Z</dcterms:created>
  <dcterms:modified xsi:type="dcterms:W3CDTF">2026-10-26T06:11:53Z</dcterms:modified>
</cp:coreProperties>
</file>