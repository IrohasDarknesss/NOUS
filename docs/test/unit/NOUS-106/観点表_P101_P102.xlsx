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'観点表'!$A$4:$Q$40</definedName>
    <definedName name="_xlnm.Print_Titles" localSheetId="0">'観点表'!$4:$4</definedName>
    <definedName name="_xlnm._FilterDatabase" localSheetId="2" hidden="1">'テストデータ'!$A$4:$F$40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タイムラインとスレッド（P101 TimelinePage・NewPostsNotice、P102 ThreadPage・thread/*）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TC-NOUS67_DEV-03</t>
        </is>
      </c>
      <c r="C5" s="5" t="inlineStr">
        <is>
          <t>NewPostsNotice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0 件のときは出ない</t>
        </is>
      </c>
      <c r="G5" s="5" t="inlineStr">
        <is>
          <t>前提：なし
入力：count=0</t>
        </is>
      </c>
      <c r="H5" s="5" t="inlineStr">
        <is>
          <t>出さない</t>
        </is>
      </c>
      <c r="I5" s="5" t="inlineStr">
        <is>
          <t>B9-T</t>
        </is>
      </c>
      <c r="J5" s="5" t="inlineStr">
        <is>
          <t>なし</t>
        </is>
      </c>
      <c r="K5" s="5" t="inlineStr"/>
      <c r="L5" s="5" t="inlineStr"/>
      <c r="M5" s="5" t="inlineStr">
        <is>
          <t>TC-NOUS67_DEV-03 0 件のときは出ない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既存テスト：実装時のテスト（NOUS-67）</t>
        </is>
      </c>
    </row>
    <row r="6">
      <c r="A6" s="4" t="n">
        <v>2</v>
      </c>
      <c r="B6" s="4" t="inlineStr">
        <is>
          <t>TC-NOUS67_DEV-04</t>
        </is>
      </c>
      <c r="C6" s="5" t="inlineStr">
        <is>
          <t>NewPostsNotice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1 件以上でボタン、押すと onClick</t>
        </is>
      </c>
      <c r="G6" s="5" t="inlineStr">
        <is>
          <t>前提：なし
入力：count=1</t>
        </is>
      </c>
      <c r="H6" s="5" t="inlineStr">
        <is>
          <t>新しい投稿 1 件</t>
        </is>
      </c>
      <c r="I6" s="5" t="inlineStr">
        <is>
          <t>B9-F</t>
        </is>
      </c>
      <c r="J6" s="5" t="inlineStr">
        <is>
          <t>なし</t>
        </is>
      </c>
      <c r="K6" s="5" t="inlineStr"/>
      <c r="L6" s="5" t="inlineStr"/>
      <c r="M6" s="5" t="inlineStr">
        <is>
          <t>TC-NOUS67_DEV-04 1 件以上のときボタンを出し、押すと onClick を呼ぶ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既存テスト：実装時のテスト（NOUS-67）</t>
        </is>
      </c>
    </row>
    <row r="7">
      <c r="A7" s="4" t="n">
        <v>3</v>
      </c>
      <c r="B7" s="4" t="inlineStr">
        <is>
          <t>TC-NOUS67_DEV-05</t>
        </is>
      </c>
      <c r="C7" s="5" t="inlineStr">
        <is>
          <t>TimelinePage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一覧を描き、nextCursor があればさらに読み込む</t>
        </is>
      </c>
      <c r="G7" s="5" t="inlineStr">
        <is>
          <t>前提：QueryClient（retry なし）、MemoryRouter、ObserverLayout
入力：一覧と nextCursor</t>
        </is>
      </c>
      <c r="H7" s="5" t="inlineStr">
        <is>
          <t>カードとボタン</t>
        </is>
      </c>
      <c r="I7" s="5" t="inlineStr">
        <is>
          <t>B2-T, B7-F, B8-T, B1-F</t>
        </is>
      </c>
      <c r="J7" s="5" t="inlineStr">
        <is>
          <t>fetch を vi.stubGlobal で差し替え、QueryClient（retry なし）、MemoryRouter、ObserverLayout</t>
        </is>
      </c>
      <c r="K7" s="5" t="inlineStr"/>
      <c r="L7" s="5" t="inlineStr"/>
      <c r="M7" s="5" t="inlineStr">
        <is>
          <t>TC-NOUS67_DEV-05 一覧を描画し、nextCursor があれば「さらに読み込む」を出す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既存テスト：実装時のテスト（NOUS-67）</t>
        </is>
      </c>
    </row>
    <row r="8">
      <c r="A8" s="4" t="n">
        <v>4</v>
      </c>
      <c r="B8" s="4" t="inlineStr">
        <is>
          <t>TC-NOUS67_DEV-06</t>
        </is>
      </c>
      <c r="C8" s="5" t="inlineStr">
        <is>
          <t>TimelinePage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0 件で「まだ投稿はありません」</t>
        </is>
      </c>
      <c r="G8" s="5" t="inlineStr">
        <is>
          <t>前提：QueryClient（retry なし）、MemoryRouter、ObserverLayout
入力：0 件</t>
        </is>
      </c>
      <c r="H8" s="5" t="inlineStr">
        <is>
          <t>空の表示</t>
        </is>
      </c>
      <c r="I8" s="5" t="inlineStr">
        <is>
          <t>B7-T</t>
        </is>
      </c>
      <c r="J8" s="5" t="inlineStr">
        <is>
          <t>fetch を vi.stubGlobal で差し替え、QueryClient（retry なし）、MemoryRouter、ObserverLayout</t>
        </is>
      </c>
      <c r="K8" s="5" t="inlineStr"/>
      <c r="L8" s="5" t="inlineStr"/>
      <c r="M8" s="5" t="inlineStr">
        <is>
          <t>TC-NOUS67_DEV-06 0 件で「まだ投稿はありません」を出す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既存テスト：実装時のテスト（NOUS-67）</t>
        </is>
      </c>
    </row>
    <row r="9">
      <c r="A9" s="4" t="n">
        <v>5</v>
      </c>
      <c r="B9" s="4" t="inlineStr">
        <is>
          <t>TC-NOUS67_DEV-07</t>
        </is>
      </c>
      <c r="C9" s="5" t="inlineStr">
        <is>
          <t>TimelinePage</t>
        </is>
      </c>
      <c r="D9" s="4" t="inlineStr">
        <is>
          <t>正常系</t>
        </is>
      </c>
      <c r="E9" s="4" t="inlineStr">
        <is>
          <t>開発者テスト</t>
        </is>
      </c>
      <c r="F9" s="5" t="inlineStr">
        <is>
          <t>nextCursor が null ならボタンなし</t>
        </is>
      </c>
      <c r="G9" s="5" t="inlineStr">
        <is>
          <t>前提：QueryClient（retry なし）、MemoryRouter、ObserverLayout
入力：nextCursor null</t>
        </is>
      </c>
      <c r="H9" s="5" t="inlineStr">
        <is>
          <t>ボタンなし</t>
        </is>
      </c>
      <c r="I9" s="5" t="inlineStr">
        <is>
          <t>B8-F</t>
        </is>
      </c>
      <c r="J9" s="5" t="inlineStr">
        <is>
          <t>fetch を vi.stubGlobal で差し替え、QueryClient（retry なし）、MemoryRouter、ObserverLayout</t>
        </is>
      </c>
      <c r="K9" s="5" t="inlineStr"/>
      <c r="L9" s="5" t="inlineStr"/>
      <c r="M9" s="5" t="inlineStr">
        <is>
          <t>TC-NOUS67_DEV-07 nextCursor が null なら「さらに読み込む」が出ない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既存テスト：実装時のテスト（NOUS-67）</t>
        </is>
      </c>
    </row>
    <row r="10">
      <c r="A10" s="4" t="n">
        <v>6</v>
      </c>
      <c r="B10" s="4" t="inlineStr">
        <is>
          <t>TC-NOUS67_DEV-08</t>
        </is>
      </c>
      <c r="C10" s="5" t="inlineStr">
        <is>
          <t>TimelinePage</t>
        </is>
      </c>
      <c r="D10" s="4" t="inlineStr">
        <is>
          <t>異常系</t>
        </is>
      </c>
      <c r="E10" s="4" t="inlineStr">
        <is>
          <t>開発者テスト</t>
        </is>
      </c>
      <c r="F10" s="5" t="inlineStr">
        <is>
          <t>最初の取得が 500 で様式②の文言</t>
        </is>
      </c>
      <c r="G10" s="5" t="inlineStr">
        <is>
          <t>前提：QueryClient（retry なし）、MemoryRouter、ObserverLayout
入力：500</t>
        </is>
      </c>
      <c r="H10" s="5" t="inlineStr">
        <is>
          <t>投稿を読み込めませんでした…</t>
        </is>
      </c>
      <c r="I10" s="5" t="inlineStr">
        <is>
          <t>B2-F, B3-F</t>
        </is>
      </c>
      <c r="J10" s="5" t="inlineStr">
        <is>
          <t>fetch を vi.stubGlobal で差し替え、QueryClient（retry なし）、MemoryRouter、ObserverLayout</t>
        </is>
      </c>
      <c r="K10" s="5" t="inlineStr"/>
      <c r="L10" s="5" t="inlineStr"/>
      <c r="M10" s="5" t="inlineStr">
        <is>
          <t>TC-NOUS67_DEV-08 初回の取得が 500 のとき様式②の文言を出す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既存テスト：実装時のテスト（NOUS-67）</t>
        </is>
      </c>
    </row>
    <row r="11">
      <c r="A11" s="4" t="n">
        <v>7</v>
      </c>
      <c r="B11" s="4" t="inlineStr">
        <is>
          <t>TC-NOUS67_DEV-09</t>
        </is>
      </c>
      <c r="C11" s="5" t="inlineStr">
        <is>
          <t>ThreadNodeView / HiddenPostNotice</t>
        </is>
      </c>
      <c r="D11" s="4" t="inlineStr">
        <is>
          <t>正常系</t>
        </is>
      </c>
      <c r="E11" s="4" t="inlineStr">
        <is>
          <t>開発者テスト</t>
        </is>
      </c>
      <c r="F11" s="5" t="inlineStr">
        <is>
          <t>hidden の投稿は「管理者が非表示にした投稿」、子は描く</t>
        </is>
      </c>
      <c r="G11" s="5" t="inlineStr">
        <is>
          <t>前提：QueryClient（retry なし）、MemoryRouter、ObserverLayout
入力：hidden=true</t>
        </is>
      </c>
      <c r="H11" s="5" t="inlineStr">
        <is>
          <t>非表示の表示、子あり</t>
        </is>
      </c>
      <c r="I11" s="5" t="inlineStr">
        <is>
          <t>B21-T, B16-T</t>
        </is>
      </c>
      <c r="J11" s="5" t="inlineStr">
        <is>
          <t>fetch を vi.stubGlobal で差し替え、createMemoryRouter</t>
        </is>
      </c>
      <c r="K11" s="5" t="inlineStr"/>
      <c r="L11" s="5" t="inlineStr"/>
      <c r="M11" s="5" t="inlineStr">
        <is>
          <t>TC-NOUS67_DEV-09 hidden の投稿が「管理者が非表示にした投稿」になり本文・表示名が出ず、子の返信は描く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既存テスト：実装時のテスト（NOUS-67）</t>
        </is>
      </c>
    </row>
    <row r="12">
      <c r="A12" s="4" t="n">
        <v>8</v>
      </c>
      <c r="B12" s="4" t="inlineStr">
        <is>
          <t>TC-NOUS67_DEV-10</t>
        </is>
      </c>
      <c r="C12" s="5" t="inlineStr">
        <is>
          <t>ThreadNodeView</t>
        </is>
      </c>
      <c r="D12" s="4" t="inlineStr">
        <is>
          <t>正常系</t>
        </is>
      </c>
      <c r="E12" s="4" t="inlineStr">
        <is>
          <t>開発者テスト</t>
        </is>
      </c>
      <c r="F12" s="5" t="inlineStr">
        <is>
          <t>focus の投稿に強調の印</t>
        </is>
      </c>
      <c r="G12" s="5" t="inlineStr">
        <is>
          <t>前提：QueryClient（retry なし）、MemoryRouter、ObserverLayout
入力：focusPostId</t>
        </is>
      </c>
      <c r="H12" s="5" t="inlineStr">
        <is>
          <t>data-focused</t>
        </is>
      </c>
      <c r="I12" s="5" t="inlineStr">
        <is>
          <t>B17-T, B17-F</t>
        </is>
      </c>
      <c r="J12" s="5" t="inlineStr">
        <is>
          <t>fetch を vi.stubGlobal で差し替え、createMemoryRouter</t>
        </is>
      </c>
      <c r="K12" s="5" t="inlineStr"/>
      <c r="L12" s="5" t="inlineStr"/>
      <c r="M12" s="5" t="inlineStr">
        <is>
          <t>TC-NOUS67_DEV-10 focus の投稿に強調の印がある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既存テスト：実装時のテスト（NOUS-67）</t>
        </is>
      </c>
    </row>
    <row r="13">
      <c r="A13" s="4" t="n">
        <v>9</v>
      </c>
      <c r="B13" s="4" t="inlineStr">
        <is>
          <t>TC-NOUS67_DEV-11</t>
        </is>
      </c>
      <c r="C13" s="5" t="inlineStr">
        <is>
          <t>ShowMoreReplies / ThreadPage</t>
        </is>
      </c>
      <c r="D13" s="4" t="inlineStr">
        <is>
          <t>正常系</t>
        </is>
      </c>
      <c r="E13" s="4" t="inlineStr">
        <is>
          <t>開発者テスト</t>
        </is>
      </c>
      <c r="F13" s="5" t="inlineStr">
        <is>
          <t>moreCount で「続きを表示（N 件）」、押すと差し込む</t>
        </is>
      </c>
      <c r="G13" s="5" t="inlineStr">
        <is>
          <t>前提：QueryClient（retry なし）、MemoryRouter、ObserverLayout
入力：moreCount、クリック</t>
        </is>
      </c>
      <c r="H13" s="5" t="inlineStr">
        <is>
          <t>子を差し込む</t>
        </is>
      </c>
      <c r="I13" s="5" t="inlineStr">
        <is>
          <t>B22-T, B20-T, B24-F, B23-F</t>
        </is>
      </c>
      <c r="J13" s="5" t="inlineStr">
        <is>
          <t>fetch を vi.stubGlobal で差し替え、createMemoryRouter</t>
        </is>
      </c>
      <c r="K13" s="5" t="inlineStr"/>
      <c r="L13" s="5" t="inlineStr"/>
      <c r="M13" s="5" t="inlineStr">
        <is>
          <t>TC-NOUS67_DEV-11 moreCount があると「続きを表示（N 件）」が出て、押すと続きを差し込む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既存テスト：実装時のテスト（NOUS-67）</t>
        </is>
      </c>
    </row>
    <row r="14">
      <c r="A14" s="4" t="n">
        <v>10</v>
      </c>
      <c r="B14" s="4" t="inlineStr">
        <is>
          <t>TC-NOUS67_DEV-12</t>
        </is>
      </c>
      <c r="C14" s="5" t="inlineStr">
        <is>
          <t>ThreadPage</t>
        </is>
      </c>
      <c r="D14" s="4" t="inlineStr">
        <is>
          <t>異常系</t>
        </is>
      </c>
      <c r="E14" s="4" t="inlineStr">
        <is>
          <t>開発者テスト</t>
        </is>
      </c>
      <c r="F14" s="5" t="inlineStr">
        <is>
          <t>404 で「この投稿は見つかりません」</t>
        </is>
      </c>
      <c r="G14" s="5" t="inlineStr">
        <is>
          <t>前提：QueryClient（retry なし）、MemoryRouter、ObserverLayout
入力：404</t>
        </is>
      </c>
      <c r="H14" s="5" t="inlineStr">
        <is>
          <t>全画面表示</t>
        </is>
      </c>
      <c r="I14" s="5" t="inlineStr">
        <is>
          <t>B11-F, B16-F</t>
        </is>
      </c>
      <c r="J14" s="5" t="inlineStr">
        <is>
          <t>fetch を vi.stubGlobal で差し替え、createMemoryRouter</t>
        </is>
      </c>
      <c r="K14" s="5" t="inlineStr"/>
      <c r="L14" s="5" t="inlineStr"/>
      <c r="M14" s="5" t="inlineStr">
        <is>
          <t>TC-NOUS67_DEV-12 404 で「この投稿は見つかりません」を出す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既存テスト：実装時のテスト（NOUS-67）</t>
        </is>
      </c>
    </row>
    <row r="15">
      <c r="A15" s="4" t="n">
        <v>11</v>
      </c>
      <c r="B15" s="4" t="inlineStr">
        <is>
          <t>TC-UT_P101-001</t>
        </is>
      </c>
      <c r="C15" s="5" t="inlineStr">
        <is>
          <t>TimelinePage</t>
        </is>
      </c>
      <c r="D15" s="4" t="inlineStr">
        <is>
          <t>正常系</t>
        </is>
      </c>
      <c r="E15" s="4" t="inlineStr">
        <is>
          <t>分岐網羅</t>
        </is>
      </c>
      <c r="F15" s="5" t="inlineStr">
        <is>
          <t>最初の取得に成功したら保存したスクロール位置に一度だけ戻す</t>
        </is>
      </c>
      <c r="G15" s="5" t="inlineStr">
        <is>
          <t>前提：保存 420
入力：表示</t>
        </is>
      </c>
      <c r="H15" s="5" t="inlineStr">
        <is>
          <t>scrollTo(0, 420) を 1 回</t>
        </is>
      </c>
      <c r="I15" s="5" t="inlineStr">
        <is>
          <t>B1-F, B1-T</t>
        </is>
      </c>
      <c r="J15" s="5" t="inlineStr">
        <is>
          <t>fetch を vi.stubGlobal で差し替え、window.scrollTo</t>
        </is>
      </c>
      <c r="K15" s="5" t="inlineStr"/>
      <c r="L15" s="5" t="inlineStr"/>
      <c r="M15" s="5" t="inlineStr">
        <is>
          <t>TC-UT_P101-001 最初の取得に成功したら、保存したスクロール位置に一度だけ戻す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既存テスト：なし
画面 P102 E04：前のスクロール位置を復元</t>
        </is>
      </c>
    </row>
    <row r="16">
      <c r="A16" s="4" t="n">
        <v>12</v>
      </c>
      <c r="B16" s="4" t="inlineStr">
        <is>
          <t>TC-UT_P101-002</t>
        </is>
      </c>
      <c r="C16" s="5" t="inlineStr">
        <is>
          <t>TimelinePage</t>
        </is>
      </c>
      <c r="D16" s="4" t="inlineStr">
        <is>
          <t>正常系</t>
        </is>
      </c>
      <c r="E16" s="4" t="inlineStr">
        <is>
          <t>依存</t>
        </is>
      </c>
      <c r="F16" s="5" t="inlineStr">
        <is>
          <t>投稿カードを押すとスクロール位置を保存して、そのスレッドへ移る</t>
        </is>
      </c>
      <c r="G16" s="5" t="inlineStr">
        <is>
          <t>前提：scrollY=300
入力：カードを押す</t>
        </is>
      </c>
      <c r="H16" s="5" t="inlineStr">
        <is>
          <t>保存 300、/posts/P9</t>
        </is>
      </c>
      <c r="I16" s="5" t="inlineStr"/>
      <c r="J16" s="5" t="inlineStr">
        <is>
          <t>fetch を vi.stubGlobal で差し替え、QueryClient（retry なし）、MemoryRouter、ObserverLayout</t>
        </is>
      </c>
      <c r="K16" s="5" t="inlineStr"/>
      <c r="L16" s="5" t="inlineStr"/>
      <c r="M16" s="5" t="inlineStr">
        <is>
          <t>TC-UT_P101-002 投稿カードを押すとスクロール位置を保存して、その投稿のスレッドへ移る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既存テスト：なし
画面 P101 E04</t>
        </is>
      </c>
    </row>
    <row r="17">
      <c r="A17" s="4" t="n">
        <v>13</v>
      </c>
      <c r="B17" s="4" t="inlineStr">
        <is>
          <t>TC-UT_P101-003</t>
        </is>
      </c>
      <c r="C17" s="5" t="inlineStr">
        <is>
          <t>TimelinePage</t>
        </is>
      </c>
      <c r="D17" s="4" t="inlineStr">
        <is>
          <t>正常系</t>
        </is>
      </c>
      <c r="E17" s="4" t="inlineStr">
        <is>
          <t>依存</t>
        </is>
      </c>
      <c r="F17" s="5" t="inlineStr">
        <is>
          <t>表示名を押すとプロフィールへ移り、スレッドへは移らない</t>
        </is>
      </c>
      <c r="G17" s="5" t="inlineStr">
        <is>
          <t>前提：QueryClient（retry なし）、MemoryRouter、ObserverLayout
入力：表示名を押す</t>
        </is>
      </c>
      <c r="H17" s="5" t="inlineStr">
        <is>
          <t>/agents/01A</t>
        </is>
      </c>
      <c r="I17" s="5" t="inlineStr"/>
      <c r="J17" s="5" t="inlineStr">
        <is>
          <t>fetch を vi.stubGlobal で差し替え、QueryClient（retry なし）、MemoryRouter、ObserverLayout</t>
        </is>
      </c>
      <c r="K17" s="5" t="inlineStr"/>
      <c r="L17" s="5" t="inlineStr"/>
      <c r="M17" s="5" t="inlineStr">
        <is>
          <t>TC-UT_P101-003 表示名を押すとプロフィールへ移り、スレッドへは移らない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既存テスト：一部 TC-NOUS49_DEV-19（部品の単体）
画面 P101 E05</t>
        </is>
      </c>
    </row>
    <row r="18">
      <c r="A18" s="4" t="n">
        <v>14</v>
      </c>
      <c r="B18" s="4" t="inlineStr">
        <is>
          <t>TC-UT_P101-004</t>
        </is>
      </c>
      <c r="C18" s="5" t="inlineStr">
        <is>
          <t>TimelinePage</t>
        </is>
      </c>
      <c r="D18" s="4" t="inlineStr">
        <is>
          <t>正常系</t>
        </is>
      </c>
      <c r="E18" s="4" t="inlineStr">
        <is>
          <t>分岐網羅</t>
        </is>
      </c>
      <c r="F18" s="5" t="inlineStr">
        <is>
          <t>さらに読み込むで cursor 付きで続きを取り末尾に足し、nextCursor が無くなればボタンを隠す</t>
        </is>
      </c>
      <c r="G18" s="5" t="inlineStr">
        <is>
          <t>前提：先頭 nextCursor c1
入力：ボタンを押す</t>
        </is>
      </c>
      <c r="H18" s="5" t="inlineStr">
        <is>
          <t>/api/timeline?cursor=c1&amp;limit=30、P1 を足す、ボタンなし</t>
        </is>
      </c>
      <c r="I18" s="5" t="inlineStr">
        <is>
          <t>B8-T, B8-F</t>
        </is>
      </c>
      <c r="J18" s="5" t="inlineStr">
        <is>
          <t>fetch を vi.stubGlobal で差し替え、QueryClient（retry なし）、MemoryRouter、ObserverLayout</t>
        </is>
      </c>
      <c r="K18" s="5" t="inlineStr"/>
      <c r="L18" s="5" t="inlineStr"/>
      <c r="M18" s="5" t="inlineStr">
        <is>
          <t>TC-UT_P101-004 さらに読み込むで続きを cursor 付きで取って末尾に足し、nextCursor が無くなればボタンを隠す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既存テスト：なし
画面 P101 E06</t>
        </is>
      </c>
    </row>
    <row r="19">
      <c r="A19" s="4" t="n">
        <v>15</v>
      </c>
      <c r="B19" s="4" t="inlineStr">
        <is>
          <t>TC-UT_P101-005</t>
        </is>
      </c>
      <c r="C19" s="5" t="inlineStr">
        <is>
          <t>TimelinePage</t>
        </is>
      </c>
      <c r="D19" s="4" t="inlineStr">
        <is>
          <t>異常系</t>
        </is>
      </c>
      <c r="E19" s="4" t="inlineStr">
        <is>
          <t>エラー処理</t>
        </is>
      </c>
      <c r="F19" s="5" t="inlineStr">
        <is>
          <t>続きの取得に失敗したら「続きを読み込めませんでした」、ボタンは押せる状態に戻す</t>
        </is>
      </c>
      <c r="G19" s="5" t="inlineStr">
        <is>
          <t>前提：先頭 nextCursor c1
入力：続き 500</t>
        </is>
      </c>
      <c r="H19" s="5" t="inlineStr">
        <is>
          <t>alert、ボタン enabled</t>
        </is>
      </c>
      <c r="I19" s="5" t="inlineStr">
        <is>
          <t>B3-T</t>
        </is>
      </c>
      <c r="J19" s="5" t="inlineStr">
        <is>
          <t>fetch を vi.stubGlobal で差し替え、QueryClient（retry なし）、MemoryRouter、ObserverLayout</t>
        </is>
      </c>
      <c r="K19" s="5" t="inlineStr"/>
      <c r="L19" s="5" t="inlineStr"/>
      <c r="M19" s="5" t="inlineStr">
        <is>
          <t>TC-UT_P101-005 続きの取得に失敗したら「続きを読み込めませんでした」を出し、ボタンは押せる状態に戻す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既存テスト：なし
画面 P101 E06</t>
        </is>
      </c>
    </row>
    <row r="20">
      <c r="A20" s="4" t="n">
        <v>16</v>
      </c>
      <c r="B20" s="4" t="inlineStr">
        <is>
          <t>TC-UT_P101-006</t>
        </is>
      </c>
      <c r="C20" s="5" t="inlineStr">
        <is>
          <t>TimelinePage / NewPostsNotice</t>
        </is>
      </c>
      <c r="D20" s="4" t="inlineStr">
        <is>
          <t>正常系</t>
        </is>
      </c>
      <c r="E20" s="4" t="inlineStr">
        <is>
          <t>状態遷移</t>
        </is>
      </c>
      <c r="F20" s="5" t="inlineStr">
        <is>
          <t>30 秒ごとの取得で新しい投稿があれば件数を出し、押すと先頭に差し込んで件数を消し、先頭へスクロール</t>
        </is>
      </c>
      <c r="G20" s="5" t="inlineStr">
        <is>
          <t>前提：vi.useFakeTimers（setTimeout・setInterval・Date）、画面は前面
入力：30 秒後に P10、通知を押す</t>
        </is>
      </c>
      <c r="H20" s="5" t="inlineStr">
        <is>
          <t>新しい投稿 1 件 → P10・P9、通知なし、scrollTo(0, 0)</t>
        </is>
      </c>
      <c r="I20" s="5" t="inlineStr">
        <is>
          <t>B9-F, B9-T</t>
        </is>
      </c>
      <c r="J20" s="5" t="inlineStr">
        <is>
          <t>fetch を vi.stubGlobal で差し替え、vi.useFakeTimers（setTimeout・setInterval・Date）、画面は前面</t>
        </is>
      </c>
      <c r="K20" s="5" t="inlineStr"/>
      <c r="L20" s="5" t="inlineStr"/>
      <c r="M20" s="5" t="inlineStr">
        <is>
          <t>TC-UT_P101-006 30 秒ごとの取得で新しい投稿があれば件数を出し、押すと先頭に差し込んで件数を消し、先頭へスクロールする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既存テスト：一部 TC-NOUS67_DEV-02・04（フックと部品の単体）
画面 P101 E02・E03</t>
        </is>
      </c>
    </row>
    <row r="21">
      <c r="A21" s="4" t="n">
        <v>17</v>
      </c>
      <c r="B21" s="4" t="inlineStr">
        <is>
          <t>TC-UT_P101-007</t>
        </is>
      </c>
      <c r="C21" s="5" t="inlineStr">
        <is>
          <t>TimelinePage</t>
        </is>
      </c>
      <c r="D21" s="4" t="inlineStr">
        <is>
          <t>異常系</t>
        </is>
      </c>
      <c r="E21" s="4" t="inlineStr">
        <is>
          <t>境界値</t>
        </is>
      </c>
      <c r="F21" s="5" t="inlineStr">
        <is>
          <t>新しい投稿の取得が 2 回続けて失敗してもバナーは出さず、3 回で「最新の投稿を取得できていません」</t>
        </is>
      </c>
      <c r="G21" s="5" t="inlineStr">
        <is>
          <t>前提：vi.useFakeTimers（setTimeout・setInterval・Date）、画面は前面
入力：since が続けて 500</t>
        </is>
      </c>
      <c r="H21" s="5" t="inlineStr">
        <is>
          <t>2 回：alert なし、3 回：alert</t>
        </is>
      </c>
      <c r="I21" s="5" t="inlineStr">
        <is>
          <t>B4-F, B4-T, B5-T</t>
        </is>
      </c>
      <c r="J21" s="5" t="inlineStr">
        <is>
          <t>fetch を vi.stubGlobal で差し替え、vi.useFakeTimers（setTimeout・setInterval・Date）、画面は前面</t>
        </is>
      </c>
      <c r="K21" s="5" t="inlineStr"/>
      <c r="L21" s="5" t="inlineStr"/>
      <c r="M21" s="5" t="inlineStr">
        <is>
          <t>TC-UT_P101-007 新しい投稿の取得が 2 回続けて失敗してもバナーは出さず、3 回続けて失敗したら「最新の投稿を取得できていません」を出す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既存テスト：なし
画面 P101 E02</t>
        </is>
      </c>
    </row>
    <row r="22">
      <c r="A22" s="4" t="n">
        <v>18</v>
      </c>
      <c r="B22" s="4" t="inlineStr">
        <is>
          <t>TC-UT_P101-008</t>
        </is>
      </c>
      <c r="C22" s="5" t="inlineStr">
        <is>
          <t>TimelinePage</t>
        </is>
      </c>
      <c r="D22" s="4" t="inlineStr">
        <is>
          <t>正常系</t>
        </is>
      </c>
      <c r="E22" s="4" t="inlineStr">
        <is>
          <t>状態遷移</t>
        </is>
      </c>
      <c r="F22" s="5" t="inlineStr">
        <is>
          <t>「最新の投稿を取得できていません」は次の取得に成功したら消す</t>
        </is>
      </c>
      <c r="G22" s="5" t="inlineStr">
        <is>
          <t>前提：vi.useFakeTimers（setTimeout・setInterval・Date）、画面は前面
入力：3 回失敗の後に成功</t>
        </is>
      </c>
      <c r="H22" s="5" t="inlineStr">
        <is>
          <t>alert あり → なし</t>
        </is>
      </c>
      <c r="I22" s="5" t="inlineStr">
        <is>
          <t>B6-T</t>
        </is>
      </c>
      <c r="J22" s="5" t="inlineStr">
        <is>
          <t>fetch を vi.stubGlobal で差し替え、vi.useFakeTimers（setTimeout・setInterval・Date）、画面は前面</t>
        </is>
      </c>
      <c r="K22" s="5" t="inlineStr"/>
      <c r="L22" s="5" t="inlineStr"/>
      <c r="M22" s="5" t="inlineStr">
        <is>
          <t>TC-UT_P101-008 「最新の投稿を取得できていません」は、次の取得に成功したら消す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既存テスト：なし</t>
        </is>
      </c>
    </row>
    <row r="23">
      <c r="A23" s="4" t="n">
        <v>19</v>
      </c>
      <c r="B23" s="4" t="inlineStr">
        <is>
          <t>TC-UT_P101-009</t>
        </is>
      </c>
      <c r="C23" s="5" t="inlineStr">
        <is>
          <t>TimelinePage</t>
        </is>
      </c>
      <c r="D23" s="4" t="inlineStr">
        <is>
          <t>正常系</t>
        </is>
      </c>
      <c r="E23" s="4" t="inlineStr">
        <is>
          <t>状態遷移</t>
        </is>
      </c>
      <c r="F23" s="5" t="inlineStr">
        <is>
          <t>画面が隠れている間は 30 秒ごとの取得をしない</t>
        </is>
      </c>
      <c r="G23" s="5" t="inlineStr">
        <is>
          <t>前提：vi.useFakeTimers（setTimeout・setInterval・Date）、画面は前面
入力：隠して 90 秒</t>
        </is>
      </c>
      <c r="H23" s="5" t="inlineStr">
        <is>
          <t>/api/timeline の呼び出しが増えない</t>
        </is>
      </c>
      <c r="I23" s="5" t="inlineStr"/>
      <c r="J23" s="5" t="inlineStr">
        <is>
          <t>fetch を vi.stubGlobal で差し替え、vi.useFakeTimers（setTimeout・setInterval・Date）、画面は前面、visibilityState</t>
        </is>
      </c>
      <c r="K23" s="5" t="inlineStr"/>
      <c r="L23" s="5" t="inlineStr"/>
      <c r="M23" s="5" t="inlineStr">
        <is>
          <t>TC-UT_P101-009 画面が隠れている間は 30 秒ごとの取得をしない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既存テスト：なし</t>
        </is>
      </c>
    </row>
    <row r="24">
      <c r="A24" s="4" t="n">
        <v>20</v>
      </c>
      <c r="B24" s="4" t="inlineStr">
        <is>
          <t>TC-UT_P101-010</t>
        </is>
      </c>
      <c r="C24" s="5" t="inlineStr">
        <is>
          <t>TimelinePage</t>
        </is>
      </c>
      <c r="D24" s="4" t="inlineStr">
        <is>
          <t>異常系</t>
        </is>
      </c>
      <c r="E24" s="4" t="inlineStr">
        <is>
          <t>状態遷移</t>
        </is>
      </c>
      <c r="F24" s="5" t="inlineStr">
        <is>
          <t>最初の取得に失敗しても、次の自動の再取得で成功したら一覧を出してバナーを消す</t>
        </is>
      </c>
      <c r="G24" s="5" t="inlineStr">
        <is>
          <t>前提：vi.useFakeTimers（setTimeout・setInterval・Date）、画面は前面
入力：先頭 500 → 30 秒後に成功</t>
        </is>
      </c>
      <c r="H24" s="5" t="inlineStr">
        <is>
          <t>alert（投稿を読み込めませんでした…）→ なし、P9 を出す</t>
        </is>
      </c>
      <c r="I24" s="5" t="inlineStr">
        <is>
          <t>B2-F, B6-F</t>
        </is>
      </c>
      <c r="J24" s="5" t="inlineStr">
        <is>
          <t>fetch を vi.stubGlobal で差し替え、vi.useFakeTimers（setTimeout・setInterval・Date）、画面は前面</t>
        </is>
      </c>
      <c r="K24" s="5" t="inlineStr"/>
      <c r="L24" s="5" t="inlineStr"/>
      <c r="M24" s="5" t="inlineStr">
        <is>
          <t>TC-UT_P101-010 最初の取得に失敗しても、次の自動の再取得で成功したら一覧を出してバナーを消す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既存テスト：なし
疑い：自動の再取得が動かず、バナーも消えない（疑い 1・4）
設計書 6章、画面 P101 様式②</t>
        </is>
      </c>
    </row>
    <row r="25">
      <c r="A25" s="4" t="n">
        <v>21</v>
      </c>
      <c r="B25" s="4" t="inlineStr">
        <is>
          <t>TC-UT_P101-011</t>
        </is>
      </c>
      <c r="C25" s="5" t="inlineStr">
        <is>
          <t>TimelinePage</t>
        </is>
      </c>
      <c r="D25" s="4" t="inlineStr">
        <is>
          <t>正常系</t>
        </is>
      </c>
      <c r="E25" s="4" t="inlineStr">
        <is>
          <t>境界値</t>
        </is>
      </c>
      <c r="F25" s="5" t="inlineStr">
        <is>
          <t>0 件のときも 30 秒ごとに取得し、新しい投稿があれば件数を出す</t>
        </is>
      </c>
      <c r="G25" s="5" t="inlineStr">
        <is>
          <t>前提：vi.useFakeTimers（setTimeout・setInterval・Date）、画面は前面
入力：0 件 → 30 秒後に P1</t>
        </is>
      </c>
      <c r="H25" s="5" t="inlineStr">
        <is>
          <t>新しい投稿 1 件</t>
        </is>
      </c>
      <c r="I25" s="5" t="inlineStr">
        <is>
          <t>B7-T</t>
        </is>
      </c>
      <c r="J25" s="5" t="inlineStr">
        <is>
          <t>fetch を vi.stubGlobal で差し替え、vi.useFakeTimers（setTimeout・setInterval・Date）、画面は前面</t>
        </is>
      </c>
      <c r="K25" s="5" t="inlineStr"/>
      <c r="L25" s="5" t="inlineStr"/>
      <c r="M25" s="5" t="inlineStr">
        <is>
          <t>TC-UT_P101-011 0 件のときも 30 秒ごとに取得し、新しい投稿があれば件数を出す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既存テスト：なし
疑い：0 件では 30 秒ごとの取得をしない（疑い 2）
画面 P101 E02</t>
        </is>
      </c>
    </row>
    <row r="26">
      <c r="A26" s="4" t="n">
        <v>22</v>
      </c>
      <c r="B26" s="4" t="inlineStr">
        <is>
          <t>TC-UT_P101-012</t>
        </is>
      </c>
      <c r="C26" s="5" t="inlineStr">
        <is>
          <t>NewPostsNotice</t>
        </is>
      </c>
      <c r="D26" s="4" t="inlineStr">
        <is>
          <t>異常系</t>
        </is>
      </c>
      <c r="E26" s="4" t="inlineStr">
        <is>
          <t>境界値</t>
        </is>
      </c>
      <c r="F26" s="5" t="inlineStr">
        <is>
          <t>件数が負の値なら通知を出さない</t>
        </is>
      </c>
      <c r="G26" s="5" t="inlineStr">
        <is>
          <t>前提：なし
入力：count=-1</t>
        </is>
      </c>
      <c r="H26" s="5" t="inlineStr">
        <is>
          <t>ボタンなし</t>
        </is>
      </c>
      <c r="I26" s="5" t="inlineStr">
        <is>
          <t>B9-T</t>
        </is>
      </c>
      <c r="J26" s="5" t="inlineStr">
        <is>
          <t>なし</t>
        </is>
      </c>
      <c r="K26" s="5" t="inlineStr"/>
      <c r="L26" s="5" t="inlineStr"/>
      <c r="M26" s="5" t="inlineStr">
        <is>
          <t>TC-UT_P101-012 件数が負の値なら通知を出さない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既存テスト：一部 TC-NOUS67_DEV-03（0 だけ）</t>
        </is>
      </c>
    </row>
    <row r="27">
      <c r="A27" s="4" t="n">
        <v>23</v>
      </c>
      <c r="B27" s="4" t="inlineStr">
        <is>
          <t>TC-UT_P102-001</t>
        </is>
      </c>
      <c r="C27" s="5" t="inlineStr">
        <is>
          <t>ThreadPage</t>
        </is>
      </c>
      <c r="D27" s="4" t="inlineStr">
        <is>
          <t>正常系</t>
        </is>
      </c>
      <c r="E27" s="4" t="inlineStr">
        <is>
          <t>依存</t>
        </is>
      </c>
      <c r="F27" s="5" t="inlineStr">
        <is>
          <t>スレッドを depth=5 で取り、開いた投稿の要素を中央へスクロールする</t>
        </is>
      </c>
      <c r="G27" s="5" t="inlineStr">
        <is>
          <t>前提：QueryClient（retry なし）、MemoryRouter、ObserverLayout
入力：/posts/C1（root R の子）</t>
        </is>
      </c>
      <c r="H27" s="5" t="inlineStr">
        <is>
          <t>/api/posts/C1/thread?depth=5、C1 の要素で scrollIntoView({ block: center })</t>
        </is>
      </c>
      <c r="I27" s="5" t="inlineStr">
        <is>
          <t>B10-F, B16-T, B10-T, B20-F, B21-F</t>
        </is>
      </c>
      <c r="J27" s="5" t="inlineStr">
        <is>
          <t>fetch を vi.stubGlobal で差し替え、Element.scrollIntoView</t>
        </is>
      </c>
      <c r="K27" s="5" t="inlineStr"/>
      <c r="L27" s="5" t="inlineStr"/>
      <c r="M27" s="5" t="inlineStr">
        <is>
          <t>TC-UT_P102-001 スレッドを depth=5 で取り、開いた投稿の要素を画面の中央へスクロールする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既存テスト：なし
設計書 4章 scrollToFocus</t>
        </is>
      </c>
    </row>
    <row r="28">
      <c r="A28" s="4" t="n">
        <v>24</v>
      </c>
      <c r="B28" s="4" t="inlineStr">
        <is>
          <t>TC-UT_P102-002</t>
        </is>
      </c>
      <c r="C28" s="5" t="inlineStr">
        <is>
          <t>ThreadPage</t>
        </is>
      </c>
      <c r="D28" s="4" t="inlineStr">
        <is>
          <t>正常系</t>
        </is>
      </c>
      <c r="E28" s="4" t="inlineStr">
        <is>
          <t>分岐網羅</t>
        </is>
      </c>
      <c r="F28" s="5" t="inlineStr">
        <is>
          <t>「タイムラインへ戻る」は履歴が無ければ / へ</t>
        </is>
      </c>
      <c r="G28" s="5" t="inlineStr">
        <is>
          <t>前提：history.state null
入力：戻るを押す</t>
        </is>
      </c>
      <c r="H28" s="5" t="inlineStr">
        <is>
          <t>/</t>
        </is>
      </c>
      <c r="I28" s="5" t="inlineStr">
        <is>
          <t>B15-F</t>
        </is>
      </c>
      <c r="J28" s="5" t="inlineStr">
        <is>
          <t>fetch を vi.stubGlobal で差し替え、QueryClient（retry なし）、MemoryRouter、ObserverLayout</t>
        </is>
      </c>
      <c r="K28" s="5" t="inlineStr"/>
      <c r="L28" s="5" t="inlineStr"/>
      <c r="M28" s="5" t="inlineStr">
        <is>
          <t>TC-UT_P102-002 「タイムラインへ戻る」は履歴が無ければ / へ移る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既存テスト：なし
画面 P102 E04</t>
        </is>
      </c>
    </row>
    <row r="29">
      <c r="A29" s="4" t="n">
        <v>25</v>
      </c>
      <c r="B29" s="4" t="inlineStr">
        <is>
          <t>TC-UT_P102-003</t>
        </is>
      </c>
      <c r="C29" s="5" t="inlineStr">
        <is>
          <t>ThreadPage</t>
        </is>
      </c>
      <c r="D29" s="4" t="inlineStr">
        <is>
          <t>正常系</t>
        </is>
      </c>
      <c r="E29" s="4" t="inlineStr">
        <is>
          <t>分岐網羅</t>
        </is>
      </c>
      <c r="F29" s="5" t="inlineStr">
        <is>
          <t>「タイムラインへ戻る」は履歴があれば一つ前へ</t>
        </is>
      </c>
      <c r="G29" s="5" t="inlineStr">
        <is>
          <t>前提：history.state idx=1、前は /agents/01A
入力：戻るを押す</t>
        </is>
      </c>
      <c r="H29" s="5" t="inlineStr">
        <is>
          <t>/agents/01A</t>
        </is>
      </c>
      <c r="I29" s="5" t="inlineStr">
        <is>
          <t>B15-T</t>
        </is>
      </c>
      <c r="J29" s="5" t="inlineStr">
        <is>
          <t>fetch を vi.stubGlobal で差し替え、QueryClient（retry なし）、MemoryRouter、ObserverLayout、window.history.state</t>
        </is>
      </c>
      <c r="K29" s="5" t="inlineStr"/>
      <c r="L29" s="5" t="inlineStr"/>
      <c r="M29" s="5" t="inlineStr">
        <is>
          <t>TC-UT_P102-003 「タイムラインへ戻る」は履歴があれば一つ前の画面へ戻る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既存テスト：なし</t>
        </is>
      </c>
    </row>
    <row r="30">
      <c r="A30" s="4" t="n">
        <v>26</v>
      </c>
      <c r="B30" s="4" t="inlineStr">
        <is>
          <t>TC-UT_P102-004</t>
        </is>
      </c>
      <c r="C30" s="5" t="inlineStr">
        <is>
          <t>ThreadPage</t>
        </is>
      </c>
      <c r="D30" s="4" t="inlineStr">
        <is>
          <t>異常系</t>
        </is>
      </c>
      <c r="E30" s="4" t="inlineStr">
        <is>
          <t>エラー処理</t>
        </is>
      </c>
      <c r="F30" s="5" t="inlineStr">
        <is>
          <t>スレッドの取得が 500 なら「スレッドを読み込めませんでした」</t>
        </is>
      </c>
      <c r="G30" s="5" t="inlineStr">
        <is>
          <t>前提：QueryClient（retry なし）、MemoryRouter、ObserverLayout
入力：500</t>
        </is>
      </c>
      <c r="H30" s="5" t="inlineStr">
        <is>
          <t>alert</t>
        </is>
      </c>
      <c r="I30" s="5" t="inlineStr">
        <is>
          <t>B11-F, B16-F</t>
        </is>
      </c>
      <c r="J30" s="5" t="inlineStr">
        <is>
          <t>fetch を vi.stubGlobal で差し替え、QueryClient（retry なし）、MemoryRouter、ObserverLayout</t>
        </is>
      </c>
      <c r="K30" s="5" t="inlineStr"/>
      <c r="L30" s="5" t="inlineStr"/>
      <c r="M30" s="5" t="inlineStr">
        <is>
          <t>TC-UT_P102-004 スレッドの取得が 500 なら「スレッドを読み込めませんでした」を出す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既存テスト：なし
画面 P102 E01</t>
        </is>
      </c>
    </row>
    <row r="31">
      <c r="A31" s="4" t="n">
        <v>27</v>
      </c>
      <c r="B31" s="4" t="inlineStr">
        <is>
          <t>TC-UT_P102-005</t>
        </is>
      </c>
      <c r="C31" s="5" t="inlineStr">
        <is>
          <t>ThreadPage</t>
        </is>
      </c>
      <c r="D31" s="4" t="inlineStr">
        <is>
          <t>異常系</t>
        </is>
      </c>
      <c r="E31" s="4" t="inlineStr">
        <is>
          <t>境界値</t>
        </is>
      </c>
      <c r="F31" s="5" t="inlineStr">
        <is>
          <t>再取得が 2 回続けて失敗してもバナーは出さず、3 回で「最新の返信を取得できていません」、スレッドは残す</t>
        </is>
      </c>
      <c r="G31" s="5" t="inlineStr">
        <is>
          <t>前提：vi.useFakeTimers（setTimeout・setInterval・Date）、画面は前面
入力：成功の後に 500 が続く</t>
        </is>
      </c>
      <c r="H31" s="5" t="inlineStr">
        <is>
          <t>2 回：なし、3 回：alert、本文 R は残る</t>
        </is>
      </c>
      <c r="I31" s="5" t="inlineStr">
        <is>
          <t>B11-T, B12-F, B12-T, B13-T</t>
        </is>
      </c>
      <c r="J31" s="5" t="inlineStr">
        <is>
          <t>fetch を vi.stubGlobal で差し替え、vi.useFakeTimers（setTimeout・setInterval・Date）、画面は前面</t>
        </is>
      </c>
      <c r="K31" s="5" t="inlineStr"/>
      <c r="L31" s="5" t="inlineStr"/>
      <c r="M31" s="5" t="inlineStr">
        <is>
          <t>TC-UT_P102-005 再取得が 2 回続けて失敗してもバナーは出さず、3 回続けて失敗したら「最新の返信を取得できていません」を出す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既存テスト：なし
画面 P102 E05</t>
        </is>
      </c>
    </row>
    <row r="32">
      <c r="A32" s="4" t="n">
        <v>28</v>
      </c>
      <c r="B32" s="4" t="inlineStr">
        <is>
          <t>TC-UT_P102-006</t>
        </is>
      </c>
      <c r="C32" s="5" t="inlineStr">
        <is>
          <t>ThreadPage / ThreadNodeView</t>
        </is>
      </c>
      <c r="D32" s="4" t="inlineStr">
        <is>
          <t>正常系</t>
        </is>
      </c>
      <c r="E32" s="4" t="inlineStr">
        <is>
          <t>状態遷移</t>
        </is>
      </c>
      <c r="F32" s="5" t="inlineStr">
        <is>
          <t>再取得で増えた返信は 1 秒だけ背景を黄色にする</t>
        </is>
      </c>
      <c r="G32" s="5" t="inlineStr">
        <is>
          <t>前提：vi.useFakeTimers（setTimeout・setInterval・Date）、画面は前面
入力：30 秒後に C2 が増える</t>
        </is>
      </c>
      <c r="H32" s="5" t="inlineStr">
        <is>
          <t>C2 は #FEF9C3 → 1 秒後に戻る、C1 は黄色にしない</t>
        </is>
      </c>
      <c r="I32" s="5" t="inlineStr">
        <is>
          <t>B18-T, B18-F</t>
        </is>
      </c>
      <c r="J32" s="5" t="inlineStr">
        <is>
          <t>fetch を vi.stubGlobal で差し替え、vi.useFakeTimers（setTimeout・setInterval・Date）、画面は前面</t>
        </is>
      </c>
      <c r="K32" s="5" t="inlineStr"/>
      <c r="L32" s="5" t="inlineStr"/>
      <c r="M32" s="5" t="inlineStr">
        <is>
          <t>TC-UT_P102-006 再取得で増えた返信は 1 秒だけ背景を黄色にする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既存テスト：なし
画面 P102 E05</t>
        </is>
      </c>
    </row>
    <row r="33">
      <c r="A33" s="4" t="n">
        <v>29</v>
      </c>
      <c r="B33" s="4" t="inlineStr">
        <is>
          <t>TC-UT_P102-007</t>
        </is>
      </c>
      <c r="C33" s="5" t="inlineStr">
        <is>
          <t>ShowMoreReplies</t>
        </is>
      </c>
      <c r="D33" s="4" t="inlineStr">
        <is>
          <t>異常系</t>
        </is>
      </c>
      <c r="E33" s="4" t="inlineStr">
        <is>
          <t>エラー処理</t>
        </is>
      </c>
      <c r="F33" s="5" t="inlineStr">
        <is>
          <t>「続きを表示」の取得に失敗したら「続きを読み込めませんでした」、ボタンは押せる状態のまま</t>
        </is>
      </c>
      <c r="G33" s="5" t="inlineStr">
        <is>
          <t>前提：QueryClient（retry なし）、MemoryRouter、ObserverLayout
入力：続き 500</t>
        </is>
      </c>
      <c r="H33" s="5" t="inlineStr">
        <is>
          <t>alert、ボタン enabled</t>
        </is>
      </c>
      <c r="I33" s="5" t="inlineStr">
        <is>
          <t>B24-T</t>
        </is>
      </c>
      <c r="J33" s="5" t="inlineStr">
        <is>
          <t>fetch を vi.stubGlobal で差し替え、QueryClient（retry なし）、MemoryRouter、ObserverLayout</t>
        </is>
      </c>
      <c r="K33" s="5" t="inlineStr"/>
      <c r="L33" s="5" t="inlineStr"/>
      <c r="M33" s="5" t="inlineStr">
        <is>
          <t>TC-UT_P102-007 「続きを表示」の取得に失敗したら「続きを読み込めませんでした」を出し、ボタンは押せる状態のまま残す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既存テスト：なし
画面 P102 E02</t>
        </is>
      </c>
    </row>
    <row r="34">
      <c r="A34" s="4" t="n">
        <v>30</v>
      </c>
      <c r="B34" s="4" t="inlineStr">
        <is>
          <t>TC-UT_P102-008</t>
        </is>
      </c>
      <c r="C34" s="5" t="inlineStr">
        <is>
          <t>ShowMoreReplies</t>
        </is>
      </c>
      <c r="D34" s="4" t="inlineStr">
        <is>
          <t>異常系</t>
        </is>
      </c>
      <c r="E34" s="4" t="inlineStr">
        <is>
          <t>状態遷移</t>
        </is>
      </c>
      <c r="F34" s="5" t="inlineStr">
        <is>
          <t>読み込み中にもう一度押しても 1 回しか取らない</t>
        </is>
      </c>
      <c r="G34" s="5" t="inlineStr">
        <is>
          <t>前提：QueryClient（retry なし）、MemoryRouter、ObserverLayout
入力：続けて 2 回押す（応答を待たせる）</t>
        </is>
      </c>
      <c r="H34" s="5" t="inlineStr">
        <is>
          <t>from= の呼び出し 1 回、ボタン disabled</t>
        </is>
      </c>
      <c r="I34" s="5" t="inlineStr">
        <is>
          <t>B23-F</t>
        </is>
      </c>
      <c r="J34" s="5" t="inlineStr">
        <is>
          <t>fetch を vi.stubGlobal で差し替え（続きは応答を保留）</t>
        </is>
      </c>
      <c r="K34" s="5" t="inlineStr"/>
      <c r="L34" s="5" t="inlineStr"/>
      <c r="M34" s="5" t="inlineStr">
        <is>
          <t>TC-UT_P102-008 「続きを表示」は読み込み中にもう一度押しても 1 回しか取りに行かない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既存テスト：なし
設計書 3章：二重押しの防止</t>
        </is>
      </c>
    </row>
    <row r="35">
      <c r="A35" s="4" t="n">
        <v>31</v>
      </c>
      <c r="B35" s="4" t="inlineStr">
        <is>
          <t>TC-UT_P102-009</t>
        </is>
      </c>
      <c r="C35" s="5" t="inlineStr">
        <is>
          <t>ShowMoreReplies</t>
        </is>
      </c>
      <c r="D35" s="4" t="inlineStr">
        <is>
          <t>正常系</t>
        </is>
      </c>
      <c r="E35" s="4" t="inlineStr">
        <is>
          <t>同値分割</t>
        </is>
      </c>
      <c r="F35" s="5" t="inlineStr">
        <is>
          <t>開いた投稿の ID で、from に省略された投稿の ID と depth=5 を付けて取る</t>
        </is>
      </c>
      <c r="G35" s="5" t="inlineStr">
        <is>
          <t>前提：QueryClient（retry なし）、MemoryRouter、ObserverLayout
入力：C1 の続きを押す</t>
        </is>
      </c>
      <c r="H35" s="5" t="inlineStr">
        <is>
          <t>/api/posts/C1/thread?depth=5&amp;from=C1、G1 を足す</t>
        </is>
      </c>
      <c r="I35" s="5" t="inlineStr">
        <is>
          <t>B22-T, B20-T</t>
        </is>
      </c>
      <c r="J35" s="5" t="inlineStr">
        <is>
          <t>fetch を vi.stubGlobal で差し替え、QueryClient（retry なし）、MemoryRouter、ObserverLayout</t>
        </is>
      </c>
      <c r="K35" s="5" t="inlineStr"/>
      <c r="L35" s="5" t="inlineStr"/>
      <c r="M35" s="5" t="inlineStr">
        <is>
          <t>TC-UT_P102-009 「続きを表示」は開いた投稿の ID で、from に省略された投稿の ID と depth=5 を付けて取る</t>
        </is>
      </c>
      <c r="N35" s="6" t="inlineStr">
        <is>
          <t>未実施</t>
        </is>
      </c>
      <c r="O35" s="6" t="inlineStr"/>
      <c r="P35" s="6" t="inlineStr"/>
      <c r="Q35" s="7" t="inlineStr">
        <is>
          <t>既存テスト：一部 TC-NOUS67_DEV-11（要求の形は見ていない）</t>
        </is>
      </c>
    </row>
    <row r="36">
      <c r="A36" s="4" t="n">
        <v>32</v>
      </c>
      <c r="B36" s="4" t="inlineStr">
        <is>
          <t>TC-UT_P102-010</t>
        </is>
      </c>
      <c r="C36" s="5" t="inlineStr">
        <is>
          <t>ThreadNodeView</t>
        </is>
      </c>
      <c r="D36" s="4" t="inlineStr">
        <is>
          <t>正常系</t>
        </is>
      </c>
      <c r="E36" s="4" t="inlineStr">
        <is>
          <t>境界値</t>
        </is>
      </c>
      <c r="F36" s="5" t="inlineStr">
        <is>
          <t>左の余白は 1 段ごとに 16px、5 段より深くても 80px で止める</t>
        </is>
      </c>
      <c r="G36" s="5" t="inlineStr">
        <is>
          <t>前提：QueryClient（retry なし）、MemoryRouter、ObserverLayout
入力：深さ 4・5・6</t>
        </is>
      </c>
      <c r="H36" s="5" t="inlineStr">
        <is>
          <t>64px・80px・80px</t>
        </is>
      </c>
      <c r="I36" s="5" t="inlineStr">
        <is>
          <t>B19-T, B19-F</t>
        </is>
      </c>
      <c r="J36" s="5" t="inlineStr">
        <is>
          <t>fetch を vi.stubGlobal で差し替え、QueryClient（retry なし）、MemoryRouter、ObserverLayout</t>
        </is>
      </c>
      <c r="K36" s="5" t="inlineStr"/>
      <c r="L36" s="5" t="inlineStr"/>
      <c r="M36" s="5" t="inlineStr">
        <is>
          <t>TC-UT_P102-010 左の余白は 1 段ごとに 16px 増やし、5 段より深くても 80px で止める</t>
        </is>
      </c>
      <c r="N36" s="6" t="inlineStr">
        <is>
          <t>未実施</t>
        </is>
      </c>
      <c r="O36" s="6" t="inlineStr"/>
      <c r="P36" s="6" t="inlineStr"/>
      <c r="Q36" s="7" t="inlineStr">
        <is>
          <t>既存テスト：なし
画面 P102 H16（デスクトップ）</t>
        </is>
      </c>
    </row>
    <row r="37">
      <c r="A37" s="4" t="n">
        <v>33</v>
      </c>
      <c r="B37" s="4" t="inlineStr">
        <is>
          <t>TC-UT_P102-011</t>
        </is>
      </c>
      <c r="C37" s="5" t="inlineStr">
        <is>
          <t>ThreadNodeView</t>
        </is>
      </c>
      <c r="D37" s="4" t="inlineStr">
        <is>
          <t>異常系</t>
        </is>
      </c>
      <c r="E37" s="4" t="inlineStr">
        <is>
          <t>同値分割</t>
        </is>
      </c>
      <c r="F37" s="5" t="inlineStr">
        <is>
          <t>hidden が false でも agent か body が無い投稿は「管理者が非表示にした投稿」</t>
        </is>
      </c>
      <c r="G37" s="5" t="inlineStr">
        <is>
          <t>前提：QueryClient（retry なし）、MemoryRouter、ObserverLayout
入力：agent null・body null</t>
        </is>
      </c>
      <c r="H37" s="5" t="inlineStr">
        <is>
          <t>非表示の表示</t>
        </is>
      </c>
      <c r="I37" s="5" t="inlineStr">
        <is>
          <t>B21-T</t>
        </is>
      </c>
      <c r="J37" s="5" t="inlineStr">
        <is>
          <t>fetch を vi.stubGlobal で差し替え、QueryClient（retry なし）、MemoryRouter、ObserverLayout</t>
        </is>
      </c>
      <c r="K37" s="5" t="inlineStr"/>
      <c r="L37" s="5" t="inlineStr"/>
      <c r="M37" s="5" t="inlineStr">
        <is>
          <t>TC-UT_P102-011 hidden が false でも、agent か body が無い投稿は「管理者が非表示にした投稿」にする</t>
        </is>
      </c>
      <c r="N37" s="6" t="inlineStr">
        <is>
          <t>未実施</t>
        </is>
      </c>
      <c r="O37" s="6" t="inlineStr"/>
      <c r="P37" s="6" t="inlineStr"/>
      <c r="Q37" s="7" t="inlineStr">
        <is>
          <t>既存テスト：一部 TC-NOUS67_DEV-09（hidden=true だけ）
設計書に記載なし。実装の値（API は hidden のとき両方 null）</t>
        </is>
      </c>
    </row>
    <row r="38">
      <c r="A38" s="4" t="n">
        <v>34</v>
      </c>
      <c r="B38" s="4" t="inlineStr">
        <is>
          <t>TC-UT_P102-012</t>
        </is>
      </c>
      <c r="C38" s="5" t="inlineStr">
        <is>
          <t>ThreadNodeView</t>
        </is>
      </c>
      <c r="D38" s="4" t="inlineStr">
        <is>
          <t>正常系</t>
        </is>
      </c>
      <c r="E38" s="4" t="inlineStr">
        <is>
          <t>境界値</t>
        </is>
      </c>
      <c r="F38" s="5" t="inlineStr">
        <is>
          <t>「続きを表示」で返信が 0 件なら、ボタンを消して何も足さない</t>
        </is>
      </c>
      <c r="G38" s="5" t="inlineStr">
        <is>
          <t>前提：QueryClient（retry なし）、MemoryRouter、ObserverLayout
入力：続き 0 件</t>
        </is>
      </c>
      <c r="H38" s="5" t="inlineStr">
        <is>
          <t>ボタンなし、投稿 1 件のまま</t>
        </is>
      </c>
      <c r="I38" s="5" t="inlineStr">
        <is>
          <t>B20-T, B22-F</t>
        </is>
      </c>
      <c r="J38" s="5" t="inlineStr">
        <is>
          <t>fetch を vi.stubGlobal で差し替え、QueryClient（retry なし）、MemoryRouter、ObserverLayout</t>
        </is>
      </c>
      <c r="K38" s="5" t="inlineStr"/>
      <c r="L38" s="5" t="inlineStr"/>
      <c r="M38" s="5" t="inlineStr">
        <is>
          <t>TC-UT_P102-012 「続きを表示」で返信が 0 件だったら、ボタンを消して何も足さない</t>
        </is>
      </c>
      <c r="N38" s="6" t="inlineStr">
        <is>
          <t>未実施</t>
        </is>
      </c>
      <c r="O38" s="6" t="inlineStr"/>
      <c r="P38" s="6" t="inlineStr"/>
      <c r="Q38" s="7" t="inlineStr">
        <is>
          <t>既存テスト：なし</t>
        </is>
      </c>
    </row>
    <row r="39">
      <c r="A39" s="4" t="n">
        <v>35</v>
      </c>
      <c r="B39" s="4" t="inlineStr">
        <is>
          <t>TC-UT_P102-014</t>
        </is>
      </c>
      <c r="C39" s="5" t="inlineStr">
        <is>
          <t>ThreadPage</t>
        </is>
      </c>
      <c r="D39" s="4" t="inlineStr">
        <is>
          <t>正常系</t>
        </is>
      </c>
      <c r="E39" s="4" t="inlineStr">
        <is>
          <t>状態遷移</t>
        </is>
      </c>
      <c r="F39" s="5" t="inlineStr">
        <is>
          <t>「最新の返信を取得できていません」は次の再取得に成功したら消す</t>
        </is>
      </c>
      <c r="G39" s="5" t="inlineStr">
        <is>
          <t>前提：vi.useFakeTimers（setTimeout・setInterval・Date）、画面は前面
入力：3 回失敗の後に成功</t>
        </is>
      </c>
      <c r="H39" s="5" t="inlineStr">
        <is>
          <t>alert あり → なし</t>
        </is>
      </c>
      <c r="I39" s="5" t="inlineStr">
        <is>
          <t>B14-T</t>
        </is>
      </c>
      <c r="J39" s="5" t="inlineStr">
        <is>
          <t>fetch を vi.stubGlobal で差し替え、vi.useFakeTimers（setTimeout・setInterval・Date）、画面は前面</t>
        </is>
      </c>
      <c r="K39" s="5" t="inlineStr"/>
      <c r="L39" s="5" t="inlineStr"/>
      <c r="M39" s="5" t="inlineStr">
        <is>
          <t>TC-UT_P102-014 「最新の返信を取得できていません」は、次の再取得に成功したら消す</t>
        </is>
      </c>
      <c r="N39" s="6" t="inlineStr">
        <is>
          <t>未実施</t>
        </is>
      </c>
      <c r="O39" s="6" t="inlineStr"/>
      <c r="P39" s="6" t="inlineStr"/>
      <c r="Q39" s="7" t="inlineStr">
        <is>
          <t>既存テスト：なし
画面 P102 様式②</t>
        </is>
      </c>
    </row>
    <row r="40">
      <c r="A40" s="4" t="n">
        <v>36</v>
      </c>
      <c r="B40" s="4" t="inlineStr">
        <is>
          <t>TC-UT_P102-013</t>
        </is>
      </c>
      <c r="C40" s="5" t="inlineStr">
        <is>
          <t>ThreadPage</t>
        </is>
      </c>
      <c r="D40" s="4" t="inlineStr">
        <is>
          <t>異常系</t>
        </is>
      </c>
      <c r="E40" s="4" t="inlineStr">
        <is>
          <t>状態遷移</t>
        </is>
      </c>
      <c r="F40" s="5" t="inlineStr">
        <is>
          <t>最初の取得に失敗しても、次の自動の再取得で成功したらスレッドを出してバナーを消す</t>
        </is>
      </c>
      <c r="G40" s="5" t="inlineStr">
        <is>
          <t>前提：vi.useFakeTimers（setTimeout・setInterval・Date）、画面は前面
入力：500 → 30 秒後に成功</t>
        </is>
      </c>
      <c r="H40" s="5" t="inlineStr">
        <is>
          <t>alert → なし、本文 R</t>
        </is>
      </c>
      <c r="I40" s="5" t="inlineStr">
        <is>
          <t>B14-F</t>
        </is>
      </c>
      <c r="J40" s="5" t="inlineStr">
        <is>
          <t>fetch を vi.stubGlobal で差し替え、vi.useFakeTimers（setTimeout・setInterval・Date）、画面は前面</t>
        </is>
      </c>
      <c r="K40" s="5" t="inlineStr"/>
      <c r="L40" s="5" t="inlineStr"/>
      <c r="M40" s="5" t="inlineStr">
        <is>
          <t>TC-UT_P102-013 最初の取得に失敗しても、次の自動の再取得で成功したらスレッドを出してバナーを消す</t>
        </is>
      </c>
      <c r="N40" s="6" t="inlineStr">
        <is>
          <t>未実施</t>
        </is>
      </c>
      <c r="O40" s="6" t="inlineStr"/>
      <c r="P40" s="6" t="inlineStr"/>
      <c r="Q40" s="7" t="inlineStr">
        <is>
          <t>既存テスト：なし
疑い：スレッドは出るがバナーが消えない（疑い 4）
設計書 6章</t>
        </is>
      </c>
    </row>
  </sheetData>
  <autoFilter ref="A4:Q40"/>
  <conditionalFormatting sqref="A5:Q90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90" showDropDown="0" showInputMessage="0" showErrorMessage="0" allowBlank="1" type="list">
      <formula1>"未実施,OK,NG,保留,対象外"</formula1>
    </dataValidation>
    <dataValidation sqref="D5:D90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COUNTA(観点表!$B$5:$B$90)</f>
        <v/>
      </c>
    </row>
    <row r="6">
      <c r="A6" s="10" t="inlineStr">
        <is>
          <t>正常系</t>
        </is>
      </c>
      <c r="B6" s="10">
        <f>COUNTIF(観点表!$D$5:$D$90,"正常系")</f>
        <v/>
      </c>
    </row>
    <row r="7">
      <c r="A7" s="10" t="inlineStr">
        <is>
          <t>異常系</t>
        </is>
      </c>
      <c r="B7" s="10">
        <f>COUNTIF(観点表!$D$5:$D$90,"異常系")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COUNTIF(観点表!$E$5:$E$90,"エラー処理")</f>
        <v/>
      </c>
    </row>
    <row r="11">
      <c r="A11" s="10" t="inlineStr">
        <is>
          <t>依存</t>
        </is>
      </c>
      <c r="B11" s="10">
        <f>COUNTIF(観点表!$E$5:$E$90,"依存")</f>
        <v/>
      </c>
    </row>
    <row r="12">
      <c r="A12" s="10" t="inlineStr">
        <is>
          <t>分岐網羅</t>
        </is>
      </c>
      <c r="B12" s="10">
        <f>COUNTIF(観点表!$E$5:$E$90,"分岐網羅")</f>
        <v/>
      </c>
    </row>
    <row r="13">
      <c r="A13" s="10" t="inlineStr">
        <is>
          <t>同値分割</t>
        </is>
      </c>
      <c r="B13" s="10">
        <f>COUNTIF(観点表!$E$5:$E$90,"同値分割")</f>
        <v/>
      </c>
    </row>
    <row r="14">
      <c r="A14" s="10" t="inlineStr">
        <is>
          <t>境界値</t>
        </is>
      </c>
      <c r="B14" s="10">
        <f>COUNTIF(観点表!$E$5:$E$90,"境界値")</f>
        <v/>
      </c>
    </row>
    <row r="15">
      <c r="A15" s="10" t="inlineStr">
        <is>
          <t>状態遷移</t>
        </is>
      </c>
      <c r="B15" s="10">
        <f>COUNTIF(観点表!$E$5:$E$90,"状態遷移")</f>
        <v/>
      </c>
    </row>
    <row r="16">
      <c r="A16" s="10" t="inlineStr">
        <is>
          <t>開発者テスト</t>
        </is>
      </c>
      <c r="B16" s="10">
        <f>COUNTIF(観点表!$E$5:$E$90,"開発者テスト")</f>
        <v/>
      </c>
    </row>
    <row r="18">
      <c r="A18" s="8" t="inlineStr">
        <is>
          <t>テストデータ</t>
        </is>
      </c>
      <c r="B18" s="9" t="n"/>
      <c r="C18" s="9" t="n"/>
    </row>
    <row r="19">
      <c r="A19" s="10" t="inlineStr">
        <is>
          <t>作成済み</t>
        </is>
      </c>
      <c r="B19" s="10">
        <f>COUNTIF(観点表!$K$5:$K$90,"?*")</f>
        <v/>
      </c>
    </row>
    <row r="20">
      <c r="A20" s="10" t="inlineStr">
        <is>
          <t>未作成</t>
        </is>
      </c>
      <c r="B20" s="10">
        <f>B5-B19</f>
        <v/>
      </c>
    </row>
    <row r="22">
      <c r="A22" s="8" t="inlineStr">
        <is>
          <t>実施状況</t>
        </is>
      </c>
      <c r="B22" s="9" t="n"/>
      <c r="C22" s="9" t="n"/>
    </row>
    <row r="23">
      <c r="A23" s="10" t="inlineStr">
        <is>
          <t>未実施</t>
        </is>
      </c>
      <c r="B23" s="10">
        <f>COUNTIF(観点表!$N$5:$N$90,"未実施")</f>
        <v/>
      </c>
    </row>
    <row r="24">
      <c r="A24" s="10" t="inlineStr">
        <is>
          <t>OK</t>
        </is>
      </c>
      <c r="B24" s="10">
        <f>COUNTIF(観点表!$N$5:$N$90,"OK")</f>
        <v/>
      </c>
    </row>
    <row r="25">
      <c r="A25" s="10" t="inlineStr">
        <is>
          <t>NG</t>
        </is>
      </c>
      <c r="B25" s="10">
        <f>COUNTIF(観点表!$N$5:$N$90,"NG")</f>
        <v/>
      </c>
    </row>
    <row r="26">
      <c r="A26" s="10" t="inlineStr">
        <is>
          <t>保留</t>
        </is>
      </c>
      <c r="B26" s="10">
        <f>COUNTIF(観点表!$N$5:$N$90,"保留")</f>
        <v/>
      </c>
    </row>
    <row r="27">
      <c r="A27" s="10" t="inlineStr">
        <is>
          <t>対象外</t>
        </is>
      </c>
      <c r="B27" s="10">
        <f>COUNTIF(観点表!$N$5:$N$90,"対象外")</f>
        <v/>
      </c>
    </row>
    <row r="28">
      <c r="A28" s="10" t="inlineStr">
        <is>
          <t>消化率（未実施以外 / 総数）</t>
        </is>
      </c>
      <c r="B28" s="11">
        <f>IF(B5=0,0,(B5-B23)/B5)</f>
        <v/>
      </c>
    </row>
    <row r="29">
      <c r="A29" s="10" t="inlineStr">
        <is>
          <t>合格率（OK / (総数-対象外)）</t>
        </is>
      </c>
      <c r="B29" s="11">
        <f>IF(B5-B27=0,0,B24/(B5-B27))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TC-NOUS67_DEV-03</t>
        </is>
      </c>
      <c r="B5" s="13" t="inlineStr">
        <is>
          <t>0 件のときは出ない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TC-NOUS67_DEV-04</t>
        </is>
      </c>
      <c r="B6" s="13" t="inlineStr">
        <is>
          <t>1 件以上でボタン、押すと onClick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TC-NOUS67_DEV-05</t>
        </is>
      </c>
      <c r="B7" s="13" t="inlineStr">
        <is>
          <t>一覧を描き、nextCursor があればさらに読み込む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TC-NOUS67_DEV-06</t>
        </is>
      </c>
      <c r="B8" s="13" t="inlineStr">
        <is>
          <t>0 件で「まだ投稿はありません」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TC-NOUS67_DEV-07</t>
        </is>
      </c>
      <c r="B9" s="13" t="inlineStr">
        <is>
          <t>nextCursor が null ならボタンなし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TC-NOUS67_DEV-08</t>
        </is>
      </c>
      <c r="B10" s="13" t="inlineStr">
        <is>
          <t>最初の取得が 500 で様式②の文言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TC-NOUS67_DEV-09</t>
        </is>
      </c>
      <c r="B11" s="13" t="inlineStr">
        <is>
          <t>hidden の投稿は「管理者が非表示にした投稿」、子は描く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TC-NOUS67_DEV-10</t>
        </is>
      </c>
      <c r="B12" s="13" t="inlineStr">
        <is>
          <t>focus の投稿に強調の印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TC-NOUS67_DEV-11</t>
        </is>
      </c>
      <c r="B13" s="13" t="inlineStr">
        <is>
          <t>moreCount で「続きを表示（N 件）」、押すと差し込む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TC-NOUS67_DEV-12</t>
        </is>
      </c>
      <c r="B14" s="13" t="inlineStr">
        <is>
          <t>404 で「この投稿は見つかりません」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TC-UT_P101-001</t>
        </is>
      </c>
      <c r="B15" s="13" t="inlineStr">
        <is>
          <t>最初の取得に成功したら保存したスクロール位置に一度だけ戻す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TC-UT_P101-002</t>
        </is>
      </c>
      <c r="B16" s="13" t="inlineStr">
        <is>
          <t>投稿カードを押すとスクロール位置を保存して、そのスレッドへ移る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TC-UT_P101-003</t>
        </is>
      </c>
      <c r="B17" s="13" t="inlineStr">
        <is>
          <t>表示名を押すとプロフィールへ移り、スレッドへは移らない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TC-UT_P101-004</t>
        </is>
      </c>
      <c r="B18" s="13" t="inlineStr">
        <is>
          <t>さらに読み込むで cursor 付きで続きを取り末尾に足し、nextCursor が無くなればボタンを隠す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TC-UT_P101-005</t>
        </is>
      </c>
      <c r="B19" s="13" t="inlineStr">
        <is>
          <t>続きの取得に失敗したら「続きを読み込めませんでした」、ボタンは押せる状態に戻す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TC-UT_P101-006</t>
        </is>
      </c>
      <c r="B20" s="13" t="inlineStr">
        <is>
          <t>30 秒ごとの取得で新しい投稿があれば件数を出し、押すと先頭に差し込んで件数を消し、先頭へスクロール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TC-UT_P101-007</t>
        </is>
      </c>
      <c r="B21" s="13" t="inlineStr">
        <is>
          <t>新しい投稿の取得が 2 回続けて失敗してもバナーは出さず、3 回で「最新の投稿を取得できていません」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TC-UT_P101-008</t>
        </is>
      </c>
      <c r="B22" s="13" t="inlineStr">
        <is>
          <t>「最新の投稿を取得できていません」は次の取得に成功したら消す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TC-UT_P101-009</t>
        </is>
      </c>
      <c r="B23" s="13" t="inlineStr">
        <is>
          <t>画面が隠れている間は 30 秒ごとの取得をしない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TC-UT_P101-010</t>
        </is>
      </c>
      <c r="B24" s="13" t="inlineStr">
        <is>
          <t>最初の取得に失敗しても、次の自動の再取得で成功したら一覧を出してバナーを消す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TC-UT_P101-011</t>
        </is>
      </c>
      <c r="B25" s="13" t="inlineStr">
        <is>
          <t>0 件のときも 30 秒ごとに取得し、新しい投稿があれば件数を出す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TC-UT_P101-012</t>
        </is>
      </c>
      <c r="B26" s="13" t="inlineStr">
        <is>
          <t>件数が負の値なら通知を出さない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TC-UT_P102-001</t>
        </is>
      </c>
      <c r="B27" s="13" t="inlineStr">
        <is>
          <t>スレッドを depth=5 で取り、開いた投稿の要素を中央へスクロールする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TC-UT_P102-002</t>
        </is>
      </c>
      <c r="B28" s="13" t="inlineStr">
        <is>
          <t>「タイムラインへ戻る」は履歴が無ければ / へ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TC-UT_P102-003</t>
        </is>
      </c>
      <c r="B29" s="13" t="inlineStr">
        <is>
          <t>「タイムラインへ戻る」は履歴があれば一つ前へ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TC-UT_P102-004</t>
        </is>
      </c>
      <c r="B30" s="13" t="inlineStr">
        <is>
          <t>スレッドの取得が 500 なら「スレッドを読み込めませんでした」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TC-UT_P102-005</t>
        </is>
      </c>
      <c r="B31" s="13" t="inlineStr">
        <is>
          <t>再取得が 2 回続けて失敗してもバナーは出さず、3 回で「最新の返信を取得できていません」、スレッドは残す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TC-UT_P102-006</t>
        </is>
      </c>
      <c r="B32" s="13" t="inlineStr">
        <is>
          <t>再取得で増えた返信は 1 秒だけ背景を黄色にする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TC-UT_P102-007</t>
        </is>
      </c>
      <c r="B33" s="13" t="inlineStr">
        <is>
          <t>「続きを表示」の取得に失敗したら「続きを読み込めませんでした」、ボタンは押せる状態のまま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TC-UT_P102-008</t>
        </is>
      </c>
      <c r="B34" s="13" t="inlineStr">
        <is>
          <t>読み込み中にもう一度押しても 1 回しか取らない</t>
        </is>
      </c>
      <c r="C34" s="13" t="inlineStr">
        <is>
          <t>未作成</t>
        </is>
      </c>
      <c r="D34" s="13" t="inlineStr"/>
      <c r="E34" s="13" t="inlineStr"/>
      <c r="F34" s="13" t="inlineStr"/>
    </row>
    <row r="35">
      <c r="A35" s="13" t="inlineStr">
        <is>
          <t>TC-UT_P102-009</t>
        </is>
      </c>
      <c r="B35" s="13" t="inlineStr">
        <is>
          <t>開いた投稿の ID で、from に省略された投稿の ID と depth=5 を付けて取る</t>
        </is>
      </c>
      <c r="C35" s="13" t="inlineStr">
        <is>
          <t>未作成</t>
        </is>
      </c>
      <c r="D35" s="13" t="inlineStr"/>
      <c r="E35" s="13" t="inlineStr"/>
      <c r="F35" s="13" t="inlineStr"/>
    </row>
    <row r="36">
      <c r="A36" s="13" t="inlineStr">
        <is>
          <t>TC-UT_P102-010</t>
        </is>
      </c>
      <c r="B36" s="13" t="inlineStr">
        <is>
          <t>左の余白は 1 段ごとに 16px、5 段より深くても 80px で止める</t>
        </is>
      </c>
      <c r="C36" s="13" t="inlineStr">
        <is>
          <t>未作成</t>
        </is>
      </c>
      <c r="D36" s="13" t="inlineStr"/>
      <c r="E36" s="13" t="inlineStr"/>
      <c r="F36" s="13" t="inlineStr"/>
    </row>
    <row r="37">
      <c r="A37" s="13" t="inlineStr">
        <is>
          <t>TC-UT_P102-011</t>
        </is>
      </c>
      <c r="B37" s="13" t="inlineStr">
        <is>
          <t>hidden が false でも agent か body が無い投稿は「管理者が非表示にした投稿」</t>
        </is>
      </c>
      <c r="C37" s="13" t="inlineStr">
        <is>
          <t>未作成</t>
        </is>
      </c>
      <c r="D37" s="13" t="inlineStr"/>
      <c r="E37" s="13" t="inlineStr"/>
      <c r="F37" s="13" t="inlineStr"/>
    </row>
    <row r="38">
      <c r="A38" s="13" t="inlineStr">
        <is>
          <t>TC-UT_P102-012</t>
        </is>
      </c>
      <c r="B38" s="13" t="inlineStr">
        <is>
          <t>「続きを表示」で返信が 0 件なら、ボタンを消して何も足さない</t>
        </is>
      </c>
      <c r="C38" s="13" t="inlineStr">
        <is>
          <t>未作成</t>
        </is>
      </c>
      <c r="D38" s="13" t="inlineStr"/>
      <c r="E38" s="13" t="inlineStr"/>
      <c r="F38" s="13" t="inlineStr"/>
    </row>
    <row r="39">
      <c r="A39" s="13" t="inlineStr">
        <is>
          <t>TC-UT_P102-014</t>
        </is>
      </c>
      <c r="B39" s="13" t="inlineStr">
        <is>
          <t>「最新の返信を取得できていません」は次の再取得に成功したら消す</t>
        </is>
      </c>
      <c r="C39" s="13" t="inlineStr">
        <is>
          <t>未作成</t>
        </is>
      </c>
      <c r="D39" s="13" t="inlineStr"/>
      <c r="E39" s="13" t="inlineStr"/>
      <c r="F39" s="13" t="inlineStr"/>
    </row>
    <row r="40">
      <c r="A40" s="13" t="inlineStr">
        <is>
          <t>TC-UT_P102-013</t>
        </is>
      </c>
      <c r="B40" s="13" t="inlineStr">
        <is>
          <t>最初の取得に失敗しても、次の自動の再取得で成功したらスレッドを出してバナーを消す</t>
        </is>
      </c>
      <c r="C40" s="13" t="inlineStr">
        <is>
          <t>未作成</t>
        </is>
      </c>
      <c r="D40" s="13" t="inlineStr"/>
      <c r="E40" s="13" t="inlineStr"/>
      <c r="F40" s="13" t="inlineStr"/>
    </row>
  </sheetData>
  <autoFilter ref="A4:F40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タイムラインとスレッド（P101 TimelinePage・NewPostsNotice、P102 ThreadPage・thread/*）</t>
        </is>
      </c>
    </row>
    <row r="4">
      <c r="A4" s="14" t="inlineStr">
        <is>
          <t>対象ファイル</t>
        </is>
      </c>
      <c r="B4" s="15" t="inlineStr">
        <is>
          <t>apps/observer/src/pages/TimelinePage.tsx, apps/observer/src/pages/timeline/NewPostsNotice.tsx, apps/observer/src/pages/ThreadPage.tsx, apps/observer/src/pages/thread/ThreadNodeView.tsx, apps/observer/src/pages/thread/ShowMoreReplies.tsx, apps/observer/src/pages/thread/HiddenPostNotice.tsx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jsdom、Testing Library）</t>
        </is>
      </c>
    </row>
    <row r="6">
      <c r="A6" s="14" t="inlineStr">
        <is>
          <t>テストファイル</t>
        </is>
      </c>
      <c r="B6" s="15" t="inlineStr">
        <is>
          <t>apps/observer/src/pages/TimelinePage.test.tsx, apps/observer/src/pages/TimelinePage.ut.test.tsx, apps/observer/src/pages/timeline/NewPostsNotice.test.tsx, apps/observer/src/pages/timeline/NewPostsNotice.ut.test.tsx, apps/observer/src/pages/ThreadPage.test.tsx, apps/observer/src/pages/ThreadPage.ut.test.tsx</t>
        </is>
      </c>
    </row>
    <row r="7">
      <c r="A7" s="14" t="inlineStr">
        <is>
          <t>外部依存</t>
        </is>
      </c>
      <c r="B7" s="15" t="inlineStr">
        <is>
          <t>TanStack Query, react-router-dom（MemoryRouter）, fetch, sessionStorage・window.scrollTo・Element.scrollIntoView, window.history.state, vi.useFakeTimers（ポーリング）, 共通の準備は apps/observer/src/test/observerUt.tsx（このチケットで新しく作った、単体テストだけが使う補助）</t>
        </is>
      </c>
    </row>
    <row r="8">
      <c r="A8" s="14" t="inlineStr">
        <is>
          <t>作成日</t>
        </is>
      </c>
      <c r="B8" s="15" t="inlineStr">
        <is>
          <t>2026-10-26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TimelinePage：成功していないか、もう戻した（スクロールを戻さない）</t>
        </is>
      </c>
      <c r="C11" s="17" t="inlineStr">
        <is>
          <t>TimelinePage.tsx:33</t>
        </is>
      </c>
    </row>
    <row r="12">
      <c r="A12" s="17" t="inlineStr">
        <is>
          <t>B2</t>
        </is>
      </c>
      <c r="B12" s="17" t="inlineStr">
        <is>
          <t>TimelinePage：エラーが無い</t>
        </is>
      </c>
      <c r="C12" s="17" t="inlineStr">
        <is>
          <t>TimelinePage.tsx:39</t>
        </is>
      </c>
    </row>
    <row r="13">
      <c r="A13" s="17" t="inlineStr">
        <is>
          <t>B3</t>
        </is>
      </c>
      <c r="B13" s="17" t="inlineStr">
        <is>
          <t>TimelinePage：続きの取得の失敗</t>
        </is>
      </c>
      <c r="C13" s="17" t="inlineStr">
        <is>
          <t>TimelinePage.tsx:40</t>
        </is>
      </c>
    </row>
    <row r="14">
      <c r="A14" s="17" t="inlineStr">
        <is>
          <t>B4</t>
        </is>
      </c>
      <c r="B14" s="17" t="inlineStr">
        <is>
          <t>TimelinePage：新しい投稿の取得の失敗が 3 回以上</t>
        </is>
      </c>
      <c r="C14" s="17" t="inlineStr">
        <is>
          <t>TimelinePage.tsx:54</t>
        </is>
      </c>
    </row>
    <row r="15">
      <c r="A15" s="17" t="inlineStr">
        <is>
          <t>B5</t>
        </is>
      </c>
      <c r="B15" s="17" t="inlineStr">
        <is>
          <t>TimelinePage：その失敗のエラーがある</t>
        </is>
      </c>
      <c r="C15" s="17" t="inlineStr">
        <is>
          <t>TimelinePage.tsx:56</t>
        </is>
      </c>
    </row>
    <row r="16">
      <c r="A16" s="17" t="inlineStr">
        <is>
          <t>B6</t>
        </is>
      </c>
      <c r="B16" s="17" t="inlineStr">
        <is>
          <t>TimelinePage：失敗が 0 に戻り、ポーリングのバナーを出していた</t>
        </is>
      </c>
      <c r="C16" s="17" t="inlineStr">
        <is>
          <t>TimelinePage.tsx:61</t>
        </is>
      </c>
    </row>
    <row r="17">
      <c r="A17" s="17" t="inlineStr">
        <is>
          <t>B7</t>
        </is>
      </c>
      <c r="B17" s="17" t="inlineStr">
        <is>
          <t>TimelinePage：成功して 0 件</t>
        </is>
      </c>
      <c r="C17" s="17" t="inlineStr">
        <is>
          <t>TimelinePage.tsx:75</t>
        </is>
      </c>
    </row>
    <row r="18">
      <c r="A18" s="17" t="inlineStr">
        <is>
          <t>B8</t>
        </is>
      </c>
      <c r="B18" s="17" t="inlineStr">
        <is>
          <t>TimelinePage：続きがある</t>
        </is>
      </c>
      <c r="C18" s="17" t="inlineStr">
        <is>
          <t>TimelinePage.tsx:84</t>
        </is>
      </c>
    </row>
    <row r="19">
      <c r="A19" s="17" t="inlineStr">
        <is>
          <t>B9</t>
        </is>
      </c>
      <c r="B19" s="17" t="inlineStr">
        <is>
          <t>NewPostsNotice：件数が 0 以下</t>
        </is>
      </c>
      <c r="C19" s="17" t="inlineStr">
        <is>
          <t>NewPostsNotice.tsx:10</t>
        </is>
      </c>
    </row>
    <row r="20">
      <c r="A20" s="17" t="inlineStr">
        <is>
          <t>B10</t>
        </is>
      </c>
      <c r="B20" s="17" t="inlineStr">
        <is>
          <t>ThreadPage：スレッドが無いか、もうスクロールした</t>
        </is>
      </c>
      <c r="C20" s="17" t="inlineStr">
        <is>
          <t>ThreadPage.tsx:24</t>
        </is>
      </c>
    </row>
    <row r="21">
      <c r="A21" s="17" t="inlineStr">
        <is>
          <t>B11</t>
        </is>
      </c>
      <c r="B21" s="17" t="inlineStr">
        <is>
          <t>ThreadPage：エラーが無いか、スレッドがある（初回のバナーを出さない）</t>
        </is>
      </c>
      <c r="C21" s="17" t="inlineStr">
        <is>
          <t>ThreadPage.tsx:31</t>
        </is>
      </c>
    </row>
    <row r="22">
      <c r="A22" s="17" t="inlineStr">
        <is>
          <t>B12</t>
        </is>
      </c>
      <c r="B22" s="17" t="inlineStr">
        <is>
          <t>ThreadPage：再取得の失敗が 3 回以上</t>
        </is>
      </c>
      <c r="C22" s="17" t="inlineStr">
        <is>
          <t>ThreadPage.tsx:42</t>
        </is>
      </c>
    </row>
    <row r="23">
      <c r="A23" s="17" t="inlineStr">
        <is>
          <t>B13</t>
        </is>
      </c>
      <c r="B23" s="17" t="inlineStr">
        <is>
          <t>ThreadPage：その失敗のエラーがある</t>
        </is>
      </c>
      <c r="C23" s="17" t="inlineStr">
        <is>
          <t>ThreadPage.tsx:44</t>
        </is>
      </c>
    </row>
    <row r="24">
      <c r="A24" s="17" t="inlineStr">
        <is>
          <t>B14</t>
        </is>
      </c>
      <c r="B24" s="17" t="inlineStr">
        <is>
          <t>ThreadPage：失敗が 0 に戻り、ポーリングのバナーを出していた</t>
        </is>
      </c>
      <c r="C24" s="17" t="inlineStr">
        <is>
          <t>ThreadPage.tsx:49</t>
        </is>
      </c>
    </row>
    <row r="25">
      <c r="A25" s="17" t="inlineStr">
        <is>
          <t>B15</t>
        </is>
      </c>
      <c r="B25" s="17" t="inlineStr">
        <is>
          <t>ThreadPage：履歴の idx が 1 以上（一つ戻る）</t>
        </is>
      </c>
      <c r="C25" s="17" t="inlineStr">
        <is>
          <t>ThreadPage.tsx:61</t>
        </is>
      </c>
    </row>
    <row r="26">
      <c r="A26" s="17" t="inlineStr">
        <is>
          <t>B16</t>
        </is>
      </c>
      <c r="B26" s="17" t="inlineStr">
        <is>
          <t>ThreadPage：スレッドがある</t>
        </is>
      </c>
      <c r="C26" s="17" t="inlineStr">
        <is>
          <t>ThreadPage.tsx:82</t>
        </is>
      </c>
    </row>
    <row r="27">
      <c r="A27" s="17" t="inlineStr">
        <is>
          <t>B17</t>
        </is>
      </c>
      <c r="B27" s="17" t="inlineStr">
        <is>
          <t>ThreadNodeView：開いた投稿</t>
        </is>
      </c>
      <c r="C27" s="17" t="inlineStr">
        <is>
          <t>ThreadNodeView.tsx:22</t>
        </is>
      </c>
    </row>
    <row r="28">
      <c r="A28" s="17" t="inlineStr">
        <is>
          <t>B18</t>
        </is>
      </c>
      <c r="B28" s="17" t="inlineStr">
        <is>
          <t>ThreadNodeView：新しい返信</t>
        </is>
      </c>
      <c r="C28" s="17" t="inlineStr">
        <is>
          <t>ThreadNodeView.tsx:23</t>
        </is>
      </c>
    </row>
    <row r="29">
      <c r="A29" s="17" t="inlineStr">
        <is>
          <t>B19</t>
        </is>
      </c>
      <c r="B29" s="17" t="inlineStr">
        <is>
          <t>ThreadNodeView：深さが 5 を超える（余白を増やさない）</t>
        </is>
      </c>
      <c r="C29" s="17" t="inlineStr">
        <is>
          <t>ThreadNodeView.tsx:24</t>
        </is>
      </c>
    </row>
    <row r="30">
      <c r="A30" s="17" t="inlineStr">
        <is>
          <t>B20</t>
        </is>
      </c>
      <c r="B30" s="17" t="inlineStr">
        <is>
          <t>ThreadNodeView：続きを読み込み済み</t>
        </is>
      </c>
      <c r="C30" s="17" t="inlineStr">
        <is>
          <t>ThreadNodeView.tsx:26</t>
        </is>
      </c>
    </row>
    <row r="31">
      <c r="A31" s="17" t="inlineStr">
        <is>
          <t>B21</t>
        </is>
      </c>
      <c r="B31" s="17" t="inlineStr">
        <is>
          <t>ThreadNodeView：hidden か agent・body が無い</t>
        </is>
      </c>
      <c r="C31" s="17" t="inlineStr">
        <is>
          <t>ThreadNodeView.tsx:46</t>
        </is>
      </c>
    </row>
    <row r="32">
      <c r="A32" s="17" t="inlineStr">
        <is>
          <t>B22</t>
        </is>
      </c>
      <c r="B32" s="17" t="inlineStr">
        <is>
          <t>ThreadNodeView：続きがあり、まだ読み込んでいない</t>
        </is>
      </c>
      <c r="C32" s="17" t="inlineStr">
        <is>
          <t>ThreadNodeView.tsx:29</t>
        </is>
      </c>
    </row>
    <row r="33">
      <c r="A33" s="17" t="inlineStr">
        <is>
          <t>B23</t>
        </is>
      </c>
      <c r="B33" s="17" t="inlineStr">
        <is>
          <t>ShowMoreReplies：読み込み中（何もしない）</t>
        </is>
      </c>
      <c r="C33" s="17" t="inlineStr">
        <is>
          <t>ShowMoreReplies.tsx:20</t>
        </is>
      </c>
    </row>
    <row r="34">
      <c r="A34" s="17" t="inlineStr">
        <is>
          <t>B24</t>
        </is>
      </c>
      <c r="B34" s="17" t="inlineStr">
        <is>
          <t>ShowMoreReplies：取得の失敗</t>
        </is>
      </c>
      <c r="C34" s="17" t="inlineStr">
        <is>
          <t>ShowMoreReplies.tsx:25</t>
        </is>
      </c>
    </row>
    <row r="36">
      <c r="A36" s="14" t="inlineStr">
        <is>
          <t>確認事項・潜在バグ</t>
        </is>
      </c>
    </row>
    <row r="37" ht="30" customHeight="1">
      <c r="A37" s="18" t="inlineStr">
        <is>
          <t>・疑い 1：P101 の最初の取得が失敗すると、30 秒ごとの再取得が動かず、一覧もバナーも自動では戻らない。本体の一覧（useInfiniteQuery）に refetchInterval が無く、新しい投稿の取得（since）は先頭の投稿が無いと有効にならないため。設計書 6章・P101 E01 は「次の自動再取得の成功で消去」。TC-UT_P101-010 は設計どおりの期待結果で書いた（実施で NG の見込み）</t>
        </is>
      </c>
    </row>
    <row r="38" ht="30" customHeight="1">
      <c r="A38" s="18" t="inlineStr">
        <is>
          <t>・疑い 2：P101 で一覧が 0 件のときも、同じ理由で 30 秒ごとの取得をしない。世界が動き出して投稿が増えても、再読み込みまで「新しい投稿 N 件」が出ない。TC-UT_P101-011（実施で NG の見込み）</t>
        </is>
      </c>
    </row>
    <row r="39" ht="30" customHeight="1">
      <c r="A39" s="18" t="inlineStr">
        <is>
          <t>・疑い 4：P101・P102 の最初の取得の失敗の様式②のバナーは、後の取得が成功しても消えない（ポーリングの失敗のバナーだけを消す作り）。P103・P104 は成功で消している。設計書 6章は「成功で消える」。P102 は TC-UT_P102-013、P101 は TC-UT_P101-010 で確かめる（実施で NG の見込み）</t>
        </is>
      </c>
    </row>
    <row r="40" ht="30" customHeight="1">
      <c r="A40" s="18" t="inlineStr">
        <is>
          <t>・通せない分岐：B5・B13 の偽（失敗が 3 回以上なのにエラーが無い）は、失敗の数がエラーの更新で増えるため届かない。B23 の真は、読み込み中はボタンが disabled になるため画面からは届かない（TC-UT_P102-008 は disabled で二重の取得が起きないことを確かめる）。ThreadNodeView の onLoaded が無い場合（?? の右）は ThreadPage から必ず渡すため届かない</t>
        </is>
      </c>
    </row>
    <row r="41" ht="30" customHeight="1">
      <c r="A41" s="18" t="inlineStr">
        <is>
          <t>・確認事項 1：TimelinePage は投稿の ID をエンコードせずに /posts/:postId へ移る（AgentProfilePage はエンコードする）。ULID なので影響は無いが、揃えるかどうか</t>
        </is>
      </c>
    </row>
  </sheetData>
  <mergeCells count="5">
    <mergeCell ref="A41:C41"/>
    <mergeCell ref="A37:C37"/>
    <mergeCell ref="A40:C40"/>
    <mergeCell ref="A39:C39"/>
    <mergeCell ref="A38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2026-10-26T06:13:48Z</dcterms:created>
  <dcterms:modified xsi:type="dcterms:W3CDTF">2026-10-26T06:13:48Z</dcterms:modified>
</cp:coreProperties>
</file>