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観点表" sheetId="1" state="visible" r:id="rId1"/>
    <sheet name="サマリ" sheetId="2" state="visible" r:id="rId2"/>
    <sheet name="テストデータ" sheetId="3" state="visible" r:id="rId3"/>
    <sheet name="対象概要" sheetId="4" state="visible" r:id="rId4"/>
  </sheets>
  <definedNames>
    <definedName name="_xlnm._FilterDatabase" localSheetId="0" hidden="1">'観点表'!$A$4:$Q$11</definedName>
    <definedName name="_xlnm.Print_Titles" localSheetId="0">'観点表'!$4:$4</definedName>
    <definedName name="_xlnm._FilterDatabase" localSheetId="2" hidden="1">'テストデータ'!$A$4:$F$11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Meiryo UI"/>
      <b val="1"/>
      <sz val="14"/>
    </font>
    <font>
      <name val="Meiryo UI"/>
      <i val="1"/>
      <color rgb="00595959"/>
      <sz val="9"/>
    </font>
    <font>
      <name val="Meiryo UI"/>
      <b val="1"/>
      <color rgb="00FFFFFF"/>
      <sz val="10"/>
    </font>
    <font>
      <name val="Meiryo UI"/>
      <sz val="10"/>
    </font>
    <font>
      <name val="Meiryo UI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left" vertical="top" wrapText="1"/>
    </xf>
    <xf numFmtId="0" fontId="5" fillId="4" borderId="0" pivotButton="0" quotePrefix="0" xfId="0"/>
    <xf numFmtId="0" fontId="0" fillId="4" borderId="0" pivotButton="0" quotePrefix="0" xfId="0"/>
    <xf numFmtId="0" fontId="4" fillId="0" borderId="1" pivotButton="0" quotePrefix="0" xfId="0"/>
    <xf numFmtId="164" fontId="4" fillId="0" borderId="1" pivotButton="0" quotePrefix="0" xfId="0"/>
    <xf numFmtId="0" fontId="3" fillId="2" borderId="1" applyAlignment="1" pivotButton="0" quotePrefix="0" xfId="0">
      <alignment horizontal="center"/>
    </xf>
    <xf numFmtId="0" fontId="4" fillId="5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8CBAD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9" customWidth="1" min="4" max="4"/>
    <col width="11" customWidth="1" min="5" max="5"/>
    <col width="30" customWidth="1" min="6" max="6"/>
    <col width="32" customWidth="1" min="7" max="7"/>
    <col width="32" customWidth="1" min="8" max="8"/>
    <col width="13" customWidth="1" min="9" max="9"/>
    <col width="22" customWidth="1" min="10" max="10"/>
    <col width="30" customWidth="1" min="11" max="11"/>
    <col width="26" customWidth="1" min="12" max="12"/>
    <col width="30" customWidth="1" min="13" max="13"/>
    <col width="10" customWidth="1" min="14" max="14"/>
    <col width="11" customWidth="1" min="15" max="15"/>
    <col width="10" customWidth="1" min="16" max="16"/>
    <col width="30" customWidth="1" min="17" max="17"/>
  </cols>
  <sheetData>
    <row r="1">
      <c r="A1" s="1" t="inlineStr">
        <is>
          <t>テスト観点表: サービス説明と閲覧できません（P105 AboutPage、P106 NotInvitedPage）</t>
        </is>
      </c>
    </row>
    <row r="2">
      <c r="A2" s="2" t="inlineStr">
        <is>
          <t>黄色の列（実施結果・実施日・確認者・備考）を記入してください。観点やテストデータを修正した場合は import_test_matrix.py で JSON に取り込めます。</t>
        </is>
      </c>
    </row>
    <row r="4" ht="28" customHeight="1">
      <c r="A4" s="3" t="inlineStr">
        <is>
          <t>No</t>
        </is>
      </c>
      <c r="B4" s="3" t="inlineStr">
        <is>
          <t>ID</t>
        </is>
      </c>
      <c r="C4" s="3" t="inlineStr">
        <is>
          <t>対象</t>
        </is>
      </c>
      <c r="D4" s="3" t="inlineStr">
        <is>
          <t>分類</t>
        </is>
      </c>
      <c r="E4" s="3" t="inlineStr">
        <is>
          <t>技法</t>
        </is>
      </c>
      <c r="F4" s="3" t="inlineStr">
        <is>
          <t>観点</t>
        </is>
      </c>
      <c r="G4" s="3" t="inlineStr">
        <is>
          <t>入力・前提条件</t>
        </is>
      </c>
      <c r="H4" s="3" t="inlineStr">
        <is>
          <t>期待結果</t>
        </is>
      </c>
      <c r="I4" s="3" t="inlineStr">
        <is>
          <t>網羅する分岐</t>
        </is>
      </c>
      <c r="J4" s="3" t="inlineStr">
        <is>
          <t>モック</t>
        </is>
      </c>
      <c r="K4" s="3" t="inlineStr">
        <is>
          <t>テストデータ（具体値）</t>
        </is>
      </c>
      <c r="L4" s="3" t="inlineStr">
        <is>
          <t>データ参照</t>
        </is>
      </c>
      <c r="M4" s="3" t="inlineStr">
        <is>
          <t>テスト関数名</t>
        </is>
      </c>
      <c r="N4" s="3" t="inlineStr">
        <is>
          <t>実施結果</t>
        </is>
      </c>
      <c r="O4" s="3" t="inlineStr">
        <is>
          <t>実施日</t>
        </is>
      </c>
      <c r="P4" s="3" t="inlineStr">
        <is>
          <t>確認者</t>
        </is>
      </c>
      <c r="Q4" s="3" t="inlineStr">
        <is>
          <t>備考</t>
        </is>
      </c>
    </row>
    <row r="5">
      <c r="A5" s="4" t="n">
        <v>1</v>
      </c>
      <c r="B5" s="4" t="inlineStr">
        <is>
          <t>TC-NOUS68_DEV-17</t>
        </is>
      </c>
      <c r="C5" s="5" t="inlineStr">
        <is>
          <t>AboutPage</t>
        </is>
      </c>
      <c r="D5" s="4" t="inlineStr">
        <is>
          <t>正常系</t>
        </is>
      </c>
      <c r="E5" s="4" t="inlineStr">
        <is>
          <t>開発者テスト</t>
        </is>
      </c>
      <c r="F5" s="5" t="inlineStr">
        <is>
          <t>見出し・AI 強調枠・3 区画・注意文・タイムラインへ、押すと /</t>
        </is>
      </c>
      <c r="G5" s="5" t="inlineStr">
        <is>
          <t>前提：MemoryRouter
入力：表示・ボタン</t>
        </is>
      </c>
      <c r="H5" s="5" t="inlineStr">
        <is>
          <t>各文言、/ へ遷移</t>
        </is>
      </c>
      <c r="I5" s="5" t="inlineStr"/>
      <c r="J5" s="5" t="inlineStr">
        <is>
          <t>MemoryRouter</t>
        </is>
      </c>
      <c r="K5" s="5" t="inlineStr"/>
      <c r="L5" s="5" t="inlineStr"/>
      <c r="M5" s="5" t="inlineStr">
        <is>
          <t>TC-NOUS68_DEV-17 設計書どおりの見出し・AI強調枠・3つの区画・注意文・タイムラインへボタンを表示し、ボタンを押すと / へ遷移する</t>
        </is>
      </c>
      <c r="N5" s="6" t="inlineStr">
        <is>
          <t>未実施</t>
        </is>
      </c>
      <c r="O5" s="6" t="inlineStr"/>
      <c r="P5" s="6" t="inlineStr"/>
      <c r="Q5" s="7" t="inlineStr">
        <is>
          <t>既存テスト：実装時のテスト（NOUS-68）</t>
        </is>
      </c>
    </row>
    <row r="6">
      <c r="A6" s="4" t="n">
        <v>2</v>
      </c>
      <c r="B6" s="4" t="inlineStr">
        <is>
          <t>TC-NOUS68_DEV-18</t>
        </is>
      </c>
      <c r="C6" s="5" t="inlineStr">
        <is>
          <t>NotInvitedPage</t>
        </is>
      </c>
      <c r="D6" s="4" t="inlineStr">
        <is>
          <t>正常系</t>
        </is>
      </c>
      <c r="E6" s="4" t="inlineStr">
        <is>
          <t>開発者テスト</t>
        </is>
      </c>
      <c r="F6" s="5" t="inlineStr">
        <is>
          <t>見出しと案内・タイトル・noindex、minimal でリンクとフッターなし</t>
        </is>
      </c>
      <c r="G6" s="5" t="inlineStr">
        <is>
          <t>前提：MemoryRouter
入力：表示</t>
        </is>
      </c>
      <c r="H6" s="5" t="inlineStr">
        <is>
          <t>各項目</t>
        </is>
      </c>
      <c r="I6" s="5" t="inlineStr">
        <is>
          <t>B1-T</t>
        </is>
      </c>
      <c r="J6" s="5" t="inlineStr">
        <is>
          <t>MemoryRouter</t>
        </is>
      </c>
      <c r="K6" s="5" t="inlineStr"/>
      <c r="L6" s="5" t="inlineStr"/>
      <c r="M6" s="5" t="inlineStr">
        <is>
          <t>TC-NOUS68_DEV-18 見出しと3つの案内文・ページタイトル・meta robots noindex を設定し、minimal レイアウトでリンクとフッターを出さない</t>
        </is>
      </c>
      <c r="N6" s="6" t="inlineStr">
        <is>
          <t>未実施</t>
        </is>
      </c>
      <c r="O6" s="6" t="inlineStr"/>
      <c r="P6" s="6" t="inlineStr"/>
      <c r="Q6" s="7" t="inlineStr">
        <is>
          <t>既存テスト：実装時のテスト（NOUS-68）</t>
        </is>
      </c>
    </row>
    <row r="7">
      <c r="A7" s="4" t="n">
        <v>3</v>
      </c>
      <c r="B7" s="4" t="inlineStr">
        <is>
          <t>TC-UT_P105-001</t>
        </is>
      </c>
      <c r="C7" s="5" t="inlineStr">
        <is>
          <t>AboutPage / WorldStatusFooter</t>
        </is>
      </c>
      <c r="D7" s="4" t="inlineStr">
        <is>
          <t>異常系</t>
        </is>
      </c>
      <c r="E7" s="4" t="inlineStr">
        <is>
          <t>エラー処理</t>
        </is>
      </c>
      <c r="F7" s="5" t="inlineStr">
        <is>
          <t>世界の状態の取得に失敗しても本文は出し、フッターに「状態を取得できません」</t>
        </is>
      </c>
      <c r="G7" s="5" t="inlineStr">
        <is>
          <t>前提：QueryClient（retry なし）、MemoryRouter、ObserverLayout
入力：/api/world 500</t>
        </is>
      </c>
      <c r="H7" s="5" t="inlineStr">
        <is>
          <t>状態を取得できません、見出しあり、alert なし</t>
        </is>
      </c>
      <c r="I7" s="5" t="inlineStr"/>
      <c r="J7" s="5" t="inlineStr">
        <is>
          <t>fetch を vi.stubGlobal で差し替え</t>
        </is>
      </c>
      <c r="K7" s="5" t="inlineStr"/>
      <c r="L7" s="5" t="inlineStr"/>
      <c r="M7" s="5" t="inlineStr">
        <is>
          <t>TC-UT_P105-001 世界の状態の取得に失敗しても本文は出し、フッターに「状態を取得できません」を出す</t>
        </is>
      </c>
      <c r="N7" s="6" t="inlineStr">
        <is>
          <t>未実施</t>
        </is>
      </c>
      <c r="O7" s="6" t="inlineStr"/>
      <c r="P7" s="6" t="inlineStr"/>
      <c r="Q7" s="7" t="inlineStr">
        <is>
          <t>既存テスト：なし
画面 P105 E01</t>
        </is>
      </c>
    </row>
    <row r="8">
      <c r="A8" s="4" t="n">
        <v>4</v>
      </c>
      <c r="B8" s="4" t="inlineStr">
        <is>
          <t>TC-UT_P105-002</t>
        </is>
      </c>
      <c r="C8" s="5" t="inlineStr">
        <is>
          <t>AboutPage / ObserverHeader</t>
        </is>
      </c>
      <c r="D8" s="4" t="inlineStr">
        <is>
          <t>正常系</t>
        </is>
      </c>
      <c r="E8" s="4" t="inlineStr">
        <is>
          <t>依存</t>
        </is>
      </c>
      <c r="F8" s="5" t="inlineStr">
        <is>
          <t>ヘッダーのサービス名を押すとタイムラインへ</t>
        </is>
      </c>
      <c r="G8" s="5" t="inlineStr">
        <is>
          <t>前提：QueryClient（retry なし）、MemoryRouter、ObserverLayout
入力：NOUS を押す</t>
        </is>
      </c>
      <c r="H8" s="5" t="inlineStr">
        <is>
          <t>/</t>
        </is>
      </c>
      <c r="I8" s="5" t="inlineStr"/>
      <c r="J8" s="5" t="inlineStr">
        <is>
          <t>fetch を vi.stubGlobal で差し替え</t>
        </is>
      </c>
      <c r="K8" s="5" t="inlineStr"/>
      <c r="L8" s="5" t="inlineStr"/>
      <c r="M8" s="5" t="inlineStr">
        <is>
          <t>TC-UT_P105-002 ヘッダーのサービス名を押すとタイムラインへ移る</t>
        </is>
      </c>
      <c r="N8" s="6" t="inlineStr">
        <is>
          <t>未実施</t>
        </is>
      </c>
      <c r="O8" s="6" t="inlineStr"/>
      <c r="P8" s="6" t="inlineStr"/>
      <c r="Q8" s="7" t="inlineStr">
        <is>
          <t>既存テスト：なし
画面 P105 E03</t>
        </is>
      </c>
    </row>
    <row r="9">
      <c r="A9" s="4" t="n">
        <v>5</v>
      </c>
      <c r="B9" s="4" t="inlineStr">
        <is>
          <t>TC-UT_P105-003</t>
        </is>
      </c>
      <c r="C9" s="5" t="inlineStr">
        <is>
          <t>AboutPage</t>
        </is>
      </c>
      <c r="D9" s="4" t="inlineStr">
        <is>
          <t>正常系</t>
        </is>
      </c>
      <c r="E9" s="4" t="inlineStr">
        <is>
          <t>依存</t>
        </is>
      </c>
      <c r="F9" s="5" t="inlineStr">
        <is>
          <t>本文は通信せず、呼ぶのは世界の状態だけ</t>
        </is>
      </c>
      <c r="G9" s="5" t="inlineStr">
        <is>
          <t>前提：QueryClient（retry なし）、MemoryRouter、ObserverLayout
入力：表示</t>
        </is>
      </c>
      <c r="H9" s="5" t="inlineStr">
        <is>
          <t>fetch は /api/world だけ</t>
        </is>
      </c>
      <c r="I9" s="5" t="inlineStr"/>
      <c r="J9" s="5" t="inlineStr">
        <is>
          <t>fetch を vi.stubGlobal で差し替え</t>
        </is>
      </c>
      <c r="K9" s="5" t="inlineStr"/>
      <c r="L9" s="5" t="inlineStr"/>
      <c r="M9" s="5" t="inlineStr">
        <is>
          <t>TC-UT_P105-003 本文は観察 API を呼ばず、呼ぶのは世界の状態だけにする</t>
        </is>
      </c>
      <c r="N9" s="6" t="inlineStr">
        <is>
          <t>未実施</t>
        </is>
      </c>
      <c r="O9" s="6" t="inlineStr"/>
      <c r="P9" s="6" t="inlineStr"/>
      <c r="Q9" s="7" t="inlineStr">
        <is>
          <t>既存テスト：なし
画面 P105 E01：本文は固定で通信しない</t>
        </is>
      </c>
    </row>
    <row r="10">
      <c r="A10" s="4" t="n">
        <v>6</v>
      </c>
      <c r="B10" s="4" t="inlineStr">
        <is>
          <t>TC-UT_P106-001</t>
        </is>
      </c>
      <c r="C10" s="5" t="inlineStr">
        <is>
          <t>NotInvitedPage</t>
        </is>
      </c>
      <c r="D10" s="4" t="inlineStr">
        <is>
          <t>正常系</t>
        </is>
      </c>
      <c r="E10" s="4" t="inlineStr">
        <is>
          <t>分岐網羅</t>
        </is>
      </c>
      <c r="F10" s="5" t="inlineStr">
        <is>
          <t>離れるときにタイトルを戻し、自分で足した meta robots を消す</t>
        </is>
      </c>
      <c r="G10" s="5" t="inlineStr">
        <is>
          <t>前提：title=NOUS、meta なし
入力：表示 → unmount</t>
        </is>
      </c>
      <c r="H10" s="5" t="inlineStr">
        <is>
          <t>表示中：閲覧できません - NOUS・noindex、後：NOUS・meta なし</t>
        </is>
      </c>
      <c r="I10" s="5" t="inlineStr">
        <is>
          <t>B1-T, B2-T</t>
        </is>
      </c>
      <c r="J10" s="5" t="inlineStr">
        <is>
          <t>なし</t>
        </is>
      </c>
      <c r="K10" s="5" t="inlineStr"/>
      <c r="L10" s="5" t="inlineStr"/>
      <c r="M10" s="5" t="inlineStr">
        <is>
          <t>TC-UT_P106-001 離れるときにページのタイトルを元に戻し、自分で足した meta robots を消す</t>
        </is>
      </c>
      <c r="N10" s="6" t="inlineStr">
        <is>
          <t>未実施</t>
        </is>
      </c>
      <c r="O10" s="6" t="inlineStr"/>
      <c r="P10" s="6" t="inlineStr"/>
      <c r="Q10" s="7" t="inlineStr">
        <is>
          <t>既存テスト：一部 TC-NOUS68_DEV-18（表示中だけ）</t>
        </is>
      </c>
    </row>
    <row r="11">
      <c r="A11" s="4" t="n">
        <v>7</v>
      </c>
      <c r="B11" s="4" t="inlineStr">
        <is>
          <t>TC-UT_P106-002</t>
        </is>
      </c>
      <c r="C11" s="5" t="inlineStr">
        <is>
          <t>NotInvitedPage</t>
        </is>
      </c>
      <c r="D11" s="4" t="inlineStr">
        <is>
          <t>正常系</t>
        </is>
      </c>
      <c r="E11" s="4" t="inlineStr">
        <is>
          <t>分岐網羅</t>
        </is>
      </c>
      <c r="F11" s="5" t="inlineStr">
        <is>
          <t>meta robots が元からあれば表示中は noindex、離れるときに元の値へ戻す</t>
        </is>
      </c>
      <c r="G11" s="5" t="inlineStr">
        <is>
          <t>前提：meta robots=index,follow
入力：表示 → unmount</t>
        </is>
      </c>
      <c r="H11" s="5" t="inlineStr">
        <is>
          <t>表示中 noindex、後 index,follow、meta は 1 つ</t>
        </is>
      </c>
      <c r="I11" s="5" t="inlineStr">
        <is>
          <t>B1-F, B2-F, B3-T</t>
        </is>
      </c>
      <c r="J11" s="5" t="inlineStr">
        <is>
          <t>なし</t>
        </is>
      </c>
      <c r="K11" s="5" t="inlineStr"/>
      <c r="L11" s="5" t="inlineStr"/>
      <c r="M11" s="5" t="inlineStr">
        <is>
          <t>TC-UT_P106-002 meta robots が元からあれば、表示中は noindex にし、離れるときに元の値へ戻す</t>
        </is>
      </c>
      <c r="N11" s="6" t="inlineStr">
        <is>
          <t>未実施</t>
        </is>
      </c>
      <c r="O11" s="6" t="inlineStr"/>
      <c r="P11" s="6" t="inlineStr"/>
      <c r="Q11" s="7" t="inlineStr">
        <is>
          <t>既存テスト：なし</t>
        </is>
      </c>
    </row>
  </sheetData>
  <autoFilter ref="A4:Q11"/>
  <conditionalFormatting sqref="A5:Q61">
    <cfRule type="expression" priority="1" dxfId="0">
      <formula>$N5="NG"</formula>
    </cfRule>
    <cfRule type="expression" priority="2" dxfId="1">
      <formula>$N5="OK"</formula>
    </cfRule>
    <cfRule type="expression" priority="3" dxfId="2">
      <formula>$N5="保留"</formula>
    </cfRule>
  </conditionalFormatting>
  <dataValidations count="2">
    <dataValidation sqref="N5:N61" showDropDown="0" showInputMessage="0" showErrorMessage="0" allowBlank="1" type="list">
      <formula1>"未実施,OK,NG,保留,対象外"</formula1>
    </dataValidation>
    <dataValidation sqref="D5:D61" showDropDown="0" showInputMessage="0" showErrorMessage="0" allowBlank="1" type="list">
      <formula1>"正常系,異常系"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集計サマリ</t>
        </is>
      </c>
    </row>
    <row r="2">
      <c r="A2" s="2" t="inlineStr">
        <is>
          <t>観点表シートの内容から自動集計されます（手入力不要）。</t>
        </is>
      </c>
    </row>
    <row r="4">
      <c r="A4" s="8" t="inlineStr">
        <is>
          <t>ケース数</t>
        </is>
      </c>
      <c r="B4" s="9" t="n"/>
      <c r="C4" s="9" t="n"/>
    </row>
    <row r="5">
      <c r="A5" s="10" t="inlineStr">
        <is>
          <t>総ケース数</t>
        </is>
      </c>
      <c r="B5" s="10">
        <f>COUNTA(観点表!$B$5:$B$61)</f>
        <v/>
      </c>
    </row>
    <row r="6">
      <c r="A6" s="10" t="inlineStr">
        <is>
          <t>正常系</t>
        </is>
      </c>
      <c r="B6" s="10">
        <f>COUNTIF(観点表!$D$5:$D$61,"正常系")</f>
        <v/>
      </c>
    </row>
    <row r="7">
      <c r="A7" s="10" t="inlineStr">
        <is>
          <t>異常系</t>
        </is>
      </c>
      <c r="B7" s="10">
        <f>COUNTIF(観点表!$D$5:$D$61,"異常系")</f>
        <v/>
      </c>
    </row>
    <row r="9">
      <c r="A9" s="8" t="inlineStr">
        <is>
          <t>技法別</t>
        </is>
      </c>
      <c r="B9" s="9" t="n"/>
      <c r="C9" s="9" t="n"/>
    </row>
    <row r="10">
      <c r="A10" s="10" t="inlineStr">
        <is>
          <t>エラー処理</t>
        </is>
      </c>
      <c r="B10" s="10">
        <f>COUNTIF(観点表!$E$5:$E$61,"エラー処理")</f>
        <v/>
      </c>
    </row>
    <row r="11">
      <c r="A11" s="10" t="inlineStr">
        <is>
          <t>依存</t>
        </is>
      </c>
      <c r="B11" s="10">
        <f>COUNTIF(観点表!$E$5:$E$61,"依存")</f>
        <v/>
      </c>
    </row>
    <row r="12">
      <c r="A12" s="10" t="inlineStr">
        <is>
          <t>分岐網羅</t>
        </is>
      </c>
      <c r="B12" s="10">
        <f>COUNTIF(観点表!$E$5:$E$61,"分岐網羅")</f>
        <v/>
      </c>
    </row>
    <row r="13">
      <c r="A13" s="10" t="inlineStr">
        <is>
          <t>開発者テスト</t>
        </is>
      </c>
      <c r="B13" s="10">
        <f>COUNTIF(観点表!$E$5:$E$61,"開発者テスト")</f>
        <v/>
      </c>
    </row>
    <row r="15">
      <c r="A15" s="8" t="inlineStr">
        <is>
          <t>テストデータ</t>
        </is>
      </c>
      <c r="B15" s="9" t="n"/>
      <c r="C15" s="9" t="n"/>
    </row>
    <row r="16">
      <c r="A16" s="10" t="inlineStr">
        <is>
          <t>作成済み</t>
        </is>
      </c>
      <c r="B16" s="10">
        <f>COUNTIF(観点表!$K$5:$K$61,"?*")</f>
        <v/>
      </c>
    </row>
    <row r="17">
      <c r="A17" s="10" t="inlineStr">
        <is>
          <t>未作成</t>
        </is>
      </c>
      <c r="B17" s="10">
        <f>B5-B16</f>
        <v/>
      </c>
    </row>
    <row r="19">
      <c r="A19" s="8" t="inlineStr">
        <is>
          <t>実施状況</t>
        </is>
      </c>
      <c r="B19" s="9" t="n"/>
      <c r="C19" s="9" t="n"/>
    </row>
    <row r="20">
      <c r="A20" s="10" t="inlineStr">
        <is>
          <t>未実施</t>
        </is>
      </c>
      <c r="B20" s="10">
        <f>COUNTIF(観点表!$N$5:$N$61,"未実施")</f>
        <v/>
      </c>
    </row>
    <row r="21">
      <c r="A21" s="10" t="inlineStr">
        <is>
          <t>OK</t>
        </is>
      </c>
      <c r="B21" s="10">
        <f>COUNTIF(観点表!$N$5:$N$61,"OK")</f>
        <v/>
      </c>
    </row>
    <row r="22">
      <c r="A22" s="10" t="inlineStr">
        <is>
          <t>NG</t>
        </is>
      </c>
      <c r="B22" s="10">
        <f>COUNTIF(観点表!$N$5:$N$61,"NG")</f>
        <v/>
      </c>
    </row>
    <row r="23">
      <c r="A23" s="10" t="inlineStr">
        <is>
          <t>保留</t>
        </is>
      </c>
      <c r="B23" s="10">
        <f>COUNTIF(観点表!$N$5:$N$61,"保留")</f>
        <v/>
      </c>
    </row>
    <row r="24">
      <c r="A24" s="10" t="inlineStr">
        <is>
          <t>対象外</t>
        </is>
      </c>
      <c r="B24" s="10">
        <f>COUNTIF(観点表!$N$5:$N$61,"対象外")</f>
        <v/>
      </c>
    </row>
    <row r="25">
      <c r="A25" s="10" t="inlineStr">
        <is>
          <t>消化率（未実施以外 / 総数）</t>
        </is>
      </c>
      <c r="B25" s="11">
        <f>IF(B5=0,0,(B5-B20)/B5)</f>
        <v/>
      </c>
    </row>
    <row r="26">
      <c r="A26" s="10" t="inlineStr">
        <is>
          <t>合格率（OK / (総数-対象外)）</t>
        </is>
      </c>
      <c r="B26" s="11">
        <f>IF(B5-B24=0,0,B21/(B5-B24))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9" customWidth="1" min="3" max="3"/>
    <col width="22" customWidth="1" min="4" max="4"/>
    <col width="40" customWidth="1" min="5" max="5"/>
    <col width="30" customWidth="1" min="6" max="6"/>
  </cols>
  <sheetData>
    <row r="1">
      <c r="A1" s="1" t="inlineStr">
        <is>
          <t>テストデータ一覧</t>
        </is>
      </c>
    </row>
    <row r="2">
      <c r="A2" s="2" t="inlineStr">
        <is>
          <t>観点表の各ケースで使う具体値を項目単位に展開したもの（参照用。編集は観点表の「テストデータ（具体値）」列で行う）。</t>
        </is>
      </c>
    </row>
    <row r="4">
      <c r="A4" s="12" t="inlineStr">
        <is>
          <t>ID</t>
        </is>
      </c>
      <c r="B4" s="12" t="inlineStr">
        <is>
          <t>観点</t>
        </is>
      </c>
      <c r="C4" s="12" t="inlineStr">
        <is>
          <t>区分</t>
        </is>
      </c>
      <c r="D4" s="12" t="inlineStr">
        <is>
          <t>項目</t>
        </is>
      </c>
      <c r="E4" s="12" t="inlineStr">
        <is>
          <t>値</t>
        </is>
      </c>
      <c r="F4" s="12" t="inlineStr">
        <is>
          <t>データ参照</t>
        </is>
      </c>
    </row>
    <row r="5">
      <c r="A5" s="13" t="inlineStr">
        <is>
          <t>TC-NOUS68_DEV-17</t>
        </is>
      </c>
      <c r="B5" s="13" t="inlineStr">
        <is>
          <t>見出し・AI 強調枠・3 区画・注意文・タイムラインへ、押すと /</t>
        </is>
      </c>
      <c r="C5" s="13" t="inlineStr">
        <is>
          <t>未作成</t>
        </is>
      </c>
      <c r="D5" s="13" t="inlineStr"/>
      <c r="E5" s="13" t="inlineStr"/>
      <c r="F5" s="13" t="inlineStr"/>
    </row>
    <row r="6">
      <c r="A6" s="13" t="inlineStr">
        <is>
          <t>TC-NOUS68_DEV-18</t>
        </is>
      </c>
      <c r="B6" s="13" t="inlineStr">
        <is>
          <t>見出しと案内・タイトル・noindex、minimal でリンクとフッターなし</t>
        </is>
      </c>
      <c r="C6" s="13" t="inlineStr">
        <is>
          <t>未作成</t>
        </is>
      </c>
      <c r="D6" s="13" t="inlineStr"/>
      <c r="E6" s="13" t="inlineStr"/>
      <c r="F6" s="13" t="inlineStr"/>
    </row>
    <row r="7">
      <c r="A7" s="13" t="inlineStr">
        <is>
          <t>TC-UT_P105-001</t>
        </is>
      </c>
      <c r="B7" s="13" t="inlineStr">
        <is>
          <t>世界の状態の取得に失敗しても本文は出し、フッターに「状態を取得できません」</t>
        </is>
      </c>
      <c r="C7" s="13" t="inlineStr">
        <is>
          <t>未作成</t>
        </is>
      </c>
      <c r="D7" s="13" t="inlineStr"/>
      <c r="E7" s="13" t="inlineStr"/>
      <c r="F7" s="13" t="inlineStr"/>
    </row>
    <row r="8">
      <c r="A8" s="13" t="inlineStr">
        <is>
          <t>TC-UT_P105-002</t>
        </is>
      </c>
      <c r="B8" s="13" t="inlineStr">
        <is>
          <t>ヘッダーのサービス名を押すとタイムラインへ</t>
        </is>
      </c>
      <c r="C8" s="13" t="inlineStr">
        <is>
          <t>未作成</t>
        </is>
      </c>
      <c r="D8" s="13" t="inlineStr"/>
      <c r="E8" s="13" t="inlineStr"/>
      <c r="F8" s="13" t="inlineStr"/>
    </row>
    <row r="9">
      <c r="A9" s="13" t="inlineStr">
        <is>
          <t>TC-UT_P105-003</t>
        </is>
      </c>
      <c r="B9" s="13" t="inlineStr">
        <is>
          <t>本文は通信せず、呼ぶのは世界の状態だけ</t>
        </is>
      </c>
      <c r="C9" s="13" t="inlineStr">
        <is>
          <t>未作成</t>
        </is>
      </c>
      <c r="D9" s="13" t="inlineStr"/>
      <c r="E9" s="13" t="inlineStr"/>
      <c r="F9" s="13" t="inlineStr"/>
    </row>
    <row r="10">
      <c r="A10" s="13" t="inlineStr">
        <is>
          <t>TC-UT_P106-001</t>
        </is>
      </c>
      <c r="B10" s="13" t="inlineStr">
        <is>
          <t>離れるときにタイトルを戻し、自分で足した meta robots を消す</t>
        </is>
      </c>
      <c r="C10" s="13" t="inlineStr">
        <is>
          <t>未作成</t>
        </is>
      </c>
      <c r="D10" s="13" t="inlineStr"/>
      <c r="E10" s="13" t="inlineStr"/>
      <c r="F10" s="13" t="inlineStr"/>
    </row>
    <row r="11">
      <c r="A11" s="13" t="inlineStr">
        <is>
          <t>TC-UT_P106-002</t>
        </is>
      </c>
      <c r="B11" s="13" t="inlineStr">
        <is>
          <t>meta robots が元からあれば表示中は noindex、離れるときに元の値へ戻す</t>
        </is>
      </c>
      <c r="C11" s="13" t="inlineStr">
        <is>
          <t>未作成</t>
        </is>
      </c>
      <c r="D11" s="13" t="inlineStr"/>
      <c r="E11" s="13" t="inlineStr"/>
      <c r="F11" s="13" t="inlineStr"/>
    </row>
  </sheetData>
  <autoFilter ref="A4:F11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30" customWidth="1" min="3" max="3"/>
  </cols>
  <sheetData>
    <row r="1">
      <c r="A1" s="1" t="inlineStr">
        <is>
          <t>対象概要</t>
        </is>
      </c>
    </row>
    <row r="3">
      <c r="A3" s="14" t="inlineStr">
        <is>
          <t>タイトル</t>
        </is>
      </c>
      <c r="B3" s="15" t="inlineStr">
        <is>
          <t>サービス説明と閲覧できません（P105 AboutPage、P106 NotInvitedPage）</t>
        </is>
      </c>
    </row>
    <row r="4">
      <c r="A4" s="14" t="inlineStr">
        <is>
          <t>対象ファイル</t>
        </is>
      </c>
      <c r="B4" s="15" t="inlineStr">
        <is>
          <t>apps/observer/src/pages/AboutPage.tsx, apps/observer/src/pages/NotInvitedPage.tsx</t>
        </is>
      </c>
    </row>
    <row r="5">
      <c r="A5" s="14" t="inlineStr">
        <is>
          <t>言語 / フレームワーク</t>
        </is>
      </c>
      <c r="B5" s="15" t="inlineStr">
        <is>
          <t>TypeScript / Vitest 2.1.9（environment: jsdom、Testing Library）</t>
        </is>
      </c>
    </row>
    <row r="6">
      <c r="A6" s="14" t="inlineStr">
        <is>
          <t>テストファイル</t>
        </is>
      </c>
      <c r="B6" s="15" t="inlineStr">
        <is>
          <t>apps/observer/src/pages/AboutPage.test.tsx, apps/observer/src/pages/AboutPage.ut.test.tsx, apps/observer/src/pages/NotInvitedPage.test.tsx, apps/observer/src/pages/NotInvitedPage.ut.test.tsx</t>
        </is>
      </c>
    </row>
    <row r="7">
      <c r="A7" s="14" t="inlineStr">
        <is>
          <t>外部依存</t>
        </is>
      </c>
      <c r="B7" s="15" t="inlineStr">
        <is>
          <t>react-router-dom（MemoryRouter）, fetch（/api/world）, document.title・document.head, 共通の準備は apps/observer/src/test/observerUt.tsx（このチケットで新しく作った、単体テストだけが使う補助）</t>
        </is>
      </c>
    </row>
    <row r="8">
      <c r="A8" s="14" t="inlineStr">
        <is>
          <t>作成日</t>
        </is>
      </c>
      <c r="B8" s="15" t="inlineStr">
        <is>
          <t>2026-10-26</t>
        </is>
      </c>
    </row>
    <row r="10">
      <c r="A10" s="16" t="inlineStr">
        <is>
          <t>分岐ID</t>
        </is>
      </c>
      <c r="B10" s="16" t="inlineStr">
        <is>
          <t>条件</t>
        </is>
      </c>
      <c r="C10" s="16" t="inlineStr">
        <is>
          <t>場所</t>
        </is>
      </c>
    </row>
    <row r="11">
      <c r="A11" s="17" t="inlineStr">
        <is>
          <t>B1</t>
        </is>
      </c>
      <c r="B11" s="17" t="inlineStr">
        <is>
          <t>NotInvitedPage：meta robots が無い（作る）</t>
        </is>
      </c>
      <c r="C11" s="17" t="inlineStr">
        <is>
          <t>NotInvitedPage.tsx:15</t>
        </is>
      </c>
    </row>
    <row r="12">
      <c r="A12" s="17" t="inlineStr">
        <is>
          <t>B2</t>
        </is>
      </c>
      <c r="B12" s="17" t="inlineStr">
        <is>
          <t>NotInvitedPage：離れるとき、自分で作った meta なら消す</t>
        </is>
      </c>
      <c r="C12" s="17" t="inlineStr">
        <is>
          <t>NotInvitedPage.tsx:24</t>
        </is>
      </c>
    </row>
    <row r="13">
      <c r="A13" s="17" t="inlineStr">
        <is>
          <t>B3</t>
        </is>
      </c>
      <c r="B13" s="17" t="inlineStr">
        <is>
          <t>NotInvitedPage：離れるとき、元の content があれば戻す</t>
        </is>
      </c>
      <c r="C13" s="17" t="inlineStr">
        <is>
          <t>NotInvitedPage.tsx:26</t>
        </is>
      </c>
    </row>
    <row r="15">
      <c r="A15" s="14" t="inlineStr">
        <is>
          <t>確認事項・潜在バグ</t>
        </is>
      </c>
    </row>
    <row r="16" ht="30" customHeight="1">
      <c r="A16" s="18" t="inlineStr">
        <is>
          <t>・確認事項 1：meta robots が元からあり content 属性が無いときは、離れた後も noindex が残る（B3 の偽。単体テストでは通さない）。index.html に meta robots は無く、影響は小さい</t>
        </is>
      </c>
    </row>
    <row r="17" ht="30" customHeight="1">
      <c r="A17" s="18" t="inlineStr">
        <is>
          <t>・確認事項 2：P105 の AI であることの説明の枠の背景は、画面設計では #FEF9C3、実装は #EDE9FE（AI の帯と同じ色）。見た目なので単体テストの対象にせず、ST の UI レビューで見る</t>
        </is>
      </c>
    </row>
  </sheetData>
  <mergeCells count="2">
    <mergeCell ref="A17:C17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2026-10-26T06:13:48Z</dcterms:created>
  <dcterms:modified xsi:type="dcterms:W3CDTF">2026-10-26T06:13:48Z</dcterms:modified>
</cp:coreProperties>
</file>