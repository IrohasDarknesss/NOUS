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'観点表'!$A$4:$Q$35</definedName>
    <definedName name="_xlnm.Print_Titles" localSheetId="0">'観点表'!$4:$4</definedName>
    <definedName name="_xlnm._FilterDatabase" localSheetId="2" hidden="1">'テストデータ'!$A$4:$F$35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観察画面のフック（hooks/useVisibilityPolling・useWorldStatus・useTimeline・useThread・useAgentProfile・useFollows）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TC-NOUS49_DEV-15</t>
        </is>
      </c>
      <c r="C5" s="5" t="inlineStr">
        <is>
          <t>useVisibilityPolling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前面なら 30 秒、隠れたら false、戻ったら 30 秒</t>
        </is>
      </c>
      <c r="G5" s="5" t="inlineStr">
        <is>
          <t>前提：前面
入力：visibilitychange</t>
        </is>
      </c>
      <c r="H5" s="5" t="inlineStr">
        <is>
          <t>30000 → false → 30000</t>
        </is>
      </c>
      <c r="I5" s="5" t="inlineStr">
        <is>
          <t>B1-T, B1-F, B2-T, B2-F</t>
        </is>
      </c>
      <c r="J5" s="5" t="inlineStr">
        <is>
          <t>visibilityState</t>
        </is>
      </c>
      <c r="K5" s="5" t="inlineStr"/>
      <c r="L5" s="5" t="inlineStr"/>
      <c r="M5" s="5" t="inlineStr">
        <is>
          <t>TC-NOUS49_DEV-15 前面なら 30 秒、隠れたら false、戻ったら 30 秒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既存テスト：実装時のテスト（NOUS-49）</t>
        </is>
      </c>
    </row>
    <row r="6">
      <c r="A6" s="4" t="n">
        <v>2</v>
      </c>
      <c r="B6" s="4" t="inlineStr">
        <is>
          <t>TC-NOUS49_DEV-16</t>
        </is>
      </c>
      <c r="C6" s="5" t="inlineStr">
        <is>
          <t>useConsecutiveFailures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失敗のたびに増え、成功で 0 に戻る</t>
        </is>
      </c>
      <c r="G6" s="5" t="inlineStr">
        <is>
          <t>前提：なし
入力：errorUpdatedAt・dataUpdatedAt の更新</t>
        </is>
      </c>
      <c r="H6" s="5" t="inlineStr">
        <is>
          <t>1・2 → 0</t>
        </is>
      </c>
      <c r="I6" s="5" t="inlineStr">
        <is>
          <t>B3-T, B4-T</t>
        </is>
      </c>
      <c r="J6" s="5" t="inlineStr">
        <is>
          <t>なし</t>
        </is>
      </c>
      <c r="K6" s="5" t="inlineStr"/>
      <c r="L6" s="5" t="inlineStr"/>
      <c r="M6" s="5" t="inlineStr">
        <is>
          <t>TC-NOUS49_DEV-16 失敗のたびに増え、成功で 0 に戻る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既存テスト：実装時のテスト（NOUS-49）</t>
        </is>
      </c>
    </row>
    <row r="7">
      <c r="A7" s="4" t="n">
        <v>3</v>
      </c>
      <c r="B7" s="4" t="inlineStr">
        <is>
          <t>TC-NOUS67_DEV-01</t>
        </is>
      </c>
      <c r="C7" s="5" t="inlineStr">
        <is>
          <t>useTimeline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pendingCount は一覧に無い新しい投稿だけを数える</t>
        </is>
      </c>
      <c r="G7" s="5" t="inlineStr">
        <is>
          <t>前提：一覧あり
入力：since の応答</t>
        </is>
      </c>
      <c r="H7" s="5" t="inlineStr">
        <is>
          <t>件数</t>
        </is>
      </c>
      <c r="I7" s="5" t="inlineStr">
        <is>
          <t>B8-T, B9-F, B10-T, B10-F, B7-F</t>
        </is>
      </c>
      <c r="J7" s="5" t="inlineStr">
        <is>
          <t>fetch を vi.stubGlobal で差し替え</t>
        </is>
      </c>
      <c r="K7" s="5" t="inlineStr"/>
      <c r="L7" s="5" t="inlineStr"/>
      <c r="M7" s="5" t="inlineStr">
        <is>
          <t>TC-NOUS67_DEV-01 pendingCount が一覧に無い新しい投稿だけを数える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既存テスト：実装時のテスト（NOUS-67）</t>
        </is>
      </c>
    </row>
    <row r="8">
      <c r="A8" s="4" t="n">
        <v>4</v>
      </c>
      <c r="B8" s="4" t="inlineStr">
        <is>
          <t>TC-NOUS67_DEV-02</t>
        </is>
      </c>
      <c r="C8" s="5" t="inlineStr">
        <is>
          <t>useTimeline / mergePending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mergePending で先頭に重複なく入り pending が 0</t>
        </is>
      </c>
      <c r="G8" s="5" t="inlineStr">
        <is>
          <t>前提：一覧と新しい投稿
入力：mergePending</t>
        </is>
      </c>
      <c r="H8" s="5" t="inlineStr">
        <is>
          <t>先頭に入る、pendingCount 0</t>
        </is>
      </c>
      <c r="I8" s="5" t="inlineStr">
        <is>
          <t>B11-F, B12-F, B13-F, B14-T</t>
        </is>
      </c>
      <c r="J8" s="5" t="inlineStr">
        <is>
          <t>fetch を vi.stubGlobal で差し替え</t>
        </is>
      </c>
      <c r="K8" s="5" t="inlineStr"/>
      <c r="L8" s="5" t="inlineStr"/>
      <c r="M8" s="5" t="inlineStr">
        <is>
          <t>TC-NOUS67_DEV-02 mergePending で先頭に重複なく入り pending が 0 になる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既存テスト：実装時のテスト（NOUS-67）</t>
        </is>
      </c>
    </row>
    <row r="9">
      <c r="A9" s="4" t="n">
        <v>5</v>
      </c>
      <c r="B9" s="4" t="inlineStr">
        <is>
          <t>TC-NOUS68_DEV-01</t>
        </is>
      </c>
      <c r="C9" s="5" t="inlineStr">
        <is>
          <t>useAgentProfile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プロフィールと先頭 30 件を取り、続きを結合する</t>
        </is>
      </c>
      <c r="G9" s="5" t="inlineStr">
        <is>
          <t>前提：なし
入力：fetchNextPage</t>
        </is>
      </c>
      <c r="H9" s="5" t="inlineStr">
        <is>
          <t>結合した posts</t>
        </is>
      </c>
      <c r="I9" s="5" t="inlineStr">
        <is>
          <t>B21-T, B22-T, B23-F</t>
        </is>
      </c>
      <c r="J9" s="5" t="inlineStr">
        <is>
          <t>getAgentProfile・getAgentPosts</t>
        </is>
      </c>
      <c r="K9" s="5" t="inlineStr"/>
      <c r="L9" s="5" t="inlineStr"/>
      <c r="M9" s="5" t="inlineStr">
        <is>
          <t>TC-NOUS68_DEV-01 プロフィールと先頭 30 件の過去投稿を取得し、続きを fetchNextPage で結合する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既存テスト：実装時のテスト（NOUS-68）</t>
        </is>
      </c>
    </row>
    <row r="10">
      <c r="A10" s="4" t="n">
        <v>6</v>
      </c>
      <c r="B10" s="4" t="inlineStr">
        <is>
          <t>TC-NOUS68_DEV-02</t>
        </is>
      </c>
      <c r="C10" s="5" t="inlineStr">
        <is>
          <t>useFollows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getFollows を type=following で呼ぶ</t>
        </is>
      </c>
      <c r="G10" s="5" t="inlineStr">
        <is>
          <t>前提：なし
入力：following</t>
        </is>
      </c>
      <c r="H10" s="5" t="inlineStr">
        <is>
          <t>一覧</t>
        </is>
      </c>
      <c r="I10" s="5" t="inlineStr">
        <is>
          <t>B24-T, B25-T</t>
        </is>
      </c>
      <c r="J10" s="5" t="inlineStr">
        <is>
          <t>getFollows</t>
        </is>
      </c>
      <c r="K10" s="5" t="inlineStr"/>
      <c r="L10" s="5" t="inlineStr"/>
      <c r="M10" s="5" t="inlineStr">
        <is>
          <t>TC-NOUS68_DEV-02 getFollows を type=following で呼び出して一覧を返す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既存テスト：実装時のテスト（NOUS-68）</t>
        </is>
      </c>
    </row>
    <row r="11">
      <c r="A11" s="4" t="n">
        <v>7</v>
      </c>
      <c r="B11" s="4" t="inlineStr">
        <is>
          <t>TC-NOUS68_DEV-03</t>
        </is>
      </c>
      <c r="C11" s="5" t="inlineStr">
        <is>
          <t>useFollows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getFollows を type=followers で呼ぶ</t>
        </is>
      </c>
      <c r="G11" s="5" t="inlineStr">
        <is>
          <t>前提：なし
入力：followers</t>
        </is>
      </c>
      <c r="H11" s="5" t="inlineStr">
        <is>
          <t>一覧</t>
        </is>
      </c>
      <c r="I11" s="5" t="inlineStr">
        <is>
          <t>B24-T, B25-T</t>
        </is>
      </c>
      <c r="J11" s="5" t="inlineStr">
        <is>
          <t>getFollows</t>
        </is>
      </c>
      <c r="K11" s="5" t="inlineStr"/>
      <c r="L11" s="5" t="inlineStr"/>
      <c r="M11" s="5" t="inlineStr">
        <is>
          <t>TC-NOUS68_DEV-03 getFollows を type=followers で呼び出して一覧を返す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既存テスト：実装時のテスト（NOUS-68）</t>
        </is>
      </c>
    </row>
    <row r="12">
      <c r="A12" s="4" t="n">
        <v>8</v>
      </c>
      <c r="B12" s="4" t="inlineStr">
        <is>
          <t>TC-UT_OWEB-020</t>
        </is>
      </c>
      <c r="C12" s="5" t="inlineStr">
        <is>
          <t>useVisibilityPolling</t>
        </is>
      </c>
      <c r="D12" s="4" t="inlineStr">
        <is>
          <t>正常系</t>
        </is>
      </c>
      <c r="E12" s="4" t="inlineStr">
        <is>
          <t>同値分割</t>
        </is>
      </c>
      <c r="F12" s="5" t="inlineStr">
        <is>
          <t>intervalMs を渡すと、前面のときその値を返す</t>
        </is>
      </c>
      <c r="G12" s="5" t="inlineStr">
        <is>
          <t>前提：前面
入力：5000</t>
        </is>
      </c>
      <c r="H12" s="5" t="inlineStr">
        <is>
          <t>5000</t>
        </is>
      </c>
      <c r="I12" s="5" t="inlineStr">
        <is>
          <t>B2-T</t>
        </is>
      </c>
      <c r="J12" s="5" t="inlineStr">
        <is>
          <t>visibilityState</t>
        </is>
      </c>
      <c r="K12" s="5" t="inlineStr"/>
      <c r="L12" s="5" t="inlineStr"/>
      <c r="M12" s="5" t="inlineStr">
        <is>
          <t>TC-UT_OWEB-020 intervalMs を渡すと、前面のときその値を返す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既存テスト：一部 TC-NOUS49_DEV-15（既定の 30 秒だけ）</t>
        </is>
      </c>
    </row>
    <row r="13">
      <c r="A13" s="4" t="n">
        <v>9</v>
      </c>
      <c r="B13" s="4" t="inlineStr">
        <is>
          <t>TC-UT_OWEB-021</t>
        </is>
      </c>
      <c r="C13" s="5" t="inlineStr">
        <is>
          <t>useVisibilityPolling</t>
        </is>
      </c>
      <c r="D13" s="4" t="inlineStr">
        <is>
          <t>正常系</t>
        </is>
      </c>
      <c r="E13" s="4" t="inlineStr">
        <is>
          <t>状態遷移</t>
        </is>
      </c>
      <c r="F13" s="5" t="inlineStr">
        <is>
          <t>隠れた状態で始まると false、前面に戻ると 30 秒</t>
        </is>
      </c>
      <c r="G13" s="5" t="inlineStr">
        <is>
          <t>前提：隠れている
入力：visible へ</t>
        </is>
      </c>
      <c r="H13" s="5" t="inlineStr">
        <is>
          <t>false → 30000</t>
        </is>
      </c>
      <c r="I13" s="5" t="inlineStr">
        <is>
          <t>B1-F, B2-F, B2-T</t>
        </is>
      </c>
      <c r="J13" s="5" t="inlineStr">
        <is>
          <t>visibilityState</t>
        </is>
      </c>
      <c r="K13" s="5" t="inlineStr"/>
      <c r="L13" s="5" t="inlineStr"/>
      <c r="M13" s="5" t="inlineStr">
        <is>
          <t>TC-UT_OWEB-021 隠れた状態で始まると false を返し、前面に戻ると 30 秒にする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既存テスト：一部 TC-NOUS49_DEV-15（前面から始まる）</t>
        </is>
      </c>
    </row>
    <row r="14">
      <c r="A14" s="4" t="n">
        <v>10</v>
      </c>
      <c r="B14" s="4" t="inlineStr">
        <is>
          <t>TC-UT_OWEB-022</t>
        </is>
      </c>
      <c r="C14" s="5" t="inlineStr">
        <is>
          <t>useVisibilityPolling</t>
        </is>
      </c>
      <c r="D14" s="4" t="inlineStr">
        <is>
          <t>正常系</t>
        </is>
      </c>
      <c r="E14" s="4" t="inlineStr">
        <is>
          <t>依存</t>
        </is>
      </c>
      <c r="F14" s="5" t="inlineStr">
        <is>
          <t>unmount で visibilitychange の購読を外す</t>
        </is>
      </c>
      <c r="G14" s="5" t="inlineStr">
        <is>
          <t>前提：なし
入力：unmount</t>
        </is>
      </c>
      <c r="H14" s="5" t="inlineStr">
        <is>
          <t>removeEventListener('visibilitychange')</t>
        </is>
      </c>
      <c r="I14" s="5" t="inlineStr"/>
      <c r="J14" s="5" t="inlineStr">
        <is>
          <t>document.removeEventListener の spy</t>
        </is>
      </c>
      <c r="K14" s="5" t="inlineStr"/>
      <c r="L14" s="5" t="inlineStr"/>
      <c r="M14" s="5" t="inlineStr">
        <is>
          <t>TC-UT_OWEB-022 unmount すると visibilitychange の購読を外す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</t>
        </is>
      </c>
    </row>
    <row r="15">
      <c r="A15" s="4" t="n">
        <v>11</v>
      </c>
      <c r="B15" s="4" t="inlineStr">
        <is>
          <t>TC-UT_OWEB-023</t>
        </is>
      </c>
      <c r="C15" s="5" t="inlineStr">
        <is>
          <t>useConsecutiveFailures</t>
        </is>
      </c>
      <c r="D15" s="4" t="inlineStr">
        <is>
          <t>異常系</t>
        </is>
      </c>
      <c r="E15" s="4" t="inlineStr">
        <is>
          <t>境界値</t>
        </is>
      </c>
      <c r="F15" s="5" t="inlineStr">
        <is>
          <t>失敗が 2 回で 2、3 回でしきい値の 3</t>
        </is>
      </c>
      <c r="G15" s="5" t="inlineStr">
        <is>
          <t>前提：なし
入力：errorUpdatedAt を 3 回更新</t>
        </is>
      </c>
      <c r="H15" s="5" t="inlineStr">
        <is>
          <t>2 → 3（POLLING_FAILURE_THRESHOLD）</t>
        </is>
      </c>
      <c r="I15" s="5" t="inlineStr">
        <is>
          <t>B4-T</t>
        </is>
      </c>
      <c r="J15" s="5" t="inlineStr">
        <is>
          <t>なし</t>
        </is>
      </c>
      <c r="K15" s="5" t="inlineStr"/>
      <c r="L15" s="5" t="inlineStr"/>
      <c r="M15" s="5" t="inlineStr">
        <is>
          <t>TC-UT_OWEB-023 失敗が 2 回続くと 2、3 回続くとしきい値の 3 になる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既存テスト：一部 TC-NOUS49_DEV-16</t>
        </is>
      </c>
    </row>
    <row r="16">
      <c r="A16" s="4" t="n">
        <v>12</v>
      </c>
      <c r="B16" s="4" t="inlineStr">
        <is>
          <t>TC-UT_OWEB-024</t>
        </is>
      </c>
      <c r="C16" s="5" t="inlineStr">
        <is>
          <t>useConsecutiveFailures</t>
        </is>
      </c>
      <c r="D16" s="4" t="inlineStr">
        <is>
          <t>異常系</t>
        </is>
      </c>
      <c r="E16" s="4" t="inlineStr">
        <is>
          <t>分岐網羅</t>
        </is>
      </c>
      <c r="F16" s="5" t="inlineStr">
        <is>
          <t>dataUpdatedAt が変わっても errorUpdatedAt より古ければ 0 に戻さない</t>
        </is>
      </c>
      <c r="G16" s="5" t="inlineStr">
        <is>
          <t>前提：失敗 1 回（errorUpdatedAt=500）
入力：dataUpdatedAt=400</t>
        </is>
      </c>
      <c r="H16" s="5" t="inlineStr">
        <is>
          <t>1 のまま</t>
        </is>
      </c>
      <c r="I16" s="5" t="inlineStr">
        <is>
          <t>B3-F, B4-F</t>
        </is>
      </c>
      <c r="J16" s="5" t="inlineStr">
        <is>
          <t>なし</t>
        </is>
      </c>
      <c r="K16" s="5" t="inlineStr"/>
      <c r="L16" s="5" t="inlineStr"/>
      <c r="M16" s="5" t="inlineStr">
        <is>
          <t>TC-UT_OWEB-024 dataUpdatedAt が変わっても errorUpdatedAt より古ければ 0 に戻さない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</t>
        </is>
      </c>
    </row>
    <row r="17">
      <c r="A17" s="4" t="n">
        <v>13</v>
      </c>
      <c r="B17" s="4" t="inlineStr">
        <is>
          <t>TC-UT_OWEB-025</t>
        </is>
      </c>
      <c r="C17" s="5" t="inlineStr">
        <is>
          <t>useConsecutiveFailures</t>
        </is>
      </c>
      <c r="D17" s="4" t="inlineStr">
        <is>
          <t>正常系</t>
        </is>
      </c>
      <c r="E17" s="4" t="inlineStr">
        <is>
          <t>境界値</t>
        </is>
      </c>
      <c r="F17" s="5" t="inlineStr">
        <is>
          <t>最初の描画では値が 0 でなくても数えない</t>
        </is>
      </c>
      <c r="G17" s="5" t="inlineStr">
        <is>
          <t>前提：なし
入力：errorUpdatedAt=900、dataUpdatedAt=100</t>
        </is>
      </c>
      <c r="H17" s="5" t="inlineStr">
        <is>
          <t>0</t>
        </is>
      </c>
      <c r="I17" s="5" t="inlineStr">
        <is>
          <t>B3-F, B4-F</t>
        </is>
      </c>
      <c r="J17" s="5" t="inlineStr">
        <is>
          <t>なし</t>
        </is>
      </c>
      <c r="K17" s="5" t="inlineStr"/>
      <c r="L17" s="5" t="inlineStr"/>
      <c r="M17" s="5" t="inlineStr">
        <is>
          <t>TC-UT_OWEB-025 最初の描画では、値が 0 でなくても数えない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既存テスト：なし</t>
        </is>
      </c>
    </row>
    <row r="18">
      <c r="A18" s="4" t="n">
        <v>14</v>
      </c>
      <c r="B18" s="4" t="inlineStr">
        <is>
          <t>TC-UT_OWEB-026</t>
        </is>
      </c>
      <c r="C18" s="5" t="inlineStr">
        <is>
          <t>useWorldStatus</t>
        </is>
      </c>
      <c r="D18" s="4" t="inlineStr">
        <is>
          <t>正常系</t>
        </is>
      </c>
      <c r="E18" s="4" t="inlineStr">
        <is>
          <t>分岐網羅</t>
        </is>
      </c>
      <c r="F18" s="5" t="inlineStr">
        <is>
          <t>成功の前は world・lastUpdated なし、成功で取得の時刻を lastUpdated に</t>
        </is>
      </c>
      <c r="G18" s="5" t="inlineStr">
        <is>
          <t>前提：vi.useFakeTimers（setTimeout・setInterval・Date）、画面は前面、2026-10-22T05:21:00Z
入力：/api/world 成功</t>
        </is>
      </c>
      <c r="H18" s="5" t="inlineStr">
        <is>
          <t>前：undefined・null・false、後：running・05:21:00Z</t>
        </is>
      </c>
      <c r="I18" s="5" t="inlineStr">
        <is>
          <t>B5-F, B5-T</t>
        </is>
      </c>
      <c r="J18" s="5" t="inlineStr">
        <is>
          <t>fetch を vi.stubGlobal で差し替え、vi.useFakeTimers（setTimeout・setInterval・Date）、画面は前面</t>
        </is>
      </c>
      <c r="K18" s="5" t="inlineStr"/>
      <c r="L18" s="5" t="inlineStr"/>
      <c r="M18" s="5" t="inlineStr">
        <is>
          <t>TC-UT_OWEB-026 成功の前は world も lastUpdated も無く、成功すると取得の時刻を lastUpdated にする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</t>
        </is>
      </c>
    </row>
    <row r="19">
      <c r="A19" s="4" t="n">
        <v>15</v>
      </c>
      <c r="B19" s="4" t="inlineStr">
        <is>
          <t>TC-UT_OWEB-027</t>
        </is>
      </c>
      <c r="C19" s="5" t="inlineStr">
        <is>
          <t>useWorldStatus</t>
        </is>
      </c>
      <c r="D19" s="4" t="inlineStr">
        <is>
          <t>異常系</t>
        </is>
      </c>
      <c r="E19" s="4" t="inlineStr">
        <is>
          <t>エラー処理</t>
        </is>
      </c>
      <c r="F19" s="5" t="inlineStr">
        <is>
          <t>取得に失敗すると isError、lastUpdated は null</t>
        </is>
      </c>
      <c r="G19" s="5" t="inlineStr">
        <is>
          <t>前提：なし
入力：/api/world 500</t>
        </is>
      </c>
      <c r="H19" s="5" t="inlineStr">
        <is>
          <t>isError true、lastUpdated null</t>
        </is>
      </c>
      <c r="I19" s="5" t="inlineStr">
        <is>
          <t>B5-F</t>
        </is>
      </c>
      <c r="J19" s="5" t="inlineStr">
        <is>
          <t>fetch を vi.stubGlobal で差し替え</t>
        </is>
      </c>
      <c r="K19" s="5" t="inlineStr"/>
      <c r="L19" s="5" t="inlineStr"/>
      <c r="M19" s="5" t="inlineStr">
        <is>
          <t>TC-UT_OWEB-027 取得に失敗すると isError を true にし、lastUpdated は null のまま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</t>
        </is>
      </c>
    </row>
    <row r="20">
      <c r="A20" s="4" t="n">
        <v>16</v>
      </c>
      <c r="B20" s="4" t="inlineStr">
        <is>
          <t>TC-UT_OWEB-028</t>
        </is>
      </c>
      <c r="C20" s="5" t="inlineStr">
        <is>
          <t>useWorldStatus</t>
        </is>
      </c>
      <c r="D20" s="4" t="inlineStr">
        <is>
          <t>正常系</t>
        </is>
      </c>
      <c r="E20" s="4" t="inlineStr">
        <is>
          <t>境界値</t>
        </is>
      </c>
      <c r="F20" s="5" t="inlineStr">
        <is>
          <t>前面なら 30 秒ごとに取り直し（29,999 では取らない）、隠れている間は取らない</t>
        </is>
      </c>
      <c r="G20" s="5" t="inlineStr">
        <is>
          <t>前提：vi.useFakeTimers（setTimeout・setInterval・Date）、画面は前面
入力：29,999 → 30,000 → 隠す → 90,000</t>
        </is>
      </c>
      <c r="H20" s="5" t="inlineStr">
        <is>
          <t>呼び出し 1 → 2 → 2</t>
        </is>
      </c>
      <c r="I20" s="5" t="inlineStr">
        <is>
          <t>B2-T, B2-F</t>
        </is>
      </c>
      <c r="J20" s="5" t="inlineStr">
        <is>
          <t>fetch を vi.stubGlobal で差し替え、vi.useFakeTimers（setTimeout・setInterval・Date）、画面は前面</t>
        </is>
      </c>
      <c r="K20" s="5" t="inlineStr"/>
      <c r="L20" s="5" t="inlineStr"/>
      <c r="M20" s="5" t="inlineStr">
        <is>
          <t>TC-UT_OWEB-028 前面のときは 30 秒ごとに取り直し、隠れている間は取りに行かない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
画面 P101 E02（document.visibilityState が visible のとき）</t>
        </is>
      </c>
    </row>
    <row r="21">
      <c r="A21" s="4" t="n">
        <v>17</v>
      </c>
      <c r="B21" s="4" t="inlineStr">
        <is>
          <t>TC-UT_OWEB-029</t>
        </is>
      </c>
      <c r="C21" s="5" t="inlineStr">
        <is>
          <t>useTimeline</t>
        </is>
      </c>
      <c r="D21" s="4" t="inlineStr">
        <is>
          <t>正常系</t>
        </is>
      </c>
      <c r="E21" s="4" t="inlineStr">
        <is>
          <t>分岐網羅</t>
        </is>
      </c>
      <c r="F21" s="5" t="inlineStr">
        <is>
          <t>先頭は limit=30、nextCursor があれば cursor 付きで続きを取り、無ければ hasNextPage を false に</t>
        </is>
      </c>
      <c r="G21" s="5" t="inlineStr">
        <is>
          <t>前提：なし
入力：先頭 nextCursor=c1、続き null</t>
        </is>
      </c>
      <c r="H21" s="5" t="inlineStr">
        <is>
          <t>/api/timeline?cursor=c1&amp;limit=30、P2・P1、hasNextPage false</t>
        </is>
      </c>
      <c r="I21" s="5" t="inlineStr">
        <is>
          <t>B6-T, B6-F</t>
        </is>
      </c>
      <c r="J21" s="5" t="inlineStr">
        <is>
          <t>fetch を vi.stubGlobal で差し替え</t>
        </is>
      </c>
      <c r="K21" s="5" t="inlineStr"/>
      <c r="L21" s="5" t="inlineStr"/>
      <c r="M21" s="5" t="inlineStr">
        <is>
          <t>TC-UT_OWEB-029 先頭は limit=30 で取り、nextCursor があれば続きを cursor 付きで取り、無ければ hasNextPage を false にする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</t>
        </is>
      </c>
    </row>
    <row r="22">
      <c r="A22" s="4" t="n">
        <v>18</v>
      </c>
      <c r="B22" s="4" t="inlineStr">
        <is>
          <t>TC-UT_OWEB-030</t>
        </is>
      </c>
      <c r="C22" s="5" t="inlineStr">
        <is>
          <t>useTimeline</t>
        </is>
      </c>
      <c r="D22" s="4" t="inlineStr">
        <is>
          <t>正常系</t>
        </is>
      </c>
      <c r="E22" s="4" t="inlineStr">
        <is>
          <t>分岐網羅</t>
        </is>
      </c>
      <c r="F22" s="5" t="inlineStr">
        <is>
          <t>一覧が 0 件のときは新しい投稿の取得（since）をしない</t>
        </is>
      </c>
      <c r="G22" s="5" t="inlineStr">
        <is>
          <t>前提：vi.useFakeTimers（setTimeout・setInterval・Date）、画面は前面
入力：先頭 0 件、60 秒進める</t>
        </is>
      </c>
      <c r="H22" s="5" t="inlineStr">
        <is>
          <t>since の呼び出し 0 回</t>
        </is>
      </c>
      <c r="I22" s="5" t="inlineStr">
        <is>
          <t>B8-F</t>
        </is>
      </c>
      <c r="J22" s="5" t="inlineStr">
        <is>
          <t>fetch を vi.stubGlobal で差し替え、vi.useFakeTimers（setTimeout・setInterval・Date）、画面は前面</t>
        </is>
      </c>
      <c r="K22" s="5" t="inlineStr"/>
      <c r="L22" s="5" t="inlineStr"/>
      <c r="M22" s="5" t="inlineStr">
        <is>
          <t>TC-UT_OWEB-030 一覧が 0 件のときは新しい投稿の取得（since）をしない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
確認事項 1。設計書に記載なし。実装の値（画面の期待は P101 の疑い 2）</t>
        </is>
      </c>
    </row>
    <row r="23">
      <c r="A23" s="4" t="n">
        <v>19</v>
      </c>
      <c r="B23" s="4" t="inlineStr">
        <is>
          <t>TC-UT_OWEB-031</t>
        </is>
      </c>
      <c r="C23" s="5" t="inlineStr">
        <is>
          <t>useTimeline</t>
        </is>
      </c>
      <c r="D23" s="4" t="inlineStr">
        <is>
          <t>正常系</t>
        </is>
      </c>
      <c r="E23" s="4" t="inlineStr">
        <is>
          <t>同値分割</t>
        </is>
      </c>
      <c r="F23" s="5" t="inlineStr">
        <is>
          <t>新しい投稿は先頭の postId を since に limit=30 で取り、前面のとき 30 秒ごとに取り直す</t>
        </is>
      </c>
      <c r="G23" s="5" t="inlineStr">
        <is>
          <t>前提：vi.useFakeTimers（setTimeout・setInterval・Date）、画面は前面
入力：先頭 P9・P8、30 秒進める</t>
        </is>
      </c>
      <c r="H23" s="5" t="inlineStr">
        <is>
          <t>/api/timeline?limit=30&amp;since=P9、呼び出し 1 → 2</t>
        </is>
      </c>
      <c r="I23" s="5" t="inlineStr">
        <is>
          <t>B8-T</t>
        </is>
      </c>
      <c r="J23" s="5" t="inlineStr">
        <is>
          <t>fetch を vi.stubGlobal で差し替え、vi.useFakeTimers（setTimeout・setInterval・Date）、画面は前面</t>
        </is>
      </c>
      <c r="K23" s="5" t="inlineStr"/>
      <c r="L23" s="5" t="inlineStr"/>
      <c r="M23" s="5" t="inlineStr">
        <is>
          <t>TC-UT_OWEB-031 新しい投稿は先頭の postId を since にして limit=30 で取り、前面のとき 30 秒ごとに取り直す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既存テスト：一部 TC-NOUS67_DEV-01（30 秒ごとは見ていない）</t>
        </is>
      </c>
    </row>
    <row r="24">
      <c r="A24" s="4" t="n">
        <v>20</v>
      </c>
      <c r="B24" s="4" t="inlineStr">
        <is>
          <t>TC-UT_OWEB-032</t>
        </is>
      </c>
      <c r="C24" s="5" t="inlineStr">
        <is>
          <t>useTimeline</t>
        </is>
      </c>
      <c r="D24" s="4" t="inlineStr">
        <is>
          <t>正常系</t>
        </is>
      </c>
      <c r="E24" s="4" t="inlineStr">
        <is>
          <t>同値分割</t>
        </is>
      </c>
      <c r="F24" s="5" t="inlineStr">
        <is>
          <t>新しい投稿の中で同じ postId が重なっても 1 件と数える</t>
        </is>
      </c>
      <c r="G24" s="5" t="inlineStr">
        <is>
          <t>前提：一覧 P9
入力：新しい投稿 P11・P11・P10</t>
        </is>
      </c>
      <c r="H24" s="5" t="inlineStr">
        <is>
          <t>pendingCount 2</t>
        </is>
      </c>
      <c r="I24" s="5" t="inlineStr">
        <is>
          <t>B9-F, B10-T</t>
        </is>
      </c>
      <c r="J24" s="5" t="inlineStr">
        <is>
          <t>fetch を vi.stubGlobal で差し替え</t>
        </is>
      </c>
      <c r="K24" s="5" t="inlineStr"/>
      <c r="L24" s="5" t="inlineStr"/>
      <c r="M24" s="5" t="inlineStr">
        <is>
          <t>TC-UT_OWEB-032 pendingCount は新しい投稿の中で同じ postId が重なっても 1 件と数える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</t>
        </is>
      </c>
    </row>
    <row r="25">
      <c r="A25" s="4" t="n">
        <v>21</v>
      </c>
      <c r="B25" s="4" t="inlineStr">
        <is>
          <t>TC-UT_OWEB-033</t>
        </is>
      </c>
      <c r="C25" s="5" t="inlineStr">
        <is>
          <t>mergePending</t>
        </is>
      </c>
      <c r="D25" s="4" t="inlineStr">
        <is>
          <t>正常系</t>
        </is>
      </c>
      <c r="E25" s="4" t="inlineStr">
        <is>
          <t>分岐網羅</t>
        </is>
      </c>
      <c r="F25" s="5" t="inlineStr">
        <is>
          <t>新しい投稿が無いとき一覧を変えず、先頭へスクロールする</t>
        </is>
      </c>
      <c r="G25" s="5" t="inlineStr">
        <is>
          <t>前提：一覧 P9、新しい投稿 0 件
入力：mergePending</t>
        </is>
      </c>
      <c r="H25" s="5" t="inlineStr">
        <is>
          <t>pages は同じ参照、scrollTo(0, 0)</t>
        </is>
      </c>
      <c r="I25" s="5" t="inlineStr">
        <is>
          <t>B12-T, B14-T, B9-T</t>
        </is>
      </c>
      <c r="J25" s="5" t="inlineStr">
        <is>
          <t>fetch を vi.stubGlobal で差し替え、window.scrollTo</t>
        </is>
      </c>
      <c r="K25" s="5" t="inlineStr"/>
      <c r="L25" s="5" t="inlineStr"/>
      <c r="M25" s="5" t="inlineStr">
        <is>
          <t>TC-UT_OWEB-033 新しい投稿が無いとき mergePending は一覧を変えず、先頭へスクロールする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</t>
        </is>
      </c>
    </row>
    <row r="26">
      <c r="A26" s="4" t="n">
        <v>22</v>
      </c>
      <c r="B26" s="4" t="inlineStr">
        <is>
          <t>TC-UT_OWEB-034</t>
        </is>
      </c>
      <c r="C26" s="5" t="inlineStr">
        <is>
          <t>mergePending</t>
        </is>
      </c>
      <c r="D26" s="4" t="inlineStr">
        <is>
          <t>正常系</t>
        </is>
      </c>
      <c r="E26" s="4" t="inlineStr">
        <is>
          <t>分岐網羅</t>
        </is>
      </c>
      <c r="F26" s="5" t="inlineStr">
        <is>
          <t>2 ページ目以降を変えず、1 ページ目の先頭にだけ足す</t>
        </is>
      </c>
      <c r="G26" s="5" t="inlineStr">
        <is>
          <t>前提：2 ページ（P9 / P1）、新しい投稿 P10
入力：mergePending</t>
        </is>
      </c>
      <c r="H26" s="5" t="inlineStr">
        <is>
          <t>P10・P9・P1、pendingCount 0</t>
        </is>
      </c>
      <c r="I26" s="5" t="inlineStr">
        <is>
          <t>B11-F, B12-F, B13-F</t>
        </is>
      </c>
      <c r="J26" s="5" t="inlineStr">
        <is>
          <t>fetch を vi.stubGlobal で差し替え、window.scrollTo</t>
        </is>
      </c>
      <c r="K26" s="5" t="inlineStr"/>
      <c r="L26" s="5" t="inlineStr"/>
      <c r="M26" s="5" t="inlineStr">
        <is>
          <t>TC-UT_OWEB-034 mergePending は 2 ページ目以降を変えず、1 ページ目の先頭にだけ足す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TC-NOUS67_DEV-02（1 ページだけ）</t>
        </is>
      </c>
    </row>
    <row r="27">
      <c r="A27" s="4" t="n">
        <v>23</v>
      </c>
      <c r="B27" s="4" t="inlineStr">
        <is>
          <t>TC-UT_OWEB-064</t>
        </is>
      </c>
      <c r="C27" s="5" t="inlineStr">
        <is>
          <t>mergePending</t>
        </is>
      </c>
      <c r="D27" s="4" t="inlineStr">
        <is>
          <t>異常系</t>
        </is>
      </c>
      <c r="E27" s="4" t="inlineStr">
        <is>
          <t>分岐網羅</t>
        </is>
      </c>
      <c r="F27" s="5" t="inlineStr">
        <is>
          <t>一覧も新しい投稿もまだ無いときに呼んでも例外を出さず、先頭へスクロールだけする</t>
        </is>
      </c>
      <c r="G27" s="5" t="inlineStr">
        <is>
          <t>前提：取得中（応答なし）
入力：mergePending</t>
        </is>
      </c>
      <c r="H27" s="5" t="inlineStr">
        <is>
          <t>pages []、scrollTo(0, 0)</t>
        </is>
      </c>
      <c r="I27" s="5" t="inlineStr">
        <is>
          <t>B11-T, B14-F, B7-T</t>
        </is>
      </c>
      <c r="J27" s="5" t="inlineStr">
        <is>
          <t>fetch を vi.stubGlobal で差し替え（応答しない）、window.scrollTo</t>
        </is>
      </c>
      <c r="K27" s="5" t="inlineStr"/>
      <c r="L27" s="5" t="inlineStr"/>
      <c r="M27" s="5" t="inlineStr">
        <is>
          <t>TC-UT_OWEB-064 一覧も新しい投稿もまだ無いときに mergePending を呼んでも、例外を出さずに先頭へスクロールだけする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</t>
        </is>
      </c>
    </row>
    <row r="28">
      <c r="A28" s="4" t="n">
        <v>24</v>
      </c>
      <c r="B28" s="4" t="inlineStr">
        <is>
          <t>TC-UT_OWEB-035</t>
        </is>
      </c>
      <c r="C28" s="5" t="inlineStr">
        <is>
          <t>useThread</t>
        </is>
      </c>
      <c r="D28" s="4" t="inlineStr">
        <is>
          <t>正常系</t>
        </is>
      </c>
      <c r="E28" s="4" t="inlineStr">
        <is>
          <t>分岐網羅</t>
        </is>
      </c>
      <c r="F28" s="5" t="inlineStr">
        <is>
          <t>スレッドは depth=5 で取り、postId が空なら取らない</t>
        </is>
      </c>
      <c r="G28" s="5" t="inlineStr">
        <is>
          <t>前提：vi.useFakeTimers（setTimeout・setInterval・Date）、画面は前面
入力：postId R と空</t>
        </is>
      </c>
      <c r="H28" s="5" t="inlineStr">
        <is>
          <t>/api/posts/R/thread?depth=5 の 1 回だけ</t>
        </is>
      </c>
      <c r="I28" s="5" t="inlineStr">
        <is>
          <t>B16-T, B16-F, B17-T</t>
        </is>
      </c>
      <c r="J28" s="5" t="inlineStr">
        <is>
          <t>fetch を vi.stubGlobal で差し替え、vi.useFakeTimers（setTimeout・setInterval・Date）、画面は前面</t>
        </is>
      </c>
      <c r="K28" s="5" t="inlineStr"/>
      <c r="L28" s="5" t="inlineStr"/>
      <c r="M28" s="5" t="inlineStr">
        <is>
          <t>TC-UT_OWEB-035 スレッドは depth=5 で取り、postId が空なら取りに行かない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</t>
        </is>
      </c>
    </row>
    <row r="29">
      <c r="A29" s="4" t="n">
        <v>25</v>
      </c>
      <c r="B29" s="4" t="inlineStr">
        <is>
          <t>TC-UT_OWEB-036</t>
        </is>
      </c>
      <c r="C29" s="5" t="inlineStr">
        <is>
          <t>useThread</t>
        </is>
      </c>
      <c r="D29" s="4" t="inlineStr">
        <is>
          <t>正常系</t>
        </is>
      </c>
      <c r="E29" s="4" t="inlineStr">
        <is>
          <t>境界値</t>
        </is>
      </c>
      <c r="F29" s="5" t="inlineStr">
        <is>
          <t>最初の取得では newIds は空、再取得で増えた返信だけを newIds にし、999 ミリ秒では残り 1,000 ミリ秒で消す</t>
        </is>
      </c>
      <c r="G29" s="5" t="inlineStr">
        <is>
          <t>前提：vi.useFakeTimers（setTimeout・setInterval・Date）、画面は前面
入力：C1 → C1・C2（30 秒後）</t>
        </is>
      </c>
      <c r="H29" s="5" t="inlineStr">
        <is>
          <t>空 → [C2] → [C2]（999）→ 空（1000）</t>
        </is>
      </c>
      <c r="I29" s="5" t="inlineStr">
        <is>
          <t>B18-T, B18-F, B19-T, B19-F, B20-T, B20-F, B15-F, B17-F</t>
        </is>
      </c>
      <c r="J29" s="5" t="inlineStr">
        <is>
          <t>fetch を vi.stubGlobal で差し替え、vi.useFakeTimers（setTimeout・setInterval・Date）、画面は前面</t>
        </is>
      </c>
      <c r="K29" s="5" t="inlineStr"/>
      <c r="L29" s="5" t="inlineStr"/>
      <c r="M29" s="5" t="inlineStr">
        <is>
          <t>TC-UT_OWEB-036 最初の取得では newIds は空、再取得で増えた返信だけを newIds にし、999 ミリ秒では残り 1,000 ミリ秒で消す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
画面 P102 E05：1 秒だけ背景を黄色にする</t>
        </is>
      </c>
    </row>
    <row r="30">
      <c r="A30" s="4" t="n">
        <v>26</v>
      </c>
      <c r="B30" s="4" t="inlineStr">
        <is>
          <t>TC-UT_OWEB-037</t>
        </is>
      </c>
      <c r="C30" s="5" t="inlineStr">
        <is>
          <t>useThread</t>
        </is>
      </c>
      <c r="D30" s="4" t="inlineStr">
        <is>
          <t>正常系</t>
        </is>
      </c>
      <c r="E30" s="4" t="inlineStr">
        <is>
          <t>状態遷移</t>
        </is>
      </c>
      <c r="F30" s="5" t="inlineStr">
        <is>
          <t>postId が変わったら、新しいスレッドの返信を新しい返信として扱わない</t>
        </is>
      </c>
      <c r="G30" s="5" t="inlineStr">
        <is>
          <t>前提：vi.useFakeTimers（setTimeout・setInterval・Date）、画面は前面
入力：R → S</t>
        </is>
      </c>
      <c r="H30" s="5" t="inlineStr">
        <is>
          <t>thread は S、newIds 空</t>
        </is>
      </c>
      <c r="I30" s="5" t="inlineStr">
        <is>
          <t>B15-T, B18-T</t>
        </is>
      </c>
      <c r="J30" s="5" t="inlineStr">
        <is>
          <t>fetch を vi.stubGlobal で差し替え、vi.useFakeTimers（setTimeout・setInterval・Date）、画面は前面</t>
        </is>
      </c>
      <c r="K30" s="5" t="inlineStr"/>
      <c r="L30" s="5" t="inlineStr"/>
      <c r="M30" s="5" t="inlineStr">
        <is>
          <t>TC-UT_OWEB-037 postId が変わったら、新しいスレッドの返信を新しい返信として扱わない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</t>
        </is>
      </c>
    </row>
    <row r="31">
      <c r="A31" s="4" t="n">
        <v>27</v>
      </c>
      <c r="B31" s="4" t="inlineStr">
        <is>
          <t>TC-UT_OWEB-038</t>
        </is>
      </c>
      <c r="C31" s="5" t="inlineStr">
        <is>
          <t>useAgentProfile</t>
        </is>
      </c>
      <c r="D31" s="4" t="inlineStr">
        <is>
          <t>正常系</t>
        </is>
      </c>
      <c r="E31" s="4" t="inlineStr">
        <is>
          <t>分岐網羅</t>
        </is>
      </c>
      <c r="F31" s="5" t="inlineStr">
        <is>
          <t>agentId が空なら取らず、読み込み中にもしない</t>
        </is>
      </c>
      <c r="G31" s="5" t="inlineStr">
        <is>
          <t>前提：なし
入力：''</t>
        </is>
      </c>
      <c r="H31" s="5" t="inlineStr">
        <is>
          <t>agent undefined、posts []、isLoading false、fetch 0 回</t>
        </is>
      </c>
      <c r="I31" s="5" t="inlineStr">
        <is>
          <t>B21-F, B22-F</t>
        </is>
      </c>
      <c r="J31" s="5" t="inlineStr">
        <is>
          <t>fetch を vi.stubGlobal で差し替え</t>
        </is>
      </c>
      <c r="K31" s="5" t="inlineStr"/>
      <c r="L31" s="5" t="inlineStr"/>
      <c r="M31" s="5" t="inlineStr">
        <is>
          <t>TC-UT_OWEB-038 agentId が空なら取りに行かず、読み込み中にもしない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</t>
        </is>
      </c>
    </row>
    <row r="32">
      <c r="A32" s="4" t="n">
        <v>28</v>
      </c>
      <c r="B32" s="4" t="inlineStr">
        <is>
          <t>TC-UT_OWEB-039</t>
        </is>
      </c>
      <c r="C32" s="5" t="inlineStr">
        <is>
          <t>useAgentProfile</t>
        </is>
      </c>
      <c r="D32" s="4" t="inlineStr">
        <is>
          <t>異常系</t>
        </is>
      </c>
      <c r="E32" s="4" t="inlineStr">
        <is>
          <t>分岐網羅</t>
        </is>
      </c>
      <c r="F32" s="5" t="inlineStr">
        <is>
          <t>過去投稿の先頭の失敗は postsError に入れ、fetchNextPageError は null</t>
        </is>
      </c>
      <c r="G32" s="5" t="inlineStr">
        <is>
          <t>前提：なし
入力：過去投稿 500</t>
        </is>
      </c>
      <c r="H32" s="5" t="inlineStr">
        <is>
          <t>postsError あり、fetchNextPageError null</t>
        </is>
      </c>
      <c r="I32" s="5" t="inlineStr">
        <is>
          <t>B23-F</t>
        </is>
      </c>
      <c r="J32" s="5" t="inlineStr">
        <is>
          <t>fetch を vi.stubGlobal で差し替え</t>
        </is>
      </c>
      <c r="K32" s="5" t="inlineStr"/>
      <c r="L32" s="5" t="inlineStr"/>
      <c r="M32" s="5" t="inlineStr">
        <is>
          <t>TC-UT_OWEB-039 過去投稿の先頭の取得の失敗は postsError に入れ、fetchNextPageError は null にする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</t>
        </is>
      </c>
    </row>
    <row r="33">
      <c r="A33" s="4" t="n">
        <v>29</v>
      </c>
      <c r="B33" s="4" t="inlineStr">
        <is>
          <t>TC-UT_OWEB-040</t>
        </is>
      </c>
      <c r="C33" s="5" t="inlineStr">
        <is>
          <t>useAgentProfile</t>
        </is>
      </c>
      <c r="D33" s="4" t="inlineStr">
        <is>
          <t>異常系</t>
        </is>
      </c>
      <c r="E33" s="4" t="inlineStr">
        <is>
          <t>分岐網羅</t>
        </is>
      </c>
      <c r="F33" s="5" t="inlineStr">
        <is>
          <t>続きの失敗は fetchNextPageError に入れ、postsError は null</t>
        </is>
      </c>
      <c r="G33" s="5" t="inlineStr">
        <is>
          <t>前提：先頭 P1・nextCursor c1
入力：続き 500</t>
        </is>
      </c>
      <c r="H33" s="5" t="inlineStr">
        <is>
          <t>isFetchNextPageError true、postsError null、posts は P1 のまま</t>
        </is>
      </c>
      <c r="I33" s="5" t="inlineStr">
        <is>
          <t>B23-T</t>
        </is>
      </c>
      <c r="J33" s="5" t="inlineStr">
        <is>
          <t>fetch を vi.stubGlobal で差し替え</t>
        </is>
      </c>
      <c r="K33" s="5" t="inlineStr"/>
      <c r="L33" s="5" t="inlineStr"/>
      <c r="M33" s="5" t="inlineStr">
        <is>
          <t>TC-UT_OWEB-040 続きの取得の失敗は fetchNextPageError に入れ、postsError は null にする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TC-NOUS68_DEV-01（成功だけ）</t>
        </is>
      </c>
    </row>
    <row r="34">
      <c r="A34" s="4" t="n">
        <v>30</v>
      </c>
      <c r="B34" s="4" t="inlineStr">
        <is>
          <t>TC-UT_OWEB-041</t>
        </is>
      </c>
      <c r="C34" s="5" t="inlineStr">
        <is>
          <t>useFollows</t>
        </is>
      </c>
      <c r="D34" s="4" t="inlineStr">
        <is>
          <t>正常系</t>
        </is>
      </c>
      <c r="E34" s="4" t="inlineStr">
        <is>
          <t>分岐網羅</t>
        </is>
      </c>
      <c r="F34" s="5" t="inlineStr">
        <is>
          <t>agentId が空なら取らず、items は空</t>
        </is>
      </c>
      <c r="G34" s="5" t="inlineStr">
        <is>
          <t>前提：なし
入力：''</t>
        </is>
      </c>
      <c r="H34" s="5" t="inlineStr">
        <is>
          <t>items []、fetch 0 回</t>
        </is>
      </c>
      <c r="I34" s="5" t="inlineStr">
        <is>
          <t>B24-F, B25-F</t>
        </is>
      </c>
      <c r="J34" s="5" t="inlineStr">
        <is>
          <t>fetch を vi.stubGlobal で差し替え</t>
        </is>
      </c>
      <c r="K34" s="5" t="inlineStr"/>
      <c r="L34" s="5" t="inlineStr"/>
      <c r="M34" s="5" t="inlineStr">
        <is>
          <t>TC-UT_OWEB-041 agentId が空なら取りに行かず、items は空にする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</t>
        </is>
      </c>
    </row>
    <row r="35">
      <c r="A35" s="4" t="n">
        <v>31</v>
      </c>
      <c r="B35" s="4" t="inlineStr">
        <is>
          <t>TC-UT_OWEB-042</t>
        </is>
      </c>
      <c r="C35" s="5" t="inlineStr">
        <is>
          <t>useFollows</t>
        </is>
      </c>
      <c r="D35" s="4" t="inlineStr">
        <is>
          <t>異常系</t>
        </is>
      </c>
      <c r="E35" s="4" t="inlineStr">
        <is>
          <t>エラー処理</t>
        </is>
      </c>
      <c r="F35" s="5" t="inlineStr">
        <is>
          <t>取得に失敗したら error を返し、items は空</t>
        </is>
      </c>
      <c r="G35" s="5" t="inlineStr">
        <is>
          <t>前提：なし
入力：500</t>
        </is>
      </c>
      <c r="H35" s="5" t="inlineStr">
        <is>
          <t>error あり、items []、isSuccess false</t>
        </is>
      </c>
      <c r="I35" s="5" t="inlineStr">
        <is>
          <t>B25-F</t>
        </is>
      </c>
      <c r="J35" s="5" t="inlineStr">
        <is>
          <t>fetch を vi.stubGlobal で差し替え</t>
        </is>
      </c>
      <c r="K35" s="5" t="inlineStr"/>
      <c r="L35" s="5" t="inlineStr"/>
      <c r="M35" s="5" t="inlineStr">
        <is>
          <t>TC-UT_OWEB-042 取得に失敗したら error を返し、items は空のままにする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</t>
        </is>
      </c>
    </row>
  </sheetData>
  <autoFilter ref="A4:Q35"/>
  <conditionalFormatting sqref="A5:Q85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5" showDropDown="0" showInputMessage="0" showErrorMessage="0" allowBlank="1" type="list">
      <formula1>"未実施,OK,NG,保留,対象外"</formula1>
    </dataValidation>
    <dataValidation sqref="D5:D85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COUNTA(観点表!$B$5:$B$85)</f>
        <v/>
      </c>
    </row>
    <row r="6">
      <c r="A6" s="10" t="inlineStr">
        <is>
          <t>正常系</t>
        </is>
      </c>
      <c r="B6" s="10">
        <f>COUNTIF(観点表!$D$5:$D$85,"正常系")</f>
        <v/>
      </c>
    </row>
    <row r="7">
      <c r="A7" s="10" t="inlineStr">
        <is>
          <t>異常系</t>
        </is>
      </c>
      <c r="B7" s="10">
        <f>COUNTIF(観点表!$D$5:$D$85,"異常系")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COUNTIF(観点表!$E$5:$E$85,"エラー処理")</f>
        <v/>
      </c>
    </row>
    <row r="11">
      <c r="A11" s="10" t="inlineStr">
        <is>
          <t>依存</t>
        </is>
      </c>
      <c r="B11" s="10">
        <f>COUNTIF(観点表!$E$5:$E$85,"依存")</f>
        <v/>
      </c>
    </row>
    <row r="12">
      <c r="A12" s="10" t="inlineStr">
        <is>
          <t>分岐網羅</t>
        </is>
      </c>
      <c r="B12" s="10">
        <f>COUNTIF(観点表!$E$5:$E$85,"分岐網羅")</f>
        <v/>
      </c>
    </row>
    <row r="13">
      <c r="A13" s="10" t="inlineStr">
        <is>
          <t>同値分割</t>
        </is>
      </c>
      <c r="B13" s="10">
        <f>COUNTIF(観点表!$E$5:$E$85,"同値分割")</f>
        <v/>
      </c>
    </row>
    <row r="14">
      <c r="A14" s="10" t="inlineStr">
        <is>
          <t>境界値</t>
        </is>
      </c>
      <c r="B14" s="10">
        <f>COUNTIF(観点表!$E$5:$E$85,"境界値")</f>
        <v/>
      </c>
    </row>
    <row r="15">
      <c r="A15" s="10" t="inlineStr">
        <is>
          <t>状態遷移</t>
        </is>
      </c>
      <c r="B15" s="10">
        <f>COUNTIF(観点表!$E$5:$E$85,"状態遷移")</f>
        <v/>
      </c>
    </row>
    <row r="16">
      <c r="A16" s="10" t="inlineStr">
        <is>
          <t>開発者テスト</t>
        </is>
      </c>
      <c r="B16" s="10">
        <f>COUNTIF(観点表!$E$5:$E$85,"開発者テスト")</f>
        <v/>
      </c>
    </row>
    <row r="18">
      <c r="A18" s="8" t="inlineStr">
        <is>
          <t>テストデータ</t>
        </is>
      </c>
      <c r="B18" s="9" t="n"/>
      <c r="C18" s="9" t="n"/>
    </row>
    <row r="19">
      <c r="A19" s="10" t="inlineStr">
        <is>
          <t>作成済み</t>
        </is>
      </c>
      <c r="B19" s="10">
        <f>COUNTIF(観点表!$K$5:$K$85,"?*")</f>
        <v/>
      </c>
    </row>
    <row r="20">
      <c r="A20" s="10" t="inlineStr">
        <is>
          <t>未作成</t>
        </is>
      </c>
      <c r="B20" s="10">
        <f>B5-B19</f>
        <v/>
      </c>
    </row>
    <row r="22">
      <c r="A22" s="8" t="inlineStr">
        <is>
          <t>実施状況</t>
        </is>
      </c>
      <c r="B22" s="9" t="n"/>
      <c r="C22" s="9" t="n"/>
    </row>
    <row r="23">
      <c r="A23" s="10" t="inlineStr">
        <is>
          <t>未実施</t>
        </is>
      </c>
      <c r="B23" s="10">
        <f>COUNTIF(観点表!$N$5:$N$85,"未実施")</f>
        <v/>
      </c>
    </row>
    <row r="24">
      <c r="A24" s="10" t="inlineStr">
        <is>
          <t>OK</t>
        </is>
      </c>
      <c r="B24" s="10">
        <f>COUNTIF(観点表!$N$5:$N$85,"OK")</f>
        <v/>
      </c>
    </row>
    <row r="25">
      <c r="A25" s="10" t="inlineStr">
        <is>
          <t>NG</t>
        </is>
      </c>
      <c r="B25" s="10">
        <f>COUNTIF(観点表!$N$5:$N$85,"NG")</f>
        <v/>
      </c>
    </row>
    <row r="26">
      <c r="A26" s="10" t="inlineStr">
        <is>
          <t>保留</t>
        </is>
      </c>
      <c r="B26" s="10">
        <f>COUNTIF(観点表!$N$5:$N$85,"保留")</f>
        <v/>
      </c>
    </row>
    <row r="27">
      <c r="A27" s="10" t="inlineStr">
        <is>
          <t>対象外</t>
        </is>
      </c>
      <c r="B27" s="10">
        <f>COUNTIF(観点表!$N$5:$N$85,"対象外")</f>
        <v/>
      </c>
    </row>
    <row r="28">
      <c r="A28" s="10" t="inlineStr">
        <is>
          <t>消化率（未実施以外 / 総数）</t>
        </is>
      </c>
      <c r="B28" s="11">
        <f>IF(B5=0,0,(B5-B23)/B5)</f>
        <v/>
      </c>
    </row>
    <row r="29">
      <c r="A29" s="10" t="inlineStr">
        <is>
          <t>合格率（OK / (総数-対象外)）</t>
        </is>
      </c>
      <c r="B29" s="11">
        <f>IF(B5-B27=0,0,B24/(B5-B27))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TC-NOUS49_DEV-15</t>
        </is>
      </c>
      <c r="B5" s="13" t="inlineStr">
        <is>
          <t>前面なら 30 秒、隠れたら false、戻ったら 30 秒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TC-NOUS49_DEV-16</t>
        </is>
      </c>
      <c r="B6" s="13" t="inlineStr">
        <is>
          <t>失敗のたびに増え、成功で 0 に戻る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TC-NOUS67_DEV-01</t>
        </is>
      </c>
      <c r="B7" s="13" t="inlineStr">
        <is>
          <t>pendingCount は一覧に無い新しい投稿だけを数える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TC-NOUS67_DEV-02</t>
        </is>
      </c>
      <c r="B8" s="13" t="inlineStr">
        <is>
          <t>mergePending で先頭に重複なく入り pending が 0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TC-NOUS68_DEV-01</t>
        </is>
      </c>
      <c r="B9" s="13" t="inlineStr">
        <is>
          <t>プロフィールと先頭 30 件を取り、続きを結合する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TC-NOUS68_DEV-02</t>
        </is>
      </c>
      <c r="B10" s="13" t="inlineStr">
        <is>
          <t>getFollows を type=following で呼ぶ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TC-NOUS68_DEV-03</t>
        </is>
      </c>
      <c r="B11" s="13" t="inlineStr">
        <is>
          <t>getFollows を type=followers で呼ぶ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TC-UT_OWEB-020</t>
        </is>
      </c>
      <c r="B12" s="13" t="inlineStr">
        <is>
          <t>intervalMs を渡すと、前面のときその値を返す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TC-UT_OWEB-021</t>
        </is>
      </c>
      <c r="B13" s="13" t="inlineStr">
        <is>
          <t>隠れた状態で始まると false、前面に戻ると 30 秒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TC-UT_OWEB-022</t>
        </is>
      </c>
      <c r="B14" s="13" t="inlineStr">
        <is>
          <t>unmount で visibilitychange の購読を外す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TC-UT_OWEB-023</t>
        </is>
      </c>
      <c r="B15" s="13" t="inlineStr">
        <is>
          <t>失敗が 2 回で 2、3 回でしきい値の 3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TC-UT_OWEB-024</t>
        </is>
      </c>
      <c r="B16" s="13" t="inlineStr">
        <is>
          <t>dataUpdatedAt が変わっても errorUpdatedAt より古ければ 0 に戻さない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TC-UT_OWEB-025</t>
        </is>
      </c>
      <c r="B17" s="13" t="inlineStr">
        <is>
          <t>最初の描画では値が 0 でなくても数えない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TC-UT_OWEB-026</t>
        </is>
      </c>
      <c r="B18" s="13" t="inlineStr">
        <is>
          <t>成功の前は world・lastUpdated なし、成功で取得の時刻を lastUpdated に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TC-UT_OWEB-027</t>
        </is>
      </c>
      <c r="B19" s="13" t="inlineStr">
        <is>
          <t>取得に失敗すると isError、lastUpdated は null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TC-UT_OWEB-028</t>
        </is>
      </c>
      <c r="B20" s="13" t="inlineStr">
        <is>
          <t>前面なら 30 秒ごとに取り直し（29,999 では取らない）、隠れている間は取らない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TC-UT_OWEB-029</t>
        </is>
      </c>
      <c r="B21" s="13" t="inlineStr">
        <is>
          <t>先頭は limit=30、nextCursor があれば cursor 付きで続きを取り、無ければ hasNextPage を false に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TC-UT_OWEB-030</t>
        </is>
      </c>
      <c r="B22" s="13" t="inlineStr">
        <is>
          <t>一覧が 0 件のときは新しい投稿の取得（since）をしない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TC-UT_OWEB-031</t>
        </is>
      </c>
      <c r="B23" s="13" t="inlineStr">
        <is>
          <t>新しい投稿は先頭の postId を since に limit=30 で取り、前面のとき 30 秒ごとに取り直す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TC-UT_OWEB-032</t>
        </is>
      </c>
      <c r="B24" s="13" t="inlineStr">
        <is>
          <t>新しい投稿の中で同じ postId が重なっても 1 件と数える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TC-UT_OWEB-033</t>
        </is>
      </c>
      <c r="B25" s="13" t="inlineStr">
        <is>
          <t>新しい投稿が無いとき一覧を変えず、先頭へスクロールする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TC-UT_OWEB-034</t>
        </is>
      </c>
      <c r="B26" s="13" t="inlineStr">
        <is>
          <t>2 ページ目以降を変えず、1 ページ目の先頭にだけ足す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TC-UT_OWEB-064</t>
        </is>
      </c>
      <c r="B27" s="13" t="inlineStr">
        <is>
          <t>一覧も新しい投稿もまだ無いときに呼んでも例外を出さず、先頭へスクロールだけする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TC-UT_OWEB-035</t>
        </is>
      </c>
      <c r="B28" s="13" t="inlineStr">
        <is>
          <t>スレッドは depth=5 で取り、postId が空なら取らない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TC-UT_OWEB-036</t>
        </is>
      </c>
      <c r="B29" s="13" t="inlineStr">
        <is>
          <t>最初の取得では newIds は空、再取得で増えた返信だけを newIds にし、999 ミリ秒では残り 1,000 ミリ秒で消す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TC-UT_OWEB-037</t>
        </is>
      </c>
      <c r="B30" s="13" t="inlineStr">
        <is>
          <t>postId が変わったら、新しいスレッドの返信を新しい返信として扱わない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TC-UT_OWEB-038</t>
        </is>
      </c>
      <c r="B31" s="13" t="inlineStr">
        <is>
          <t>agentId が空なら取らず、読み込み中にもしない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TC-UT_OWEB-039</t>
        </is>
      </c>
      <c r="B32" s="13" t="inlineStr">
        <is>
          <t>過去投稿の先頭の失敗は postsError に入れ、fetchNextPageError は null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TC-UT_OWEB-040</t>
        </is>
      </c>
      <c r="B33" s="13" t="inlineStr">
        <is>
          <t>続きの失敗は fetchNextPageError に入れ、postsError は null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TC-UT_OWEB-041</t>
        </is>
      </c>
      <c r="B34" s="13" t="inlineStr">
        <is>
          <t>agentId が空なら取らず、items は空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TC-UT_OWEB-042</t>
        </is>
      </c>
      <c r="B35" s="13" t="inlineStr">
        <is>
          <t>取得に失敗したら error を返し、items は空</t>
        </is>
      </c>
      <c r="C35" s="13" t="inlineStr">
        <is>
          <t>未作成</t>
        </is>
      </c>
      <c r="D35" s="13" t="inlineStr"/>
      <c r="E35" s="13" t="inlineStr"/>
      <c r="F35" s="13" t="inlineStr"/>
    </row>
  </sheetData>
  <autoFilter ref="A4:F3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観察画面のフック（hooks/useVisibilityPolling・useWorldStatus・useTimeline・useThread・useAgentProfile・useFollows）</t>
        </is>
      </c>
    </row>
    <row r="4">
      <c r="A4" s="14" t="inlineStr">
        <is>
          <t>対象ファイル</t>
        </is>
      </c>
      <c r="B4" s="15" t="inlineStr">
        <is>
          <t>apps/observer/src/hooks/useVisibilityPolling.ts, apps/observer/src/hooks/useWorldStatus.ts, apps/observer/src/hooks/useTimeline.ts, apps/observer/src/hooks/useThread.ts, apps/observer/src/hooks/useAgentProfile.ts, apps/observer/src/hooks/useFollows.ts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apps/observer/src/hooks/useVisibilityPolling.test.ts, apps/observer/src/hooks/useVisibilityPolling.ut.test.ts, apps/observer/src/hooks/useWorldStatus.ut.test.tsx, apps/observer/src/hooks/useTimeline.test.tsx, apps/observer/src/hooks/useTimeline.ut.test.tsx, apps/observer/src/hooks/useThread.ut.test.tsx, apps/observer/src/hooks/useAgentProfile.test.tsx, apps/observer/src/hooks/useAgentProfile.ut.test.tsx, apps/observer/src/hooks/useFollows.test.tsx, apps/observer/src/hooks/useFollows.ut.test.tsx</t>
        </is>
      </c>
    </row>
    <row r="7">
      <c r="A7" s="14" t="inlineStr">
        <is>
          <t>外部依存</t>
        </is>
      </c>
      <c r="B7" s="15" t="inlineStr">
        <is>
          <t>TanStack Query（QueryClient、retry なし）, fetch, document.visibilityState と visibilitychange, setTimeout・setInterval（vi.useFakeTimers）, window.scrollTo, 共通の準備は apps/observer/src/test/observerUt.tsx（このチケットで新しく作った、単体テストだけが使う補助）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isVisible：document が無いか visibilityState が visible</t>
        </is>
      </c>
      <c r="C11" s="17" t="inlineStr">
        <is>
          <t>useVisibilityPolling.ts:8</t>
        </is>
      </c>
    </row>
    <row r="12">
      <c r="A12" s="17" t="inlineStr">
        <is>
          <t>B2</t>
        </is>
      </c>
      <c r="B12" s="17" t="inlineStr">
        <is>
          <t>useVisibilityPolling：前面なら intervalMs、隠れていれば false</t>
        </is>
      </c>
      <c r="C12" s="17" t="inlineStr">
        <is>
          <t>useVisibilityPolling.ts:22</t>
        </is>
      </c>
    </row>
    <row r="13">
      <c r="A13" s="17" t="inlineStr">
        <is>
          <t>B3</t>
        </is>
      </c>
      <c r="B13" s="17" t="inlineStr">
        <is>
          <t>useConsecutiveFailures：dataUpdatedAt が変わり、errorUpdatedAt 以上（0 に戻す）</t>
        </is>
      </c>
      <c r="C13" s="17" t="inlineStr">
        <is>
          <t>useVisibilityPolling.ts:34</t>
        </is>
      </c>
    </row>
    <row r="14">
      <c r="A14" s="17" t="inlineStr">
        <is>
          <t>B4</t>
        </is>
      </c>
      <c r="B14" s="17" t="inlineStr">
        <is>
          <t>useConsecutiveFailures：errorUpdatedAt が変わった（+1）</t>
        </is>
      </c>
      <c r="C14" s="17" t="inlineStr">
        <is>
          <t>useVisibilityPolling.ts:36</t>
        </is>
      </c>
    </row>
    <row r="15">
      <c r="A15" s="17" t="inlineStr">
        <is>
          <t>B5</t>
        </is>
      </c>
      <c r="B15" s="17" t="inlineStr">
        <is>
          <t>useWorldStatus：dataUpdatedAt &gt; 0（lastUpdated を作る）</t>
        </is>
      </c>
      <c r="C15" s="17" t="inlineStr">
        <is>
          <t>useWorldStatus.ts:18</t>
        </is>
      </c>
    </row>
    <row r="16">
      <c r="A16" s="17" t="inlineStr">
        <is>
          <t>B6</t>
        </is>
      </c>
      <c r="B16" s="17" t="inlineStr">
        <is>
          <t>useTimeline：nextCursor がある（getNextPageParam）</t>
        </is>
      </c>
      <c r="C16" s="17" t="inlineStr">
        <is>
          <t>useTimeline.ts:17</t>
        </is>
      </c>
    </row>
    <row r="17">
      <c r="A17" s="17" t="inlineStr">
        <is>
          <t>B7</t>
        </is>
      </c>
      <c r="B17" s="17" t="inlineStr">
        <is>
          <t>useTimeline：ページ・items が無ければ空の配列</t>
        </is>
      </c>
      <c r="C17" s="17" t="inlineStr">
        <is>
          <t>useTimeline.ts:21</t>
        </is>
      </c>
    </row>
    <row r="18">
      <c r="A18" s="17" t="inlineStr">
        <is>
          <t>B8</t>
        </is>
      </c>
      <c r="B18" s="17" t="inlineStr">
        <is>
          <t>useTimeline：先頭の postId がある（新しい投稿の取得を有効にする）</t>
        </is>
      </c>
      <c r="C18" s="17" t="inlineStr">
        <is>
          <t>useTimeline.ts:30</t>
        </is>
      </c>
    </row>
    <row r="19">
      <c r="A19" s="17" t="inlineStr">
        <is>
          <t>B9</t>
        </is>
      </c>
      <c r="B19" s="17" t="inlineStr">
        <is>
          <t>pendingCount：新しい投稿が 0 件</t>
        </is>
      </c>
      <c r="C19" s="17" t="inlineStr">
        <is>
          <t>useTimeline.ts:36</t>
        </is>
      </c>
    </row>
    <row r="20">
      <c r="A20" s="17" t="inlineStr">
        <is>
          <t>B10</t>
        </is>
      </c>
      <c r="B20" s="17" t="inlineStr">
        <is>
          <t>pendingCount：一覧に無い postId</t>
        </is>
      </c>
      <c r="C20" s="17" t="inlineStr">
        <is>
          <t>useTimeline.ts:40</t>
        </is>
      </c>
    </row>
    <row r="21">
      <c r="A21" s="17" t="inlineStr">
        <is>
          <t>B11</t>
        </is>
      </c>
      <c r="B21" s="17" t="inlineStr">
        <is>
          <t>mergePending：一覧のデータが無いかページが 0</t>
        </is>
      </c>
      <c r="C21" s="17" t="inlineStr">
        <is>
          <t>useTimeline.ts:52</t>
        </is>
      </c>
    </row>
    <row r="22">
      <c r="A22" s="17" t="inlineStr">
        <is>
          <t>B12</t>
        </is>
      </c>
      <c r="B22" s="17" t="inlineStr">
        <is>
          <t>mergePending：足す投稿が 0 件</t>
        </is>
      </c>
      <c r="C22" s="17" t="inlineStr">
        <is>
          <t>useTimeline.ts:61</t>
        </is>
      </c>
    </row>
    <row r="23">
      <c r="A23" s="17" t="inlineStr">
        <is>
          <t>B13</t>
        </is>
      </c>
      <c r="B23" s="17" t="inlineStr">
        <is>
          <t>mergePending：1 ページ目が無い</t>
        </is>
      </c>
      <c r="C23" s="17" t="inlineStr">
        <is>
          <t>useTimeline.ts:63</t>
        </is>
      </c>
    </row>
    <row r="24">
      <c r="A24" s="17" t="inlineStr">
        <is>
          <t>B14</t>
        </is>
      </c>
      <c r="B24" s="17" t="inlineStr">
        <is>
          <t>mergePending：新しい投稿のデータがある（items を空にする）</t>
        </is>
      </c>
      <c r="C24" s="17" t="inlineStr">
        <is>
          <t>useTimeline.ts:70</t>
        </is>
      </c>
    </row>
    <row r="25">
      <c r="A25" s="17" t="inlineStr">
        <is>
          <t>B15</t>
        </is>
      </c>
      <c r="B25" s="17" t="inlineStr">
        <is>
          <t>useThread：postId が変わった（既知の ID を捨てる）</t>
        </is>
      </c>
      <c r="C25" s="17" t="inlineStr">
        <is>
          <t>useThread.ts:23</t>
        </is>
      </c>
    </row>
    <row r="26">
      <c r="A26" s="17" t="inlineStr">
        <is>
          <t>B16</t>
        </is>
      </c>
      <c r="B26" s="17" t="inlineStr">
        <is>
          <t>useThread：postId が空でない（取得を有効にする）</t>
        </is>
      </c>
      <c r="C26" s="17" t="inlineStr">
        <is>
          <t>useThread.ts:31</t>
        </is>
      </c>
    </row>
    <row r="27">
      <c r="A27" s="17" t="inlineStr">
        <is>
          <t>B17</t>
        </is>
      </c>
      <c r="B27" s="17" t="inlineStr">
        <is>
          <t>useThread：データが無い</t>
        </is>
      </c>
      <c r="C27" s="17" t="inlineStr">
        <is>
          <t>useThread.ts:36</t>
        </is>
      </c>
    </row>
    <row r="28">
      <c r="A28" s="17" t="inlineStr">
        <is>
          <t>B18</t>
        </is>
      </c>
      <c r="B28" s="17" t="inlineStr">
        <is>
          <t>useThread：最初のデータ（既知の ID が null）</t>
        </is>
      </c>
      <c r="C28" s="17" t="inlineStr">
        <is>
          <t>useThread.ts:38</t>
        </is>
      </c>
    </row>
    <row r="29">
      <c r="A29" s="17" t="inlineStr">
        <is>
          <t>B19</t>
        </is>
      </c>
      <c r="B29" s="17" t="inlineStr">
        <is>
          <t>useThread：増えた返信がある</t>
        </is>
      </c>
      <c r="C29" s="17" t="inlineStr">
        <is>
          <t>useThread.ts:50</t>
        </is>
      </c>
    </row>
    <row r="30">
      <c r="A30" s="17" t="inlineStr">
        <is>
          <t>B20</t>
        </is>
      </c>
      <c r="B30" s="17" t="inlineStr">
        <is>
          <t>useThread：newIds が空（消すタイマーを張らない）</t>
        </is>
      </c>
      <c r="C30" s="17" t="inlineStr">
        <is>
          <t>useThread.ts:56</t>
        </is>
      </c>
    </row>
    <row r="31">
      <c r="A31" s="17" t="inlineStr">
        <is>
          <t>B21</t>
        </is>
      </c>
      <c r="B31" s="17" t="inlineStr">
        <is>
          <t>useAgentProfile：agentId が空でない（取得を有効にする）</t>
        </is>
      </c>
      <c r="C31" s="17" t="inlineStr">
        <is>
          <t>useAgentProfile.ts:29・43</t>
        </is>
      </c>
    </row>
    <row r="32">
      <c r="A32" s="17" t="inlineStr">
        <is>
          <t>B22</t>
        </is>
      </c>
      <c r="B32" s="17" t="inlineStr">
        <is>
          <t>useAgentProfile：過去投稿のデータがある</t>
        </is>
      </c>
      <c r="C32" s="17" t="inlineStr">
        <is>
          <t>useAgentProfile.ts:46</t>
        </is>
      </c>
    </row>
    <row r="33">
      <c r="A33" s="17" t="inlineStr">
        <is>
          <t>B23</t>
        </is>
      </c>
      <c r="B33" s="17" t="inlineStr">
        <is>
          <t>useAgentProfile：続きの取得の失敗か（postsError と fetchNextPageError の振り分け）</t>
        </is>
      </c>
      <c r="C33" s="17" t="inlineStr">
        <is>
          <t>useAgentProfile.ts:55-56</t>
        </is>
      </c>
    </row>
    <row r="34">
      <c r="A34" s="17" t="inlineStr">
        <is>
          <t>B24</t>
        </is>
      </c>
      <c r="B34" s="17" t="inlineStr">
        <is>
          <t>useFollows：agentId が空でない</t>
        </is>
      </c>
      <c r="C34" s="17" t="inlineStr">
        <is>
          <t>useFollows.ts:19</t>
        </is>
      </c>
    </row>
    <row r="35">
      <c r="A35" s="17" t="inlineStr">
        <is>
          <t>B25</t>
        </is>
      </c>
      <c r="B35" s="17" t="inlineStr">
        <is>
          <t>useFollows：データがある（items）</t>
        </is>
      </c>
      <c r="C35" s="17" t="inlineStr">
        <is>
          <t>useFollows.ts:23</t>
        </is>
      </c>
    </row>
    <row r="37">
      <c r="A37" s="14" t="inlineStr">
        <is>
          <t>確認事項・潜在バグ</t>
        </is>
      </c>
    </row>
    <row r="38" ht="30" customHeight="1">
      <c r="A38" s="18" t="inlineStr">
        <is>
          <t>・通せない分岐：B1 の「document が無い」側は jsdom では通らない（サーバー描画のための防御）。B7 の「items が無い」側と B13 の真は、API の型と B11 の判定から届かない（防御の分岐）</t>
        </is>
      </c>
    </row>
    <row r="39" ht="30" customHeight="1">
      <c r="A39" s="18" t="inlineStr">
        <is>
          <t>・確認事項 1：一覧が 0 件のときは新しい投稿の取得（since）を有効にしない（TC-UT_OWEB-030）。フックとしては実装の値で書いた。画面としての問題は P101 の疑い 2（TC-UT_P101-011）で扱う</t>
        </is>
      </c>
    </row>
    <row r="40" ht="30" customHeight="1">
      <c r="A40" s="18" t="inlineStr">
        <is>
          <t>・テストの書き方：jsdom の visibilityState は既定で "prerender" なので、ポーリングのテストは画面を前面にしてから始める。偽の時計は時刻を進める途中に張られた 0 ミリ秒のタイマーを 1 ミリ秒後に回すため、TanStack Query の通知は microtask で流している（observerUt.tsx の useFakePollingTimers）</t>
        </is>
      </c>
    </row>
  </sheetData>
  <mergeCells count="3">
    <mergeCell ref="A40:C40"/>
    <mergeCell ref="A38:C38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2026-10-26T06:13:48Z</dcterms:created>
  <dcterms:modified xsi:type="dcterms:W3CDTF">2026-10-26T06:13:48Z</dcterms:modified>
</cp:coreProperties>
</file>