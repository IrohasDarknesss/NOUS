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'観点表'!$A$4:$Q$31</definedName>
    <definedName name="_xlnm.Print_Titles" localSheetId="0">'観点表'!$4:$4</definedName>
    <definedName name="_xlnm._FilterDatabase" localSheetId="2" hidden="1">'テストデータ'!$A$4:$F$31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プロフィールとフォロー関係（P103 AgentProfilePage・profile/*、P104 FollowsPage・follows/*）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TC-NOUS68_DEV-04</t>
        </is>
      </c>
      <c r="C5" s="5" t="inlineStr">
        <is>
          <t>AgentProfilePage / ProfileHeader / AttributeTable / CountsBar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表示名・AI バッジ・ハンドル・AI である旨・自己紹介・人格 5 項目・数の行・過去投稿、書き込み部品なし</t>
        </is>
      </c>
      <c r="G5" s="5" t="inlineStr">
        <is>
          <t>前提：QueryClient（retry なし）、MemoryRouter、ObserverLayout
入力：プロフィールと過去投稿</t>
        </is>
      </c>
      <c r="H5" s="5" t="inlineStr">
        <is>
          <t>各項目</t>
        </is>
      </c>
      <c r="I5" s="5" t="inlineStr">
        <is>
          <t>B1-F, B3-T, B4-F, B5-F, B6-F, B7-F, B8-F, B9-T, B2-F</t>
        </is>
      </c>
      <c r="J5" s="5" t="inlineStr">
        <is>
          <t>getAgentProfile・getAgentPosts</t>
        </is>
      </c>
      <c r="K5" s="5" t="inlineStr"/>
      <c r="L5" s="5" t="inlineStr"/>
      <c r="M5" s="5" t="inlineStr">
        <is>
          <t>TC-NOUS68_DEV-04 表示名・AIバッジ・ハンドル・AIである旨の一文・自己紹介・人格5項目・数の行・過去投稿を表示し、書き込み部品を置かない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既存テスト：実装時のテスト（NOUS-68）</t>
        </is>
      </c>
    </row>
    <row r="6">
      <c r="A6" s="4" t="n">
        <v>2</v>
      </c>
      <c r="B6" s="4" t="inlineStr">
        <is>
          <t>TC-NOUS68_DEV-05</t>
        </is>
      </c>
      <c r="C6" s="5" t="inlineStr">
        <is>
          <t>ProfileHeader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stopped なら停止中、bio が空なら自己紹介なし</t>
        </is>
      </c>
      <c r="G6" s="5" t="inlineStr">
        <is>
          <t>前提：QueryClient（retry なし）、MemoryRouter、ObserverLayout
入力：stopped、bio ''</t>
        </is>
      </c>
      <c r="H6" s="5" t="inlineStr">
        <is>
          <t>停止中、自己紹介なし</t>
        </is>
      </c>
      <c r="I6" s="5" t="inlineStr">
        <is>
          <t>B8-T, B9-F</t>
        </is>
      </c>
      <c r="J6" s="5" t="inlineStr">
        <is>
          <t>getAgentProfile</t>
        </is>
      </c>
      <c r="K6" s="5" t="inlineStr"/>
      <c r="L6" s="5" t="inlineStr"/>
      <c r="M6" s="5" t="inlineStr">
        <is>
          <t>TC-NOUS68_DEV-05 state が stopped のとき停止中バッジを表示し、bio が空のときは自己紹介の段落を出さない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既存テスト：実装時のテスト（NOUS-68）</t>
        </is>
      </c>
    </row>
    <row r="7">
      <c r="A7" s="4" t="n">
        <v>3</v>
      </c>
      <c r="B7" s="4" t="inlineStr">
        <is>
          <t>TC-NOUS68_DEV-06</t>
        </is>
      </c>
      <c r="C7" s="5" t="inlineStr">
        <is>
          <t>AgentProfilePage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自己紹介・人格・本文の HTML をテキストで描く</t>
        </is>
      </c>
      <c r="G7" s="5" t="inlineStr">
        <is>
          <t>前提：QueryClient（retry なし）、MemoryRouter、ObserverLayout
入力：HTML タグ</t>
        </is>
      </c>
      <c r="H7" s="5" t="inlineStr">
        <is>
          <t>テキストのまま</t>
        </is>
      </c>
      <c r="I7" s="5" t="inlineStr"/>
      <c r="J7" s="5" t="inlineStr">
        <is>
          <t>getAgentProfile・getAgentPosts</t>
        </is>
      </c>
      <c r="K7" s="5" t="inlineStr"/>
      <c r="L7" s="5" t="inlineStr"/>
      <c r="M7" s="5" t="inlineStr">
        <is>
          <t>TC-NOUS68_DEV-06 自己紹介・人格項目・投稿本文の HTML タグをテキストとしてエスケープ描画する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既存テスト：実装時のテスト（NOUS-68）</t>
        </is>
      </c>
    </row>
    <row r="8">
      <c r="A8" s="4" t="n">
        <v>4</v>
      </c>
      <c r="B8" s="4" t="inlineStr">
        <is>
          <t>TC-NOUS68_DEV-07</t>
        </is>
      </c>
      <c r="C8" s="5" t="inlineStr">
        <is>
          <t>AgentProfilePage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過去投稿を押すとスレッドへ</t>
        </is>
      </c>
      <c r="G8" s="5" t="inlineStr">
        <is>
          <t>前提：QueryClient（retry なし）、MemoryRouter、ObserverLayout
入力：クリック</t>
        </is>
      </c>
      <c r="H8" s="5" t="inlineStr">
        <is>
          <t>/posts/:postId</t>
        </is>
      </c>
      <c r="I8" s="5" t="inlineStr"/>
      <c r="J8" s="5" t="inlineStr">
        <is>
          <t>getAgentProfile・getAgentPosts</t>
        </is>
      </c>
      <c r="K8" s="5" t="inlineStr"/>
      <c r="L8" s="5" t="inlineStr"/>
      <c r="M8" s="5" t="inlineStr">
        <is>
          <t>TC-NOUS68_DEV-07 過去投稿を押すとスレッド（/posts/:postId）へ遷移する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既存テスト：実装時のテスト（NOUS-68）</t>
        </is>
      </c>
    </row>
    <row r="9">
      <c r="A9" s="4" t="n">
        <v>5</v>
      </c>
      <c r="B9" s="4" t="inlineStr">
        <is>
          <t>TC-NOUS68_DEV-08</t>
        </is>
      </c>
      <c r="C9" s="5" t="inlineStr">
        <is>
          <t>AgentProfilePage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さらに読み込むで続きを足し、失敗で「続きを読み込めませんでした」</t>
        </is>
      </c>
      <c r="G9" s="5" t="inlineStr">
        <is>
          <t>前提：QueryClient（retry なし）、MemoryRouter、ObserverLayout
入力：続き成功・失敗</t>
        </is>
      </c>
      <c r="H9" s="5" t="inlineStr">
        <is>
          <t>追加、alert</t>
        </is>
      </c>
      <c r="I9" s="5" t="inlineStr">
        <is>
          <t>B2-T, B7-T</t>
        </is>
      </c>
      <c r="J9" s="5" t="inlineStr">
        <is>
          <t>getAgentPosts</t>
        </is>
      </c>
      <c r="K9" s="5" t="inlineStr"/>
      <c r="L9" s="5" t="inlineStr"/>
      <c r="M9" s="5" t="inlineStr">
        <is>
          <t>TC-NOUS68_DEV-08 さらに読み込むで過去投稿の続きを追加し、失敗時は様式②「続きを読み込めませんでした」を出す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既存テスト：実装時のテスト（NOUS-68）</t>
        </is>
      </c>
    </row>
    <row r="10">
      <c r="A10" s="4" t="n">
        <v>6</v>
      </c>
      <c r="B10" s="4" t="inlineStr">
        <is>
          <t>TC-NOUS68_DEV-09</t>
        </is>
      </c>
      <c r="C10" s="5" t="inlineStr">
        <is>
          <t>AgentProfilePage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404 で「この住人は見つかりません」</t>
        </is>
      </c>
      <c r="G10" s="5" t="inlineStr">
        <is>
          <t>前提：QueryClient（retry なし）、MemoryRouter、ObserverLayout
入力：404</t>
        </is>
      </c>
      <c r="H10" s="5" t="inlineStr">
        <is>
          <t>全画面表示</t>
        </is>
      </c>
      <c r="I10" s="5" t="inlineStr">
        <is>
          <t>B1-T, B5-T</t>
        </is>
      </c>
      <c r="J10" s="5" t="inlineStr">
        <is>
          <t>getAgentProfile</t>
        </is>
      </c>
      <c r="K10" s="5" t="inlineStr"/>
      <c r="L10" s="5" t="inlineStr"/>
      <c r="M10" s="5" t="inlineStr">
        <is>
          <t>TC-NOUS68_DEV-09 404 AGENT_NOT_FOUND のとき様式③「この住人は見つかりません」とタイムラインへのリンクを出す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既存テスト：実装時のテスト（NOUS-68）</t>
        </is>
      </c>
    </row>
    <row r="11">
      <c r="A11" s="4" t="n">
        <v>7</v>
      </c>
      <c r="B11" s="4" t="inlineStr">
        <is>
          <t>TC-NOUS68_DEV-10</t>
        </is>
      </c>
      <c r="C11" s="5" t="inlineStr">
        <is>
          <t>AgentProfilePage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500 で「プロフィールを読み込めませんでした…」</t>
        </is>
      </c>
      <c r="G11" s="5" t="inlineStr">
        <is>
          <t>前提：QueryClient（retry なし）、MemoryRouter、ObserverLayout
入力：500</t>
        </is>
      </c>
      <c r="H11" s="5" t="inlineStr">
        <is>
          <t>alert</t>
        </is>
      </c>
      <c r="I11" s="5" t="inlineStr">
        <is>
          <t>B1-T</t>
        </is>
      </c>
      <c r="J11" s="5" t="inlineStr">
        <is>
          <t>getAgentProfile</t>
        </is>
      </c>
      <c r="K11" s="5" t="inlineStr"/>
      <c r="L11" s="5" t="inlineStr"/>
      <c r="M11" s="5" t="inlineStr">
        <is>
          <t>TC-NOUS68_DEV-10 500 エラーのとき様式②「プロフィールを読み込めませんでした。時間をおいて再読み込みしてください」を出す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既存テスト：実装時のテスト（NOUS-68）</t>
        </is>
      </c>
    </row>
    <row r="12">
      <c r="A12" s="4" t="n">
        <v>8</v>
      </c>
      <c r="B12" s="4" t="inlineStr">
        <is>
          <t>TC-NOUS68_DEV-11</t>
        </is>
      </c>
      <c r="C12" s="5" t="inlineStr">
        <is>
          <t>FollowsPage / FollowTabs / FollowRow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type なしで following、戻るリンク・タブ件数・行</t>
        </is>
      </c>
      <c r="G12" s="5" t="inlineStr">
        <is>
          <t>前提：QueryClient（retry なし）、MemoryRouter、ObserverLayout
入力：type なし</t>
        </is>
      </c>
      <c r="H12" s="5" t="inlineStr">
        <is>
          <t>各項目</t>
        </is>
      </c>
      <c r="I12" s="5" t="inlineStr">
        <is>
          <t>B10-F, B13-T, B18-T, B15-F, B16-F, B12-T, B11-F</t>
        </is>
      </c>
      <c r="J12" s="5" t="inlineStr">
        <is>
          <t>getAgentProfile・getFollows</t>
        </is>
      </c>
      <c r="K12" s="5" t="inlineStr"/>
      <c r="L12" s="5" t="inlineStr"/>
      <c r="M12" s="5" t="inlineStr">
        <is>
          <t>TC-NOUS68_DEV-11 type 指定なしでは following を選択し、戻るリンク・タブ件数・行（AIバッジ・停止中バッジ・開始時刻）を表示する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既存テスト：実装時のテスト（NOUS-68）</t>
        </is>
      </c>
    </row>
    <row r="13">
      <c r="A13" s="4" t="n">
        <v>9</v>
      </c>
      <c r="B13" s="4" t="inlineStr">
        <is>
          <t>TC-NOUS68_DEV-12</t>
        </is>
      </c>
      <c r="C13" s="5" t="inlineStr">
        <is>
          <t>FollowsPage / FollowTabs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タブで ?type が変わり一覧を取り直す</t>
        </is>
      </c>
      <c r="G13" s="5" t="inlineStr">
        <is>
          <t>前提：QueryClient（retry なし）、MemoryRouter、ObserverLayout
入力：タブを押す</t>
        </is>
      </c>
      <c r="H13" s="5" t="inlineStr">
        <is>
          <t>?type=followers、再取得</t>
        </is>
      </c>
      <c r="I13" s="5" t="inlineStr">
        <is>
          <t>B17-F, B10-T</t>
        </is>
      </c>
      <c r="J13" s="5" t="inlineStr">
        <is>
          <t>getFollows</t>
        </is>
      </c>
      <c r="K13" s="5" t="inlineStr"/>
      <c r="L13" s="5" t="inlineStr"/>
      <c r="M13" s="5" t="inlineStr">
        <is>
          <t>TC-NOUS68_DEV-12 タブを押すと URL の ?type が変わり、一覧を再取得する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既存テスト：実装時のテスト（NOUS-68）</t>
        </is>
      </c>
    </row>
    <row r="14">
      <c r="A14" s="4" t="n">
        <v>10</v>
      </c>
      <c r="B14" s="4" t="inlineStr">
        <is>
          <t>TC-NOUS68_DEV-13</t>
        </is>
      </c>
      <c r="C14" s="5" t="inlineStr">
        <is>
          <t>FollowsPage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following の 0 件の文言</t>
        </is>
      </c>
      <c r="G14" s="5" t="inlineStr">
        <is>
          <t>前提：QueryClient（retry なし）、MemoryRouter、ObserverLayout
入力：0 件</t>
        </is>
      </c>
      <c r="H14" s="5" t="inlineStr">
        <is>
          <t>フォロー中の住人はいません</t>
        </is>
      </c>
      <c r="I14" s="5" t="inlineStr">
        <is>
          <t>B14-T, B16-T</t>
        </is>
      </c>
      <c r="J14" s="5" t="inlineStr">
        <is>
          <t>getFollows</t>
        </is>
      </c>
      <c r="K14" s="5" t="inlineStr"/>
      <c r="L14" s="5" t="inlineStr"/>
      <c r="M14" s="5" t="inlineStr">
        <is>
          <t>TC-NOUS68_DEV-13 0 件のとき type=following に応じた空状態「フォロー中の住人はいません」を表示する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既存テスト：実装時のテスト（NOUS-68）</t>
        </is>
      </c>
    </row>
    <row r="15">
      <c r="A15" s="4" t="n">
        <v>11</v>
      </c>
      <c r="B15" s="4" t="inlineStr">
        <is>
          <t>TC-NOUS68_DEV-14</t>
        </is>
      </c>
      <c r="C15" s="5" t="inlineStr">
        <is>
          <t>FollowsPage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followers の 0 件の文言</t>
        </is>
      </c>
      <c r="G15" s="5" t="inlineStr">
        <is>
          <t>前提：QueryClient（retry なし）、MemoryRouter、ObserverLayout
入力：0 件</t>
        </is>
      </c>
      <c r="H15" s="5" t="inlineStr">
        <is>
          <t>フォロワーはいません</t>
        </is>
      </c>
      <c r="I15" s="5" t="inlineStr">
        <is>
          <t>B14-F, B16-T</t>
        </is>
      </c>
      <c r="J15" s="5" t="inlineStr">
        <is>
          <t>getFollows</t>
        </is>
      </c>
      <c r="K15" s="5" t="inlineStr"/>
      <c r="L15" s="5" t="inlineStr"/>
      <c r="M15" s="5" t="inlineStr">
        <is>
          <t>TC-NOUS68_DEV-14 0 件のとき type=followers に応じた空状態「フォロワーはいません」を表示する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既存テスト：実装時のテスト（NOUS-68）</t>
        </is>
      </c>
    </row>
    <row r="16">
      <c r="A16" s="4" t="n">
        <v>12</v>
      </c>
      <c r="B16" s="4" t="inlineStr">
        <is>
          <t>TC-NOUS68_DEV-15</t>
        </is>
      </c>
      <c r="C16" s="5" t="inlineStr">
        <is>
          <t>FollowRow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行を押すとプロフィールへ</t>
        </is>
      </c>
      <c r="G16" s="5" t="inlineStr">
        <is>
          <t>前提：QueryClient（retry なし）、MemoryRouter、ObserverLayout
入力：クリック</t>
        </is>
      </c>
      <c r="H16" s="5" t="inlineStr">
        <is>
          <t>/agents/:agentId</t>
        </is>
      </c>
      <c r="I16" s="5" t="inlineStr"/>
      <c r="J16" s="5" t="inlineStr">
        <is>
          <t>getFollows</t>
        </is>
      </c>
      <c r="K16" s="5" t="inlineStr"/>
      <c r="L16" s="5" t="inlineStr"/>
      <c r="M16" s="5" t="inlineStr">
        <is>
          <t>TC-NOUS68_DEV-15 行を押すとそのエージェントのプロフィール（/agents/:agentId）へ遷移する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既存テスト：実装時のテスト（NOUS-68）</t>
        </is>
      </c>
    </row>
    <row r="17">
      <c r="A17" s="4" t="n">
        <v>13</v>
      </c>
      <c r="B17" s="4" t="inlineStr">
        <is>
          <t>TC-NOUS68_DEV-16</t>
        </is>
      </c>
      <c r="C17" s="5" t="inlineStr">
        <is>
          <t>FollowsPage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404 で全画面、500 で様式②</t>
        </is>
      </c>
      <c r="G17" s="5" t="inlineStr">
        <is>
          <t>前提：QueryClient（retry なし）、MemoryRouter、ObserverLayout
入力：404・500</t>
        </is>
      </c>
      <c r="H17" s="5" t="inlineStr">
        <is>
          <t>全画面表示・alert</t>
        </is>
      </c>
      <c r="I17" s="5" t="inlineStr">
        <is>
          <t>B11-T</t>
        </is>
      </c>
      <c r="J17" s="5" t="inlineStr">
        <is>
          <t>getAgentProfile・getFollows</t>
        </is>
      </c>
      <c r="K17" s="5" t="inlineStr"/>
      <c r="L17" s="5" t="inlineStr"/>
      <c r="M17" s="5" t="inlineStr">
        <is>
          <t>TC-NOUS68_DEV-16 404 AGENT_NOT_FOUND のとき様式③「この住人は見つかりません」、500 のとき様式②「一覧を読み込めませんでした。時間をおいて再読み込みしてください」を出す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既存テスト：実装時のテスト（NOUS-68）</t>
        </is>
      </c>
    </row>
    <row r="18">
      <c r="A18" s="4" t="n">
        <v>14</v>
      </c>
      <c r="B18" s="4" t="inlineStr">
        <is>
          <t>TC-UT_P103-001</t>
        </is>
      </c>
      <c r="C18" s="5" t="inlineStr">
        <is>
          <t>AgentProfilePage</t>
        </is>
      </c>
      <c r="D18" s="4" t="inlineStr">
        <is>
          <t>正常系</t>
        </is>
      </c>
      <c r="E18" s="4" t="inlineStr">
        <is>
          <t>分岐網羅</t>
        </is>
      </c>
      <c r="F18" s="5" t="inlineStr">
        <is>
          <t>プロフィールの取得を待つ間は「読み込み中…」</t>
        </is>
      </c>
      <c r="G18" s="5" t="inlineStr">
        <is>
          <t>前提：QueryClient（retry なし）、MemoryRouter、ObserverLayout
入力：応答しない fetch</t>
        </is>
      </c>
      <c r="H18" s="5" t="inlineStr">
        <is>
          <t>読み込み中…</t>
        </is>
      </c>
      <c r="I18" s="5" t="inlineStr">
        <is>
          <t>B4-T</t>
        </is>
      </c>
      <c r="J18" s="5" t="inlineStr">
        <is>
          <t>fetch を vi.stubGlobal で差し替え（応答しない）</t>
        </is>
      </c>
      <c r="K18" s="5" t="inlineStr"/>
      <c r="L18" s="5" t="inlineStr"/>
      <c r="M18" s="5" t="inlineStr">
        <is>
          <t>TC-UT_P103-001 プロフィールの取得を待つ間は「読み込み中…」を出す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TC-UT_P103-002</t>
        </is>
      </c>
      <c r="C19" s="5" t="inlineStr">
        <is>
          <t>AgentProfilePage</t>
        </is>
      </c>
      <c r="D19" s="4" t="inlineStr">
        <is>
          <t>正常系</t>
        </is>
      </c>
      <c r="E19" s="4" t="inlineStr">
        <is>
          <t>境界値</t>
        </is>
      </c>
      <c r="F19" s="5" t="inlineStr">
        <is>
          <t>過去投稿が 0 件なら「まだ投稿はありません」</t>
        </is>
      </c>
      <c r="G19" s="5" t="inlineStr">
        <is>
          <t>前提：QueryClient（retry なし）、MemoryRouter、ObserverLayout
入力：過去投稿 0 件</t>
        </is>
      </c>
      <c r="H19" s="5" t="inlineStr">
        <is>
          <t>まだ投稿はありません</t>
        </is>
      </c>
      <c r="I19" s="5" t="inlineStr">
        <is>
          <t>B6-T</t>
        </is>
      </c>
      <c r="J19" s="5" t="inlineStr">
        <is>
          <t>fetch を vi.stubGlobal で差し替え</t>
        </is>
      </c>
      <c r="K19" s="5" t="inlineStr"/>
      <c r="L19" s="5" t="inlineStr"/>
      <c r="M19" s="5" t="inlineStr">
        <is>
          <t>TC-UT_P103-002 過去投稿が 0 件なら「まだ投稿はありません」を出す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TC-UT_P103-003</t>
        </is>
      </c>
      <c r="C20" s="5" t="inlineStr">
        <is>
          <t>CountsBar</t>
        </is>
      </c>
      <c r="D20" s="4" t="inlineStr">
        <is>
          <t>正常系</t>
        </is>
      </c>
      <c r="E20" s="4" t="inlineStr">
        <is>
          <t>同値分割</t>
        </is>
      </c>
      <c r="F20" s="5" t="inlineStr">
        <is>
          <t>フォロー中・フォロワーは agentId をエンコードした P104 へのリンク、投稿の数はリンクにしない</t>
        </is>
      </c>
      <c r="G20" s="5" t="inlineStr">
        <is>
          <t>前提：QueryClient（retry なし）、MemoryRouter、ObserverLayout
入力：agentId 'a/b'</t>
        </is>
      </c>
      <c r="H20" s="5" t="inlineStr">
        <is>
          <t>/agents/a%2Fb/follows?type=following・followers、投稿 4 はリンクなし</t>
        </is>
      </c>
      <c r="I20" s="5" t="inlineStr"/>
      <c r="J20" s="5" t="inlineStr">
        <is>
          <t>fetch を vi.stubGlobal で差し替え</t>
        </is>
      </c>
      <c r="K20" s="5" t="inlineStr"/>
      <c r="L20" s="5" t="inlineStr"/>
      <c r="M20" s="5" t="inlineStr">
        <is>
          <t>TC-UT_P103-003 フォロー中・フォロワーの数は agentId をエンコードした P104 へのリンクにし、投稿の数はリンクにしない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TC-NOUS68_DEV-04（リンク先は見ていない）
画面 P103 E02・E03</t>
        </is>
      </c>
    </row>
    <row r="21">
      <c r="A21" s="4" t="n">
        <v>17</v>
      </c>
      <c r="B21" s="4" t="inlineStr">
        <is>
          <t>TC-UT_P103-004</t>
        </is>
      </c>
      <c r="C21" s="5" t="inlineStr">
        <is>
          <t>AgentProfilePage</t>
        </is>
      </c>
      <c r="D21" s="4" t="inlineStr">
        <is>
          <t>正常系</t>
        </is>
      </c>
      <c r="E21" s="4" t="inlineStr">
        <is>
          <t>状態遷移</t>
        </is>
      </c>
      <c r="F21" s="5" t="inlineStr">
        <is>
          <t>続きの失敗のバナーは、もう一度押して成功したら消す</t>
        </is>
      </c>
      <c r="G21" s="5" t="inlineStr">
        <is>
          <t>前提：QueryClient（retry なし）、MemoryRouter、ObserverLayout
入力：続き 500 → 成功</t>
        </is>
      </c>
      <c r="H21" s="5" t="inlineStr">
        <is>
          <t>alert → なし、P0 を足す</t>
        </is>
      </c>
      <c r="I21" s="5" t="inlineStr">
        <is>
          <t>B2-T, B3-T</t>
        </is>
      </c>
      <c r="J21" s="5" t="inlineStr">
        <is>
          <t>fetch を vi.stubGlobal で差し替え</t>
        </is>
      </c>
      <c r="K21" s="5" t="inlineStr"/>
      <c r="L21" s="5" t="inlineStr"/>
      <c r="M21" s="5" t="inlineStr">
        <is>
          <t>TC-UT_P103-004 続きの取得の失敗のバナーは、もう一度押して成功したら消す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既存テスト：一部 TC-NOUS68_DEV-08（失敗まで）</t>
        </is>
      </c>
    </row>
    <row r="22">
      <c r="A22" s="4" t="n">
        <v>18</v>
      </c>
      <c r="B22" s="4" t="inlineStr">
        <is>
          <t>TC-UT_P103-005</t>
        </is>
      </c>
      <c r="C22" s="5" t="inlineStr">
        <is>
          <t>AgentProfilePage</t>
        </is>
      </c>
      <c r="D22" s="4" t="inlineStr">
        <is>
          <t>異常系</t>
        </is>
      </c>
      <c r="E22" s="4" t="inlineStr">
        <is>
          <t>分岐網羅</t>
        </is>
      </c>
      <c r="F22" s="5" t="inlineStr">
        <is>
          <t>プロフィールは取れて過去投稿が 500 なら「プロフィールを読み込めませんでした…」</t>
        </is>
      </c>
      <c r="G22" s="5" t="inlineStr">
        <is>
          <t>前提：QueryClient（retry なし）、MemoryRouter、ObserverLayout
入力：過去投稿 500</t>
        </is>
      </c>
      <c r="H22" s="5" t="inlineStr">
        <is>
          <t>alert、見出しは出す</t>
        </is>
      </c>
      <c r="I22" s="5" t="inlineStr">
        <is>
          <t>B1-T, B3-F</t>
        </is>
      </c>
      <c r="J22" s="5" t="inlineStr">
        <is>
          <t>fetch を vi.stubGlobal で差し替え</t>
        </is>
      </c>
      <c r="K22" s="5" t="inlineStr"/>
      <c r="L22" s="5" t="inlineStr"/>
      <c r="M22" s="5" t="inlineStr">
        <is>
          <t>TC-UT_P103-005 プロフィールは取れて過去投稿の取得が 500 なら「プロフィールを読み込めませんでした」を出す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TC-NOUS68_DEV-10（プロフィールの 500）</t>
        </is>
      </c>
    </row>
    <row r="23">
      <c r="A23" s="4" t="n">
        <v>19</v>
      </c>
      <c r="B23" s="4" t="inlineStr">
        <is>
          <t>TC-UT_P104-001</t>
        </is>
      </c>
      <c r="C23" s="5" t="inlineStr">
        <is>
          <t>FollowsPage</t>
        </is>
      </c>
      <c r="D23" s="4" t="inlineStr">
        <is>
          <t>異常系</t>
        </is>
      </c>
      <c r="E23" s="4" t="inlineStr">
        <is>
          <t>同値分割</t>
        </is>
      </c>
      <c r="F23" s="5" t="inlineStr">
        <is>
          <t>type が following・followers 以外ならフォロー中を選び type=following で取る</t>
        </is>
      </c>
      <c r="G23" s="5" t="inlineStr">
        <is>
          <t>前提：QueryClient（retry なし）、MemoryRouter、ObserverLayout
入力：?type=abc</t>
        </is>
      </c>
      <c r="H23" s="5" t="inlineStr">
        <is>
          <t>フォロー中のタブが選ばれる、type=following</t>
        </is>
      </c>
      <c r="I23" s="5" t="inlineStr">
        <is>
          <t>B10-F</t>
        </is>
      </c>
      <c r="J23" s="5" t="inlineStr">
        <is>
          <t>fetch を vi.stubGlobal で差し替え</t>
        </is>
      </c>
      <c r="K23" s="5" t="inlineStr"/>
      <c r="L23" s="5" t="inlineStr"/>
      <c r="M23" s="5" t="inlineStr">
        <is>
          <t>TC-UT_P104-001 type が following・followers 以外なら、フォロー中を選んで type=following で取る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
確認事項 1。設計書に記載なし。実装の値</t>
        </is>
      </c>
    </row>
    <row r="24">
      <c r="A24" s="4" t="n">
        <v>20</v>
      </c>
      <c r="B24" s="4" t="inlineStr">
        <is>
          <t>TC-UT_P104-002</t>
        </is>
      </c>
      <c r="C24" s="5" t="inlineStr">
        <is>
          <t>FollowsPage</t>
        </is>
      </c>
      <c r="D24" s="4" t="inlineStr">
        <is>
          <t>正常系</t>
        </is>
      </c>
      <c r="E24" s="4" t="inlineStr">
        <is>
          <t>同値分割</t>
        </is>
      </c>
      <c r="F24" s="5" t="inlineStr">
        <is>
          <t>type=followers ならフォロワーを選び type=followers で取り、戻るリンクは持ち主へ</t>
        </is>
      </c>
      <c r="G24" s="5" t="inlineStr">
        <is>
          <t>前提：QueryClient（retry なし）、MemoryRouter、ObserverLayout
入力：?type=followers</t>
        </is>
      </c>
      <c r="H24" s="5" t="inlineStr">
        <is>
          <t>フォロワー（3）が選ばれる、← ミカのプロフィールへ戻る（/agents/01A）</t>
        </is>
      </c>
      <c r="I24" s="5" t="inlineStr">
        <is>
          <t>B10-T, B13-T</t>
        </is>
      </c>
      <c r="J24" s="5" t="inlineStr">
        <is>
          <t>fetch を vi.stubGlobal で差し替え</t>
        </is>
      </c>
      <c r="K24" s="5" t="inlineStr"/>
      <c r="L24" s="5" t="inlineStr"/>
      <c r="M24" s="5" t="inlineStr">
        <is>
          <t>TC-UT_P104-002 type=followers ならフォロワーを選んで type=followers で取り、戻るリンクは持ち主のプロフィールへ向ける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TC-NOUS68_DEV-12（タブを押した後）</t>
        </is>
      </c>
    </row>
    <row r="25">
      <c r="A25" s="4" t="n">
        <v>21</v>
      </c>
      <c r="B25" s="4" t="inlineStr">
        <is>
          <t>TC-UT_P104-003</t>
        </is>
      </c>
      <c r="C25" s="5" t="inlineStr">
        <is>
          <t>FollowsPage / FollowTabs</t>
        </is>
      </c>
      <c r="D25" s="4" t="inlineStr">
        <is>
          <t>正常系</t>
        </is>
      </c>
      <c r="E25" s="4" t="inlineStr">
        <is>
          <t>分岐網羅</t>
        </is>
      </c>
      <c r="F25" s="5" t="inlineStr">
        <is>
          <t>持ち主がまだ無いときは「← プロフィールへ戻る」、タブに件数を付けない</t>
        </is>
      </c>
      <c r="G25" s="5" t="inlineStr">
        <is>
          <t>前提：QueryClient（retry なし）、MemoryRouter、ObserverLayout
入力：持ち主は応答しない</t>
        </is>
      </c>
      <c r="H25" s="5" t="inlineStr">
        <is>
          <t>← プロフィールへ戻る、フォロー中・フォロワー</t>
        </is>
      </c>
      <c r="I25" s="5" t="inlineStr">
        <is>
          <t>B13-F, B18-F</t>
        </is>
      </c>
      <c r="J25" s="5" t="inlineStr">
        <is>
          <t>fetch を vi.stubGlobal で差し替え（持ち主は応答しない）</t>
        </is>
      </c>
      <c r="K25" s="5" t="inlineStr"/>
      <c r="L25" s="5" t="inlineStr"/>
      <c r="M25" s="5" t="inlineStr">
        <is>
          <t>TC-UT_P104-003 持ち主のプロフィールがまだ無いときは「← プロフィールへ戻る」と出し、タブに件数を付けない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TC-UT_P104-004</t>
        </is>
      </c>
      <c r="C26" s="5" t="inlineStr">
        <is>
          <t>FollowTabs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選ばれているタブを押しても URL も一覧も変えない</t>
        </is>
      </c>
      <c r="G26" s="5" t="inlineStr">
        <is>
          <t>前提：QueryClient（retry なし）、MemoryRouter、ObserverLayout
入力：フォロー中を押す</t>
        </is>
      </c>
      <c r="H26" s="5" t="inlineStr">
        <is>
          <t>URL そのまま、取得 1 回</t>
        </is>
      </c>
      <c r="I26" s="5" t="inlineStr">
        <is>
          <t>B17-T</t>
        </is>
      </c>
      <c r="J26" s="5" t="inlineStr">
        <is>
          <t>fetch を vi.stubGlobal で差し替え</t>
        </is>
      </c>
      <c r="K26" s="5" t="inlineStr"/>
      <c r="L26" s="5" t="inlineStr"/>
      <c r="M26" s="5" t="inlineStr">
        <is>
          <t>TC-UT_P104-004 選ばれているタブを押しても、URL も一覧も変えない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
画面 P104 E02：選ばれていないタブ</t>
        </is>
      </c>
    </row>
    <row r="27">
      <c r="A27" s="4" t="n">
        <v>23</v>
      </c>
      <c r="B27" s="4" t="inlineStr">
        <is>
          <t>TC-UT_P104-005</t>
        </is>
      </c>
      <c r="C27" s="5" t="inlineStr">
        <is>
          <t>FollowRow</t>
        </is>
      </c>
      <c r="D27" s="4" t="inlineStr">
        <is>
          <t>正常系</t>
        </is>
      </c>
      <c r="E27" s="4" t="inlineStr">
        <is>
          <t>同値分割</t>
        </is>
      </c>
      <c r="F27" s="5" t="inlineStr">
        <is>
          <t>行にフォーカスして Enter・スペースでプロフィールへ</t>
        </is>
      </c>
      <c r="G27" s="5" t="inlineStr">
        <is>
          <t>前提：QueryClient（retry なし）、MemoryRouter、ObserverLayout
入力：Enter・' '</t>
        </is>
      </c>
      <c r="H27" s="5" t="inlineStr">
        <is>
          <t>/agents/01B</t>
        </is>
      </c>
      <c r="I27" s="5" t="inlineStr">
        <is>
          <t>B19-T</t>
        </is>
      </c>
      <c r="J27" s="5" t="inlineStr">
        <is>
          <t>fetch を vi.stubGlobal で差し替え</t>
        </is>
      </c>
      <c r="K27" s="5" t="inlineStr"/>
      <c r="L27" s="5" t="inlineStr"/>
      <c r="M27" s="5" t="inlineStr">
        <is>
          <t>TC-UT_P104-005 行にフォーカスして Enter・スペースを押すと、そのエージェントのプロフィールへ移る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TC-NOUS68_DEV-15（クリックだけ）</t>
        </is>
      </c>
    </row>
    <row r="28">
      <c r="A28" s="4" t="n">
        <v>24</v>
      </c>
      <c r="B28" s="4" t="inlineStr">
        <is>
          <t>TC-UT_P104-006</t>
        </is>
      </c>
      <c r="C28" s="5" t="inlineStr">
        <is>
          <t>FollowRow</t>
        </is>
      </c>
      <c r="D28" s="4" t="inlineStr">
        <is>
          <t>異常系</t>
        </is>
      </c>
      <c r="E28" s="4" t="inlineStr">
        <is>
          <t>分岐網羅</t>
        </is>
      </c>
      <c r="F28" s="5" t="inlineStr">
        <is>
          <t>行で Enter・スペース以外のキーでは移らない</t>
        </is>
      </c>
      <c r="G28" s="5" t="inlineStr">
        <is>
          <t>前提：QueryClient（retry なし）、MemoryRouter、ObserverLayout
入力：'a'</t>
        </is>
      </c>
      <c r="H28" s="5" t="inlineStr">
        <is>
          <t>URL そのまま</t>
        </is>
      </c>
      <c r="I28" s="5" t="inlineStr">
        <is>
          <t>B19-F</t>
        </is>
      </c>
      <c r="J28" s="5" t="inlineStr">
        <is>
          <t>fetch を vi.stubGlobal で差し替え</t>
        </is>
      </c>
      <c r="K28" s="5" t="inlineStr"/>
      <c r="L28" s="5" t="inlineStr"/>
      <c r="M28" s="5" t="inlineStr">
        <is>
          <t>TC-UT_P104-006 行で Enter・スペース以外のキーを押しても移らない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</t>
        </is>
      </c>
    </row>
    <row r="29">
      <c r="A29" s="4" t="n">
        <v>25</v>
      </c>
      <c r="B29" s="4" t="inlineStr">
        <is>
          <t>TC-UT_P104-007</t>
        </is>
      </c>
      <c r="C29" s="5" t="inlineStr">
        <is>
          <t>FollowsPage</t>
        </is>
      </c>
      <c r="D29" s="4" t="inlineStr">
        <is>
          <t>正常系</t>
        </is>
      </c>
      <c r="E29" s="4" t="inlineStr">
        <is>
          <t>状態遷移</t>
        </is>
      </c>
      <c r="F29" s="5" t="inlineStr">
        <is>
          <t>タブの切り替えで失敗したら「一覧を読み込めませんでした…」、戻して成功したら消す</t>
        </is>
      </c>
      <c r="G29" s="5" t="inlineStr">
        <is>
          <t>前提：QueryClient（retry なし）、MemoryRouter、ObserverLayout
入力：followers 500 → following</t>
        </is>
      </c>
      <c r="H29" s="5" t="inlineStr">
        <is>
          <t>alert → なし、レン</t>
        </is>
      </c>
      <c r="I29" s="5" t="inlineStr">
        <is>
          <t>B11-T, B12-T</t>
        </is>
      </c>
      <c r="J29" s="5" t="inlineStr">
        <is>
          <t>fetch を vi.stubGlobal で差し替え</t>
        </is>
      </c>
      <c r="K29" s="5" t="inlineStr"/>
      <c r="L29" s="5" t="inlineStr"/>
      <c r="M29" s="5" t="inlineStr">
        <is>
          <t>TC-UT_P104-007 タブの切り替えで取得に失敗したら「一覧を読み込めませんでした」を出し、戻して成功したら消す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TC-NOUS68_DEV-16（最初の取得の 500）
画面 P104 E02</t>
        </is>
      </c>
    </row>
    <row r="30">
      <c r="A30" s="4" t="n">
        <v>26</v>
      </c>
      <c r="B30" s="4" t="inlineStr">
        <is>
          <t>TC-UT_P104-008</t>
        </is>
      </c>
      <c r="C30" s="5" t="inlineStr">
        <is>
          <t>FollowsPage</t>
        </is>
      </c>
      <c r="D30" s="4" t="inlineStr">
        <is>
          <t>異常系</t>
        </is>
      </c>
      <c r="E30" s="4" t="inlineStr">
        <is>
          <t>分岐網羅</t>
        </is>
      </c>
      <c r="F30" s="5" t="inlineStr">
        <is>
          <t>一覧は取れても持ち主が 404 なら「この住人は見つかりません」の全画面表示</t>
        </is>
      </c>
      <c r="G30" s="5" t="inlineStr">
        <is>
          <t>前提：QueryClient（retry なし）、MemoryRouter、ObserverLayout
入力：持ち主 404</t>
        </is>
      </c>
      <c r="H30" s="5" t="inlineStr">
        <is>
          <t>全画面表示</t>
        </is>
      </c>
      <c r="I30" s="5" t="inlineStr">
        <is>
          <t>B11-T, B12-F</t>
        </is>
      </c>
      <c r="J30" s="5" t="inlineStr">
        <is>
          <t>fetch を vi.stubGlobal で差し替え</t>
        </is>
      </c>
      <c r="K30" s="5" t="inlineStr"/>
      <c r="L30" s="5" t="inlineStr"/>
      <c r="M30" s="5" t="inlineStr">
        <is>
          <t>TC-UT_P104-008 一覧は取れても持ち主が 404 なら「この住人は見つかりません」の全画面表示にする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TC-NOUS68_DEV-16（どちらの 404 かは見ていない）</t>
        </is>
      </c>
    </row>
    <row r="31">
      <c r="A31" s="4" t="n">
        <v>27</v>
      </c>
      <c r="B31" s="4" t="inlineStr">
        <is>
          <t>TC-UT_P104-009</t>
        </is>
      </c>
      <c r="C31" s="5" t="inlineStr">
        <is>
          <t>FollowsPage</t>
        </is>
      </c>
      <c r="D31" s="4" t="inlineStr">
        <is>
          <t>正常系</t>
        </is>
      </c>
      <c r="E31" s="4" t="inlineStr">
        <is>
          <t>分岐網羅</t>
        </is>
      </c>
      <c r="F31" s="5" t="inlineStr">
        <is>
          <t>一覧の取得を待つ間は「読み込み中…」</t>
        </is>
      </c>
      <c r="G31" s="5" t="inlineStr">
        <is>
          <t>前提：QueryClient（retry なし）、MemoryRouter、ObserverLayout
入力：応答しない fetch</t>
        </is>
      </c>
      <c r="H31" s="5" t="inlineStr">
        <is>
          <t>読み込み中…</t>
        </is>
      </c>
      <c r="I31" s="5" t="inlineStr">
        <is>
          <t>B15-T</t>
        </is>
      </c>
      <c r="J31" s="5" t="inlineStr">
        <is>
          <t>fetch を vi.stubGlobal で差し替え（応答しない）</t>
        </is>
      </c>
      <c r="K31" s="5" t="inlineStr"/>
      <c r="L31" s="5" t="inlineStr"/>
      <c r="M31" s="5" t="inlineStr">
        <is>
          <t>TC-UT_P104-009 一覧の取得を待つ間は「読み込み中…」を出す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</sheetData>
  <autoFilter ref="A4:Q31"/>
  <conditionalFormatting sqref="A5:Q81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1" showDropDown="0" showInputMessage="0" showErrorMessage="0" allowBlank="1" type="list">
      <formula1>"未実施,OK,NG,保留,対象外"</formula1>
    </dataValidation>
    <dataValidation sqref="D5:D81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COUNTA(観点表!$B$5:$B$81)</f>
        <v/>
      </c>
    </row>
    <row r="6">
      <c r="A6" s="10" t="inlineStr">
        <is>
          <t>正常系</t>
        </is>
      </c>
      <c r="B6" s="10">
        <f>COUNTIF(観点表!$D$5:$D$81,"正常系")</f>
        <v/>
      </c>
    </row>
    <row r="7">
      <c r="A7" s="10" t="inlineStr">
        <is>
          <t>異常系</t>
        </is>
      </c>
      <c r="B7" s="10">
        <f>COUNTIF(観点表!$D$5:$D$81,"異常系")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分岐網羅</t>
        </is>
      </c>
      <c r="B10" s="10">
        <f>COUNTIF(観点表!$E$5:$E$81,"分岐網羅")</f>
        <v/>
      </c>
    </row>
    <row r="11">
      <c r="A11" s="10" t="inlineStr">
        <is>
          <t>同値分割</t>
        </is>
      </c>
      <c r="B11" s="10">
        <f>COUNTIF(観点表!$E$5:$E$81,"同値分割")</f>
        <v/>
      </c>
    </row>
    <row r="12">
      <c r="A12" s="10" t="inlineStr">
        <is>
          <t>境界値</t>
        </is>
      </c>
      <c r="B12" s="10">
        <f>COUNTIF(観点表!$E$5:$E$81,"境界値")</f>
        <v/>
      </c>
    </row>
    <row r="13">
      <c r="A13" s="10" t="inlineStr">
        <is>
          <t>状態遷移</t>
        </is>
      </c>
      <c r="B13" s="10">
        <f>COUNTIF(観点表!$E$5:$E$81,"状態遷移")</f>
        <v/>
      </c>
    </row>
    <row r="14">
      <c r="A14" s="10" t="inlineStr">
        <is>
          <t>開発者テスト</t>
        </is>
      </c>
      <c r="B14" s="10">
        <f>COUNTIF(観点表!$E$5:$E$81,"開発者テスト")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COUNTIF(観点表!$K$5:$K$81,"?*")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COUNTIF(観点表!$N$5:$N$81,"未実施")</f>
        <v/>
      </c>
    </row>
    <row r="22">
      <c r="A22" s="10" t="inlineStr">
        <is>
          <t>OK</t>
        </is>
      </c>
      <c r="B22" s="10">
        <f>COUNTIF(観点表!$N$5:$N$81,"OK")</f>
        <v/>
      </c>
    </row>
    <row r="23">
      <c r="A23" s="10" t="inlineStr">
        <is>
          <t>NG</t>
        </is>
      </c>
      <c r="B23" s="10">
        <f>COUNTIF(観点表!$N$5:$N$81,"NG")</f>
        <v/>
      </c>
    </row>
    <row r="24">
      <c r="A24" s="10" t="inlineStr">
        <is>
          <t>保留</t>
        </is>
      </c>
      <c r="B24" s="10">
        <f>COUNTIF(観点表!$N$5:$N$81,"保留")</f>
        <v/>
      </c>
    </row>
    <row r="25">
      <c r="A25" s="10" t="inlineStr">
        <is>
          <t>対象外</t>
        </is>
      </c>
      <c r="B25" s="10">
        <f>COUNTIF(観点表!$N$5:$N$81,"対象外")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TC-NOUS68_DEV-04</t>
        </is>
      </c>
      <c r="B5" s="13" t="inlineStr">
        <is>
          <t>表示名・AI バッジ・ハンドル・AI である旨・自己紹介・人格 5 項目・数の行・過去投稿、書き込み部品なし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TC-NOUS68_DEV-05</t>
        </is>
      </c>
      <c r="B6" s="13" t="inlineStr">
        <is>
          <t>stopped なら停止中、bio が空なら自己紹介なし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TC-NOUS68_DEV-06</t>
        </is>
      </c>
      <c r="B7" s="13" t="inlineStr">
        <is>
          <t>自己紹介・人格・本文の HTML をテキストで描く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TC-NOUS68_DEV-07</t>
        </is>
      </c>
      <c r="B8" s="13" t="inlineStr">
        <is>
          <t>過去投稿を押すとスレッドへ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TC-NOUS68_DEV-08</t>
        </is>
      </c>
      <c r="B9" s="13" t="inlineStr">
        <is>
          <t>さらに読み込むで続きを足し、失敗で「続きを読み込めませんでした」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TC-NOUS68_DEV-09</t>
        </is>
      </c>
      <c r="B10" s="13" t="inlineStr">
        <is>
          <t>404 で「この住人は見つかりません」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TC-NOUS68_DEV-10</t>
        </is>
      </c>
      <c r="B11" s="13" t="inlineStr">
        <is>
          <t>500 で「プロフィールを読み込めませんでした…」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TC-NOUS68_DEV-11</t>
        </is>
      </c>
      <c r="B12" s="13" t="inlineStr">
        <is>
          <t>type なしで following、戻るリンク・タブ件数・行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TC-NOUS68_DEV-12</t>
        </is>
      </c>
      <c r="B13" s="13" t="inlineStr">
        <is>
          <t>タブで ?type が変わり一覧を取り直す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TC-NOUS68_DEV-13</t>
        </is>
      </c>
      <c r="B14" s="13" t="inlineStr">
        <is>
          <t>following の 0 件の文言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TC-NOUS68_DEV-14</t>
        </is>
      </c>
      <c r="B15" s="13" t="inlineStr">
        <is>
          <t>followers の 0 件の文言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TC-NOUS68_DEV-15</t>
        </is>
      </c>
      <c r="B16" s="13" t="inlineStr">
        <is>
          <t>行を押すとプロフィールへ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TC-NOUS68_DEV-16</t>
        </is>
      </c>
      <c r="B17" s="13" t="inlineStr">
        <is>
          <t>404 で全画面、500 で様式②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TC-UT_P103-001</t>
        </is>
      </c>
      <c r="B18" s="13" t="inlineStr">
        <is>
          <t>プロフィールの取得を待つ間は「読み込み中…」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TC-UT_P103-002</t>
        </is>
      </c>
      <c r="B19" s="13" t="inlineStr">
        <is>
          <t>過去投稿が 0 件なら「まだ投稿はありません」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TC-UT_P103-003</t>
        </is>
      </c>
      <c r="B20" s="13" t="inlineStr">
        <is>
          <t>フォロー中・フォロワーは agentId をエンコードした P104 へのリンク、投稿の数はリンクにしない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TC-UT_P103-004</t>
        </is>
      </c>
      <c r="B21" s="13" t="inlineStr">
        <is>
          <t>続きの失敗のバナーは、もう一度押して成功したら消す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TC-UT_P103-005</t>
        </is>
      </c>
      <c r="B22" s="13" t="inlineStr">
        <is>
          <t>プロフィールは取れて過去投稿が 500 なら「プロフィールを読み込めませんでした…」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TC-UT_P104-001</t>
        </is>
      </c>
      <c r="B23" s="13" t="inlineStr">
        <is>
          <t>type が following・followers 以外ならフォロー中を選び type=following で取る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TC-UT_P104-002</t>
        </is>
      </c>
      <c r="B24" s="13" t="inlineStr">
        <is>
          <t>type=followers ならフォロワーを選び type=followers で取り、戻るリンクは持ち主へ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TC-UT_P104-003</t>
        </is>
      </c>
      <c r="B25" s="13" t="inlineStr">
        <is>
          <t>持ち主がまだ無いときは「← プロフィールへ戻る」、タブに件数を付けない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TC-UT_P104-004</t>
        </is>
      </c>
      <c r="B26" s="13" t="inlineStr">
        <is>
          <t>選ばれているタブを押しても URL も一覧も変えない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TC-UT_P104-005</t>
        </is>
      </c>
      <c r="B27" s="13" t="inlineStr">
        <is>
          <t>行にフォーカスして Enter・スペースでプロフィールへ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TC-UT_P104-006</t>
        </is>
      </c>
      <c r="B28" s="13" t="inlineStr">
        <is>
          <t>行で Enter・スペース以外のキーでは移らない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TC-UT_P104-007</t>
        </is>
      </c>
      <c r="B29" s="13" t="inlineStr">
        <is>
          <t>タブの切り替えで失敗したら「一覧を読み込めませんでした…」、戻して成功したら消す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TC-UT_P104-008</t>
        </is>
      </c>
      <c r="B30" s="13" t="inlineStr">
        <is>
          <t>一覧は取れても持ち主が 404 なら「この住人は見つかりません」の全画面表示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TC-UT_P104-009</t>
        </is>
      </c>
      <c r="B31" s="13" t="inlineStr">
        <is>
          <t>一覧の取得を待つ間は「読み込み中…」</t>
        </is>
      </c>
      <c r="C31" s="13" t="inlineStr">
        <is>
          <t>未作成</t>
        </is>
      </c>
      <c r="D31" s="13" t="inlineStr"/>
      <c r="E31" s="13" t="inlineStr"/>
      <c r="F31" s="13" t="inlineStr"/>
    </row>
  </sheetData>
  <autoFilter ref="A4:F3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プロフィールとフォロー関係（P103 AgentProfilePage・profile/*、P104 FollowsPage・follows/*）</t>
        </is>
      </c>
    </row>
    <row r="4">
      <c r="A4" s="14" t="inlineStr">
        <is>
          <t>対象ファイル</t>
        </is>
      </c>
      <c r="B4" s="15" t="inlineStr">
        <is>
          <t>apps/observer/src/pages/AgentProfilePage.tsx, apps/observer/src/pages/profile/ProfileHeader.tsx, apps/observer/src/pages/profile/AttributeTable.tsx, apps/observer/src/pages/profile/CountsBar.tsx, apps/observer/src/pages/FollowsPage.tsx, apps/observer/src/pages/follows/FollowTabs.tsx, apps/observer/src/pages/follows/FollowRow.tsx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apps/observer/src/pages/AgentProfilePage.test.tsx, apps/observer/src/pages/AgentProfilePage.ut.test.tsx, apps/observer/src/pages/FollowsPage.test.tsx, apps/observer/src/pages/FollowsPage.ut.test.tsx</t>
        </is>
      </c>
    </row>
    <row r="7">
      <c r="A7" s="14" t="inlineStr">
        <is>
          <t>外部依存</t>
        </is>
      </c>
      <c r="B7" s="15" t="inlineStr">
        <is>
          <t>TanStack Query, react-router-dom（MemoryRouter、useSearchParams）, fetch, 共通の準備は apps/observer/src/test/observerUt.tsx（このチケットで新しく作った、単体テストだけが使う補助）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AgentProfilePage：プロフィールか過去投稿の最初の失敗がある</t>
        </is>
      </c>
      <c r="C11" s="17" t="inlineStr">
        <is>
          <t>AgentProfilePage.tsx:42-43</t>
        </is>
      </c>
    </row>
    <row r="12">
      <c r="A12" s="17" t="inlineStr">
        <is>
          <t>B2</t>
        </is>
      </c>
      <c r="B12" s="17" t="inlineStr">
        <is>
          <t>AgentProfilePage：続きの取得の失敗</t>
        </is>
      </c>
      <c r="C12" s="17" t="inlineStr">
        <is>
          <t>AgentProfilePage.tsx:49</t>
        </is>
      </c>
    </row>
    <row r="13">
      <c r="A13" s="17" t="inlineStr">
        <is>
          <t>B3</t>
        </is>
      </c>
      <c r="B13" s="17" t="inlineStr">
        <is>
          <t>AgentProfilePage：取れていて失敗が無い（バナーを消す）</t>
        </is>
      </c>
      <c r="C13" s="17" t="inlineStr">
        <is>
          <t>AgentProfilePage.tsx:55</t>
        </is>
      </c>
    </row>
    <row r="14">
      <c r="A14" s="17" t="inlineStr">
        <is>
          <t>B4</t>
        </is>
      </c>
      <c r="B14" s="17" t="inlineStr">
        <is>
          <t>AgentProfilePage：読み込み中でプロフィールが無い</t>
        </is>
      </c>
      <c r="C14" s="17" t="inlineStr">
        <is>
          <t>AgentProfilePage.tsx:64</t>
        </is>
      </c>
    </row>
    <row r="15">
      <c r="A15" s="17" t="inlineStr">
        <is>
          <t>B5</t>
        </is>
      </c>
      <c r="B15" s="17" t="inlineStr">
        <is>
          <t>AgentProfilePage：プロフィールが無い（何も描かない）</t>
        </is>
      </c>
      <c r="C15" s="17" t="inlineStr">
        <is>
          <t>AgentProfilePage.tsx:68</t>
        </is>
      </c>
    </row>
    <row r="16">
      <c r="A16" s="17" t="inlineStr">
        <is>
          <t>B6</t>
        </is>
      </c>
      <c r="B16" s="17" t="inlineStr">
        <is>
          <t>AgentProfilePage：過去投稿が 0 件で読み込みが終わった</t>
        </is>
      </c>
      <c r="C16" s="17" t="inlineStr">
        <is>
          <t>AgentProfilePage.tsx:83</t>
        </is>
      </c>
    </row>
    <row r="17">
      <c r="A17" s="17" t="inlineStr">
        <is>
          <t>B7</t>
        </is>
      </c>
      <c r="B17" s="17" t="inlineStr">
        <is>
          <t>AgentProfilePage：続きがある</t>
        </is>
      </c>
      <c r="C17" s="17" t="inlineStr">
        <is>
          <t>AgentProfilePage.tsx:88</t>
        </is>
      </c>
    </row>
    <row r="18">
      <c r="A18" s="17" t="inlineStr">
        <is>
          <t>B8</t>
        </is>
      </c>
      <c r="B18" s="17" t="inlineStr">
        <is>
          <t>ProfileHeader：state が stopped</t>
        </is>
      </c>
      <c r="C18" s="17" t="inlineStr">
        <is>
          <t>ProfileHeader.tsx:26</t>
        </is>
      </c>
    </row>
    <row r="19">
      <c r="A19" s="17" t="inlineStr">
        <is>
          <t>B9</t>
        </is>
      </c>
      <c r="B19" s="17" t="inlineStr">
        <is>
          <t>ProfileHeader：bio がある</t>
        </is>
      </c>
      <c r="C19" s="17" t="inlineStr">
        <is>
          <t>ProfileHeader.tsx:30</t>
        </is>
      </c>
    </row>
    <row r="20">
      <c r="A20" s="17" t="inlineStr">
        <is>
          <t>B10</t>
        </is>
      </c>
      <c r="B20" s="17" t="inlineStr">
        <is>
          <t>parseFollowType：followers</t>
        </is>
      </c>
      <c r="C20" s="17" t="inlineStr">
        <is>
          <t>FollowsPage.tsx:19</t>
        </is>
      </c>
    </row>
    <row r="21">
      <c r="A21" s="17" t="inlineStr">
        <is>
          <t>B11</t>
        </is>
      </c>
      <c r="B21" s="17" t="inlineStr">
        <is>
          <t>FollowsPage：持ち主か一覧の失敗がある</t>
        </is>
      </c>
      <c r="C21" s="17" t="inlineStr">
        <is>
          <t>FollowsPage.tsx:38-39</t>
        </is>
      </c>
    </row>
    <row r="22">
      <c r="A22" s="17" t="inlineStr">
        <is>
          <t>B12</t>
        </is>
      </c>
      <c r="B22" s="17" t="inlineStr">
        <is>
          <t>FollowsPage：一覧が取れて失敗が無い（バナーを消す）</t>
        </is>
      </c>
      <c r="C22" s="17" t="inlineStr">
        <is>
          <t>FollowsPage.tsx:45</t>
        </is>
      </c>
    </row>
    <row r="23">
      <c r="A23" s="17" t="inlineStr">
        <is>
          <t>B13</t>
        </is>
      </c>
      <c r="B23" s="17" t="inlineStr">
        <is>
          <t>FollowsPage：持ち主がある（件数と戻るリンクの名前）</t>
        </is>
      </c>
      <c r="C23" s="17" t="inlineStr">
        <is>
          <t>FollowsPage.tsx:55-56</t>
        </is>
      </c>
    </row>
    <row r="24">
      <c r="A24" s="17" t="inlineStr">
        <is>
          <t>B14</t>
        </is>
      </c>
      <c r="B24" s="17" t="inlineStr">
        <is>
          <t>FollowsPage：type が following（空の文言）</t>
        </is>
      </c>
      <c r="C24" s="17" t="inlineStr">
        <is>
          <t>FollowsPage.tsx:57</t>
        </is>
      </c>
    </row>
    <row r="25">
      <c r="A25" s="17" t="inlineStr">
        <is>
          <t>B15</t>
        </is>
      </c>
      <c r="B25" s="17" t="inlineStr">
        <is>
          <t>FollowsPage：読み込み中</t>
        </is>
      </c>
      <c r="C25" s="17" t="inlineStr">
        <is>
          <t>FollowsPage.tsx:73</t>
        </is>
      </c>
    </row>
    <row r="26">
      <c r="A26" s="17" t="inlineStr">
        <is>
          <t>B16</t>
        </is>
      </c>
      <c r="B26" s="17" t="inlineStr">
        <is>
          <t>FollowsPage：0 件で取れた</t>
        </is>
      </c>
      <c r="C26" s="17" t="inlineStr">
        <is>
          <t>FollowsPage.tsx:75</t>
        </is>
      </c>
    </row>
    <row r="27">
      <c r="A27" s="17" t="inlineStr">
        <is>
          <t>B17</t>
        </is>
      </c>
      <c r="B27" s="17" t="inlineStr">
        <is>
          <t>FollowTabs：選ばれているタブ（onChange しない）</t>
        </is>
      </c>
      <c r="C27" s="17" t="inlineStr">
        <is>
          <t>FollowTabs.tsx:46</t>
        </is>
      </c>
    </row>
    <row r="28">
      <c r="A28" s="17" t="inlineStr">
        <is>
          <t>B18</t>
        </is>
      </c>
      <c r="B28" s="17" t="inlineStr">
        <is>
          <t>FollowTabs：件数がある</t>
        </is>
      </c>
      <c r="C28" s="17" t="inlineStr">
        <is>
          <t>FollowTabs.tsx:37-38</t>
        </is>
      </c>
    </row>
    <row r="29">
      <c r="A29" s="17" t="inlineStr">
        <is>
          <t>B19</t>
        </is>
      </c>
      <c r="B29" s="17" t="inlineStr">
        <is>
          <t>FollowRow：行自身で Enter かスペース</t>
        </is>
      </c>
      <c r="C29" s="17" t="inlineStr">
        <is>
          <t>FollowRow.tsx:18</t>
        </is>
      </c>
    </row>
    <row r="31">
      <c r="A31" s="14" t="inlineStr">
        <is>
          <t>確認事項・潜在バグ</t>
        </is>
      </c>
    </row>
    <row r="32" ht="30" customHeight="1">
      <c r="A32" s="18" t="inlineStr">
        <is>
          <t>・確認事項 1：P104 の type が following・followers 以外のとき、画面はフォロー中として扱うが URL はそのまま残る（TC-UT_P104-001 は実装の値）。設計書 6章は「URL のパラメータはサーバーが検証し 400」としているが、画面は 400 になる前に following に読み替えている。どちらに揃えるか</t>
        </is>
      </c>
    </row>
  </sheetData>
  <mergeCells count="1">
    <mergeCell ref="A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2026-10-26T06:13:48Z</dcterms:created>
  <dcterms:modified xsi:type="dcterms:W3CDTF">2026-10-26T06:13:48Z</dcterms:modified>
</cp:coreProperties>
</file>