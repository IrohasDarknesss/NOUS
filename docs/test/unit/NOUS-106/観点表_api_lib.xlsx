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観点表" sheetId="1" state="visible" r:id="rId1"/>
    <sheet name="サマリ" sheetId="2" state="visible" r:id="rId2"/>
    <sheet name="テストデータ" sheetId="3" state="visible" r:id="rId3"/>
    <sheet name="対象概要" sheetId="4" state="visible" r:id="rId4"/>
  </sheets>
  <definedNames>
    <definedName name="_xlnm._FilterDatabase" localSheetId="0" hidden="1">'観点表'!$A$4:$Q$37</definedName>
    <definedName name="_xlnm.Print_Titles" localSheetId="0">'観点表'!$4:$4</definedName>
    <definedName name="_xlnm._FilterDatabase" localSheetId="2" hidden="1">'テストデータ'!$A$4:$F$37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i val="1"/>
      <color rgb="00595959"/>
      <sz val="9"/>
    </font>
    <font>
      <name val="Meiryo UI"/>
      <b val="1"/>
      <color rgb="00FFFFFF"/>
      <sz val="10"/>
    </font>
    <font>
      <name val="Meiryo UI"/>
      <sz val="10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5" fillId="4" borderId="0" pivotButton="0" quotePrefix="0" xfId="0"/>
    <xf numFmtId="0" fontId="0" fillId="4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3" fillId="2" borderId="1" applyAlignment="1" pivotButton="0" quotePrefix="0" xfId="0">
      <alignment horizontal="center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9" customWidth="1" min="4" max="4"/>
    <col width="11" customWidth="1" min="5" max="5"/>
    <col width="30" customWidth="1" min="6" max="6"/>
    <col width="32" customWidth="1" min="7" max="7"/>
    <col width="32" customWidth="1" min="8" max="8"/>
    <col width="13" customWidth="1" min="9" max="9"/>
    <col width="22" customWidth="1" min="10" max="10"/>
    <col width="30" customWidth="1" min="11" max="11"/>
    <col width="26" customWidth="1" min="12" max="12"/>
    <col width="30" customWidth="1" min="13" max="13"/>
    <col width="10" customWidth="1" min="14" max="14"/>
    <col width="11" customWidth="1" min="15" max="15"/>
    <col width="10" customWidth="1" min="16" max="16"/>
    <col width="30" customWidth="1" min="17" max="17"/>
  </cols>
  <sheetData>
    <row r="1">
      <c r="A1" s="1" t="inlineStr">
        <is>
          <t>テスト観点表: 観察画面の API の呼び出しと共通の関数（api/client・endpoints、lib/worldTime・scrollRestore）</t>
        </is>
      </c>
    </row>
    <row r="2">
      <c r="A2" s="2" t="inlineStr">
        <is>
          <t>黄色の列（実施結果・実施日・確認者・備考）を記入してください。観点やテストデータを修正した場合は import_test_matrix.py で JSON に取り込めます。</t>
        </is>
      </c>
    </row>
    <row r="4" ht="28" customHeight="1">
      <c r="A4" s="3" t="inlineStr">
        <is>
          <t>No</t>
        </is>
      </c>
      <c r="B4" s="3" t="inlineStr">
        <is>
          <t>ID</t>
        </is>
      </c>
      <c r="C4" s="3" t="inlineStr">
        <is>
          <t>対象</t>
        </is>
      </c>
      <c r="D4" s="3" t="inlineStr">
        <is>
          <t>分類</t>
        </is>
      </c>
      <c r="E4" s="3" t="inlineStr">
        <is>
          <t>技法</t>
        </is>
      </c>
      <c r="F4" s="3" t="inlineStr">
        <is>
          <t>観点</t>
        </is>
      </c>
      <c r="G4" s="3" t="inlineStr">
        <is>
          <t>入力・前提条件</t>
        </is>
      </c>
      <c r="H4" s="3" t="inlineStr">
        <is>
          <t>期待結果</t>
        </is>
      </c>
      <c r="I4" s="3" t="inlineStr">
        <is>
          <t>網羅する分岐</t>
        </is>
      </c>
      <c r="J4" s="3" t="inlineStr">
        <is>
          <t>モック</t>
        </is>
      </c>
      <c r="K4" s="3" t="inlineStr">
        <is>
          <t>テストデータ（具体値）</t>
        </is>
      </c>
      <c r="L4" s="3" t="inlineStr">
        <is>
          <t>データ参照</t>
        </is>
      </c>
      <c r="M4" s="3" t="inlineStr">
        <is>
          <t>テスト関数名</t>
        </is>
      </c>
      <c r="N4" s="3" t="inlineStr">
        <is>
          <t>実施結果</t>
        </is>
      </c>
      <c r="O4" s="3" t="inlineStr">
        <is>
          <t>実施日</t>
        </is>
      </c>
      <c r="P4" s="3" t="inlineStr">
        <is>
          <t>確認者</t>
        </is>
      </c>
      <c r="Q4" s="3" t="inlineStr">
        <is>
          <t>備考</t>
        </is>
      </c>
    </row>
    <row r="5">
      <c r="A5" s="4" t="n">
        <v>1</v>
      </c>
      <c r="B5" s="4" t="inlineStr">
        <is>
          <t>TC-NOUS49_DEV-01</t>
        </is>
      </c>
      <c r="C5" s="5" t="inlineStr">
        <is>
          <t>fetchJson</t>
        </is>
      </c>
      <c r="D5" s="4" t="inlineStr">
        <is>
          <t>正常系</t>
        </is>
      </c>
      <c r="E5" s="4" t="inlineStr">
        <is>
          <t>開発者テスト</t>
        </is>
      </c>
      <c r="F5" s="5" t="inlineStr">
        <is>
          <t>2xx なら JSON を返し、credentials を same-origin にする</t>
        </is>
      </c>
      <c r="G5" s="5" t="inlineStr">
        <is>
          <t>前提：なし
入力：200 の応答</t>
        </is>
      </c>
      <c r="H5" s="5" t="inlineStr">
        <is>
          <t>本文の JSON</t>
        </is>
      </c>
      <c r="I5" s="5" t="inlineStr">
        <is>
          <t>B1-F, B2-F, B3-F</t>
        </is>
      </c>
      <c r="J5" s="5" t="inlineStr">
        <is>
          <t>fetch を vi.stubGlobal で差し替え</t>
        </is>
      </c>
      <c r="K5" s="5" t="inlineStr"/>
      <c r="L5" s="5" t="inlineStr"/>
      <c r="M5" s="5" t="inlineStr">
        <is>
          <t>TC-NOUS49_DEV-01 2xx なら JSON を返し、Cookie を同じオリジンで送る</t>
        </is>
      </c>
      <c r="N5" s="6" t="inlineStr">
        <is>
          <t>未実施</t>
        </is>
      </c>
      <c r="O5" s="6" t="inlineStr"/>
      <c r="P5" s="6" t="inlineStr"/>
      <c r="Q5" s="7" t="inlineStr">
        <is>
          <t>既存テスト：実装時のテスト（NOUS-49）</t>
        </is>
      </c>
    </row>
    <row r="6">
      <c r="A6" s="4" t="n">
        <v>2</v>
      </c>
      <c r="B6" s="4" t="inlineStr">
        <is>
          <t>TC-NOUS49_DEV-02</t>
        </is>
      </c>
      <c r="C6" s="5" t="inlineStr">
        <is>
          <t>fetchJson</t>
        </is>
      </c>
      <c r="D6" s="4" t="inlineStr">
        <is>
          <t>異常系</t>
        </is>
      </c>
      <c r="E6" s="4" t="inlineStr">
        <is>
          <t>開発者テスト</t>
        </is>
      </c>
      <c r="F6" s="5" t="inlineStr">
        <is>
          <t>401 なら /not-invited へ移して NotInvitedError</t>
        </is>
      </c>
      <c r="G6" s="5" t="inlineStr">
        <is>
          <t>前提：なし
入力：401</t>
        </is>
      </c>
      <c r="H6" s="5" t="inlineStr">
        <is>
          <t>NotInvitedError、toNotInvited を呼ぶ</t>
        </is>
      </c>
      <c r="I6" s="5" t="inlineStr">
        <is>
          <t>B2-T</t>
        </is>
      </c>
      <c r="J6" s="5" t="inlineStr">
        <is>
          <t>fetch を vi.stubGlobal で差し替え、navigation.toNotInvited</t>
        </is>
      </c>
      <c r="K6" s="5" t="inlineStr"/>
      <c r="L6" s="5" t="inlineStr"/>
      <c r="M6" s="5" t="inlineStr">
        <is>
          <t>TC-NOUS49_DEV-02 401 なら /not-invited へ移して NotInvitedError を投げる</t>
        </is>
      </c>
      <c r="N6" s="6" t="inlineStr">
        <is>
          <t>未実施</t>
        </is>
      </c>
      <c r="O6" s="6" t="inlineStr"/>
      <c r="P6" s="6" t="inlineStr"/>
      <c r="Q6" s="7" t="inlineStr">
        <is>
          <t>既存テスト：実装時のテスト（NOUS-49）</t>
        </is>
      </c>
    </row>
    <row r="7">
      <c r="A7" s="4" t="n">
        <v>3</v>
      </c>
      <c r="B7" s="4" t="inlineStr">
        <is>
          <t>TC-NOUS49_DEV-03</t>
        </is>
      </c>
      <c r="C7" s="5" t="inlineStr">
        <is>
          <t>fetchJson</t>
        </is>
      </c>
      <c r="D7" s="4" t="inlineStr">
        <is>
          <t>異常系</t>
        </is>
      </c>
      <c r="E7" s="4" t="inlineStr">
        <is>
          <t>開発者テスト</t>
        </is>
      </c>
      <c r="F7" s="5" t="inlineStr">
        <is>
          <t>2xx 以外は本文の error を ApiError にする</t>
        </is>
      </c>
      <c r="G7" s="5" t="inlineStr">
        <is>
          <t>前提：なし
入力：500 と error の本文</t>
        </is>
      </c>
      <c r="H7" s="5" t="inlineStr">
        <is>
          <t>ApiError（status・code）</t>
        </is>
      </c>
      <c r="I7" s="5" t="inlineStr">
        <is>
          <t>B3-T, B4-T</t>
        </is>
      </c>
      <c r="J7" s="5" t="inlineStr">
        <is>
          <t>fetch を vi.stubGlobal で差し替え</t>
        </is>
      </c>
      <c r="K7" s="5" t="inlineStr"/>
      <c r="L7" s="5" t="inlineStr"/>
      <c r="M7" s="5" t="inlineStr">
        <is>
          <t>TC-NOUS49_DEV-03 2xx 以外は本文の error を ApiError にする</t>
        </is>
      </c>
      <c r="N7" s="6" t="inlineStr">
        <is>
          <t>未実施</t>
        </is>
      </c>
      <c r="O7" s="6" t="inlineStr"/>
      <c r="P7" s="6" t="inlineStr"/>
      <c r="Q7" s="7" t="inlineStr">
        <is>
          <t>既存テスト：実装時のテスト（NOUS-49）</t>
        </is>
      </c>
    </row>
    <row r="8">
      <c r="A8" s="4" t="n">
        <v>4</v>
      </c>
      <c r="B8" s="4" t="inlineStr">
        <is>
          <t>TC-NOUS49_DEV-04</t>
        </is>
      </c>
      <c r="C8" s="5" t="inlineStr">
        <is>
          <t>fetchJson</t>
        </is>
      </c>
      <c r="D8" s="4" t="inlineStr">
        <is>
          <t>異常系</t>
        </is>
      </c>
      <c r="E8" s="4" t="inlineStr">
        <is>
          <t>開発者テスト</t>
        </is>
      </c>
      <c r="F8" s="5" t="inlineStr">
        <is>
          <t>本文が JSON でない失敗は code を null</t>
        </is>
      </c>
      <c r="G8" s="5" t="inlineStr">
        <is>
          <t>前提：なし
入力：500 と文字の本文</t>
        </is>
      </c>
      <c r="H8" s="5" t="inlineStr">
        <is>
          <t>ApiError（code null）</t>
        </is>
      </c>
      <c r="I8" s="5" t="inlineStr">
        <is>
          <t>B4-F, B5-T</t>
        </is>
      </c>
      <c r="J8" s="5" t="inlineStr">
        <is>
          <t>fetch を vi.stubGlobal で差し替え</t>
        </is>
      </c>
      <c r="K8" s="5" t="inlineStr"/>
      <c r="L8" s="5" t="inlineStr"/>
      <c r="M8" s="5" t="inlineStr">
        <is>
          <t>TC-NOUS49_DEV-04 本文が JSON でない失敗は code を null にする</t>
        </is>
      </c>
      <c r="N8" s="6" t="inlineStr">
        <is>
          <t>未実施</t>
        </is>
      </c>
      <c r="O8" s="6" t="inlineStr"/>
      <c r="P8" s="6" t="inlineStr"/>
      <c r="Q8" s="7" t="inlineStr">
        <is>
          <t>既存テスト：実装時のテスト（NOUS-49）</t>
        </is>
      </c>
    </row>
    <row r="9">
      <c r="A9" s="4" t="n">
        <v>5</v>
      </c>
      <c r="B9" s="4" t="inlineStr">
        <is>
          <t>TC-NOUS49_DEV-05</t>
        </is>
      </c>
      <c r="C9" s="5" t="inlineStr">
        <is>
          <t>fetchJson</t>
        </is>
      </c>
      <c r="D9" s="4" t="inlineStr">
        <is>
          <t>異常系</t>
        </is>
      </c>
      <c r="E9" s="4" t="inlineStr">
        <is>
          <t>開発者テスト</t>
        </is>
      </c>
      <c r="F9" s="5" t="inlineStr">
        <is>
          <t>通信できなければ NetworkError</t>
        </is>
      </c>
      <c r="G9" s="5" t="inlineStr">
        <is>
          <t>前提：なし
入力：fetch が reject</t>
        </is>
      </c>
      <c r="H9" s="5" t="inlineStr">
        <is>
          <t>NetworkError</t>
        </is>
      </c>
      <c r="I9" s="5" t="inlineStr">
        <is>
          <t>B1-T</t>
        </is>
      </c>
      <c r="J9" s="5" t="inlineStr">
        <is>
          <t>fetch を vi.stubGlobal で差し替え</t>
        </is>
      </c>
      <c r="K9" s="5" t="inlineStr"/>
      <c r="L9" s="5" t="inlineStr"/>
      <c r="M9" s="5" t="inlineStr">
        <is>
          <t>TC-NOUS49_DEV-05 通信できなければ NetworkError を投げる</t>
        </is>
      </c>
      <c r="N9" s="6" t="inlineStr">
        <is>
          <t>未実施</t>
        </is>
      </c>
      <c r="O9" s="6" t="inlineStr"/>
      <c r="P9" s="6" t="inlineStr"/>
      <c r="Q9" s="7" t="inlineStr">
        <is>
          <t>既存テスト：実装時のテスト（NOUS-49）</t>
        </is>
      </c>
    </row>
    <row r="10">
      <c r="A10" s="4" t="n">
        <v>6</v>
      </c>
      <c r="B10" s="4" t="inlineStr">
        <is>
          <t>TC-NOUS49_DEV-06</t>
        </is>
      </c>
      <c r="C10" s="5" t="inlineStr">
        <is>
          <t>withQuery</t>
        </is>
      </c>
      <c r="D10" s="4" t="inlineStr">
        <is>
          <t>正常系</t>
        </is>
      </c>
      <c r="E10" s="4" t="inlineStr">
        <is>
          <t>開発者テスト</t>
        </is>
      </c>
      <c r="F10" s="5" t="inlineStr">
        <is>
          <t>undefined の項目を付けない</t>
        </is>
      </c>
      <c r="G10" s="5" t="inlineStr">
        <is>
          <t>前提：なし
入力：一部が undefined</t>
        </is>
      </c>
      <c r="H10" s="5" t="inlineStr">
        <is>
          <t>定義された項目だけ</t>
        </is>
      </c>
      <c r="I10" s="5" t="inlineStr">
        <is>
          <t>B6-T, B6-F, B7-T</t>
        </is>
      </c>
      <c r="J10" s="5" t="inlineStr">
        <is>
          <t>なし</t>
        </is>
      </c>
      <c r="K10" s="5" t="inlineStr"/>
      <c r="L10" s="5" t="inlineStr"/>
      <c r="M10" s="5" t="inlineStr">
        <is>
          <t>TC-NOUS49_DEV-06 withQuery は undefined の項目を付けない</t>
        </is>
      </c>
      <c r="N10" s="6" t="inlineStr">
        <is>
          <t>未実施</t>
        </is>
      </c>
      <c r="O10" s="6" t="inlineStr"/>
      <c r="P10" s="6" t="inlineStr"/>
      <c r="Q10" s="7" t="inlineStr">
        <is>
          <t>既存テスト：実装時のテスト（NOUS-49）</t>
        </is>
      </c>
    </row>
    <row r="11">
      <c r="A11" s="4" t="n">
        <v>7</v>
      </c>
      <c r="B11" s="4" t="inlineStr">
        <is>
          <t>TC-NOUS49_DEV-07</t>
        </is>
      </c>
      <c r="C11" s="5" t="inlineStr">
        <is>
          <t>getTimeline</t>
        </is>
      </c>
      <c r="D11" s="4" t="inlineStr">
        <is>
          <t>正常系</t>
        </is>
      </c>
      <c r="E11" s="4" t="inlineStr">
        <is>
          <t>開発者テスト</t>
        </is>
      </c>
      <c r="F11" s="5" t="inlineStr">
        <is>
          <t>limit と since を付けて呼ぶ</t>
        </is>
      </c>
      <c r="G11" s="5" t="inlineStr">
        <is>
          <t>前提：なし
入力：{ limit, since }</t>
        </is>
      </c>
      <c r="H11" s="5" t="inlineStr">
        <is>
          <t>クエリ付きの URL</t>
        </is>
      </c>
      <c r="I11" s="5" t="inlineStr">
        <is>
          <t>B6-T</t>
        </is>
      </c>
      <c r="J11" s="5" t="inlineStr">
        <is>
          <t>fetch を vi.stubGlobal で差し替え</t>
        </is>
      </c>
      <c r="K11" s="5" t="inlineStr"/>
      <c r="L11" s="5" t="inlineStr"/>
      <c r="M11" s="5" t="inlineStr">
        <is>
          <t>TC-NOUS49_DEV-07 getTimeline は limit と since を付けて呼ぶ</t>
        </is>
      </c>
      <c r="N11" s="6" t="inlineStr">
        <is>
          <t>未実施</t>
        </is>
      </c>
      <c r="O11" s="6" t="inlineStr"/>
      <c r="P11" s="6" t="inlineStr"/>
      <c r="Q11" s="7" t="inlineStr">
        <is>
          <t>既存テスト：実装時のテスト（NOUS-49）</t>
        </is>
      </c>
    </row>
    <row r="12">
      <c r="A12" s="4" t="n">
        <v>8</v>
      </c>
      <c r="B12" s="4" t="inlineStr">
        <is>
          <t>TC-NOUS49_DEV-08</t>
        </is>
      </c>
      <c r="C12" s="5" t="inlineStr">
        <is>
          <t>getThread / getFollows</t>
        </is>
      </c>
      <c r="D12" s="4" t="inlineStr">
        <is>
          <t>正常系</t>
        </is>
      </c>
      <c r="E12" s="4" t="inlineStr">
        <is>
          <t>開発者テスト</t>
        </is>
      </c>
      <c r="F12" s="5" t="inlineStr">
        <is>
          <t>ID をパスに、条件をクエリに</t>
        </is>
      </c>
      <c r="G12" s="5" t="inlineStr">
        <is>
          <t>前提：なし
入力：postId・agentId・type</t>
        </is>
      </c>
      <c r="H12" s="5" t="inlineStr">
        <is>
          <t>パスとクエリ</t>
        </is>
      </c>
      <c r="I12" s="5" t="inlineStr">
        <is>
          <t>B6-T</t>
        </is>
      </c>
      <c r="J12" s="5" t="inlineStr">
        <is>
          <t>fetch を vi.stubGlobal で差し替え</t>
        </is>
      </c>
      <c r="K12" s="5" t="inlineStr"/>
      <c r="L12" s="5" t="inlineStr"/>
      <c r="M12" s="5" t="inlineStr">
        <is>
          <t>TC-NOUS49_DEV-08 getThread・getFollows は ID をパスに埋め、条件をクエリにする</t>
        </is>
      </c>
      <c r="N12" s="6" t="inlineStr">
        <is>
          <t>未実施</t>
        </is>
      </c>
      <c r="O12" s="6" t="inlineStr"/>
      <c r="P12" s="6" t="inlineStr"/>
      <c r="Q12" s="7" t="inlineStr">
        <is>
          <t>既存テスト：実装時のテスト（NOUS-49）
実施の手がかり（同じ Response の使い回し）</t>
        </is>
      </c>
    </row>
    <row r="13">
      <c r="A13" s="4" t="n">
        <v>9</v>
      </c>
      <c r="B13" s="4" t="inlineStr">
        <is>
          <t>TC-NOUS49_DEV-09</t>
        </is>
      </c>
      <c r="C13" s="5" t="inlineStr">
        <is>
          <t>formatWorldTime</t>
        </is>
      </c>
      <c r="D13" s="4" t="inlineStr">
        <is>
          <t>正常系</t>
        </is>
      </c>
      <c r="E13" s="4" t="inlineStr">
        <is>
          <t>開発者テスト</t>
        </is>
      </c>
      <c r="F13" s="5" t="inlineStr">
        <is>
          <t>0 秒は第 1 日 00:00</t>
        </is>
      </c>
      <c r="G13" s="5" t="inlineStr">
        <is>
          <t>前提：なし
入力：0</t>
        </is>
      </c>
      <c r="H13" s="5" t="inlineStr">
        <is>
          <t>第 1 日 00:00</t>
        </is>
      </c>
      <c r="I13" s="5" t="inlineStr">
        <is>
          <t>B8-F</t>
        </is>
      </c>
      <c r="J13" s="5" t="inlineStr">
        <is>
          <t>なし</t>
        </is>
      </c>
      <c r="K13" s="5" t="inlineStr"/>
      <c r="L13" s="5" t="inlineStr"/>
      <c r="M13" s="5" t="inlineStr">
        <is>
          <t>TC-NOUS49_DEV-09 経過 0 秒は 第 1 日 00:00</t>
        </is>
      </c>
      <c r="N13" s="6" t="inlineStr">
        <is>
          <t>未実施</t>
        </is>
      </c>
      <c r="O13" s="6" t="inlineStr"/>
      <c r="P13" s="6" t="inlineStr"/>
      <c r="Q13" s="7" t="inlineStr">
        <is>
          <t>既存テスト：実装時のテスト（NOUS-49）</t>
        </is>
      </c>
    </row>
    <row r="14">
      <c r="A14" s="4" t="n">
        <v>10</v>
      </c>
      <c r="B14" s="4" t="inlineStr">
        <is>
          <t>TC-NOUS49_DEV-10</t>
        </is>
      </c>
      <c r="C14" s="5" t="inlineStr">
        <is>
          <t>formatWorldTime</t>
        </is>
      </c>
      <c r="D14" s="4" t="inlineStr">
        <is>
          <t>正常系</t>
        </is>
      </c>
      <c r="E14" s="4" t="inlineStr">
        <is>
          <t>開発者テスト</t>
        </is>
      </c>
      <c r="F14" s="5" t="inlineStr">
        <is>
          <t>86399 秒は第 1 日 23:59</t>
        </is>
      </c>
      <c r="G14" s="5" t="inlineStr">
        <is>
          <t>前提：なし
入力：86399</t>
        </is>
      </c>
      <c r="H14" s="5" t="inlineStr">
        <is>
          <t>第 1 日 23:59</t>
        </is>
      </c>
      <c r="I14" s="5" t="inlineStr">
        <is>
          <t>B8-F</t>
        </is>
      </c>
      <c r="J14" s="5" t="inlineStr">
        <is>
          <t>なし</t>
        </is>
      </c>
      <c r="K14" s="5" t="inlineStr"/>
      <c r="L14" s="5" t="inlineStr"/>
      <c r="M14" s="5" t="inlineStr">
        <is>
          <t>TC-NOUS49_DEV-10 経過 86399 秒は 第 1 日 23:59</t>
        </is>
      </c>
      <c r="N14" s="6" t="inlineStr">
        <is>
          <t>未実施</t>
        </is>
      </c>
      <c r="O14" s="6" t="inlineStr"/>
      <c r="P14" s="6" t="inlineStr"/>
      <c r="Q14" s="7" t="inlineStr">
        <is>
          <t>既存テスト：実装時のテスト（NOUS-49）</t>
        </is>
      </c>
    </row>
    <row r="15">
      <c r="A15" s="4" t="n">
        <v>11</v>
      </c>
      <c r="B15" s="4" t="inlineStr">
        <is>
          <t>TC-NOUS49_DEV-11</t>
        </is>
      </c>
      <c r="C15" s="5" t="inlineStr">
        <is>
          <t>formatWorldTime</t>
        </is>
      </c>
      <c r="D15" s="4" t="inlineStr">
        <is>
          <t>正常系</t>
        </is>
      </c>
      <c r="E15" s="4" t="inlineStr">
        <is>
          <t>開発者テスト</t>
        </is>
      </c>
      <c r="F15" s="5" t="inlineStr">
        <is>
          <t>90061 秒は第 2 日 01:01</t>
        </is>
      </c>
      <c r="G15" s="5" t="inlineStr">
        <is>
          <t>前提：なし
入力：90061</t>
        </is>
      </c>
      <c r="H15" s="5" t="inlineStr">
        <is>
          <t>第 2 日 01:01</t>
        </is>
      </c>
      <c r="I15" s="5" t="inlineStr">
        <is>
          <t>B8-F</t>
        </is>
      </c>
      <c r="J15" s="5" t="inlineStr">
        <is>
          <t>なし</t>
        </is>
      </c>
      <c r="K15" s="5" t="inlineStr"/>
      <c r="L15" s="5" t="inlineStr"/>
      <c r="M15" s="5" t="inlineStr">
        <is>
          <t>TC-NOUS49_DEV-11 経過 90061 秒は 第 2 日 01:01</t>
        </is>
      </c>
      <c r="N15" s="6" t="inlineStr">
        <is>
          <t>未実施</t>
        </is>
      </c>
      <c r="O15" s="6" t="inlineStr"/>
      <c r="P15" s="6" t="inlineStr"/>
      <c r="Q15" s="7" t="inlineStr">
        <is>
          <t>既存テスト：実装時のテスト（NOUS-49）</t>
        </is>
      </c>
    </row>
    <row r="16">
      <c r="A16" s="4" t="n">
        <v>12</v>
      </c>
      <c r="B16" s="4" t="inlineStr">
        <is>
          <t>TC-NOUS49_DEV-12</t>
        </is>
      </c>
      <c r="C16" s="5" t="inlineStr">
        <is>
          <t>formatClockJst</t>
        </is>
      </c>
      <c r="D16" s="4" t="inlineStr">
        <is>
          <t>正常系</t>
        </is>
      </c>
      <c r="E16" s="4" t="inlineStr">
        <is>
          <t>開発者テスト</t>
        </is>
      </c>
      <c r="F16" s="5" t="inlineStr">
        <is>
          <t>UTC を JST の HH:MM に</t>
        </is>
      </c>
      <c r="G16" s="5" t="inlineStr">
        <is>
          <t>前提：なし
入力：05:21Z</t>
        </is>
      </c>
      <c r="H16" s="5" t="inlineStr">
        <is>
          <t>14:21</t>
        </is>
      </c>
      <c r="I16" s="5" t="inlineStr"/>
      <c r="J16" s="5" t="inlineStr">
        <is>
          <t>なし</t>
        </is>
      </c>
      <c r="K16" s="5" t="inlineStr"/>
      <c r="L16" s="5" t="inlineStr"/>
      <c r="M16" s="5" t="inlineStr">
        <is>
          <t>TC-NOUS49_DEV-12 UTC の時刻を JST の HH:MM にする</t>
        </is>
      </c>
      <c r="N16" s="6" t="inlineStr">
        <is>
          <t>未実施</t>
        </is>
      </c>
      <c r="O16" s="6" t="inlineStr"/>
      <c r="P16" s="6" t="inlineStr"/>
      <c r="Q16" s="7" t="inlineStr">
        <is>
          <t>既存テスト：実装時のテスト（NOUS-49）</t>
        </is>
      </c>
    </row>
    <row r="17">
      <c r="A17" s="4" t="n">
        <v>13</v>
      </c>
      <c r="B17" s="4" t="inlineStr">
        <is>
          <t>TC-NOUS49_DEV-13</t>
        </is>
      </c>
      <c r="C17" s="5" t="inlineStr">
        <is>
          <t>saveTimelineScroll / restoreTimelineScroll</t>
        </is>
      </c>
      <c r="D17" s="4" t="inlineStr">
        <is>
          <t>正常系</t>
        </is>
      </c>
      <c r="E17" s="4" t="inlineStr">
        <is>
          <t>開発者テスト</t>
        </is>
      </c>
      <c r="F17" s="5" t="inlineStr">
        <is>
          <t>保存した位置に戻してキーを消す</t>
        </is>
      </c>
      <c r="G17" s="5" t="inlineStr">
        <is>
          <t>前提：scrollY=420
入力：保存→復元</t>
        </is>
      </c>
      <c r="H17" s="5" t="inlineStr">
        <is>
          <t>scrollTo(0, 420)、キーなし</t>
        </is>
      </c>
      <c r="I17" s="5" t="inlineStr">
        <is>
          <t>B9-F, B10-F, B11-T, B12-F</t>
        </is>
      </c>
      <c r="J17" s="5" t="inlineStr">
        <is>
          <t>window.scrollTo</t>
        </is>
      </c>
      <c r="K17" s="5" t="inlineStr"/>
      <c r="L17" s="5" t="inlineStr"/>
      <c r="M17" s="5" t="inlineStr">
        <is>
          <t>TC-NOUS49_DEV-13 保存した位置に戻し、キーを消す</t>
        </is>
      </c>
      <c r="N17" s="6" t="inlineStr">
        <is>
          <t>未実施</t>
        </is>
      </c>
      <c r="O17" s="6" t="inlineStr"/>
      <c r="P17" s="6" t="inlineStr"/>
      <c r="Q17" s="7" t="inlineStr">
        <is>
          <t>既存テスト：実装時のテスト（NOUS-49）</t>
        </is>
      </c>
    </row>
    <row r="18">
      <c r="A18" s="4" t="n">
        <v>14</v>
      </c>
      <c r="B18" s="4" t="inlineStr">
        <is>
          <t>TC-NOUS49_DEV-14</t>
        </is>
      </c>
      <c r="C18" s="5" t="inlineStr">
        <is>
          <t>restoreTimelineScroll</t>
        </is>
      </c>
      <c r="D18" s="4" t="inlineStr">
        <is>
          <t>正常系</t>
        </is>
      </c>
      <c r="E18" s="4" t="inlineStr">
        <is>
          <t>開発者テスト</t>
        </is>
      </c>
      <c r="F18" s="5" t="inlineStr">
        <is>
          <t>保存が無ければ何もしない</t>
        </is>
      </c>
      <c r="G18" s="5" t="inlineStr">
        <is>
          <t>前提：保存なし
入力：復元</t>
        </is>
      </c>
      <c r="H18" s="5" t="inlineStr">
        <is>
          <t>scrollTo を呼ばない</t>
        </is>
      </c>
      <c r="I18" s="5" t="inlineStr">
        <is>
          <t>B10-T</t>
        </is>
      </c>
      <c r="J18" s="5" t="inlineStr">
        <is>
          <t>window.scrollTo</t>
        </is>
      </c>
      <c r="K18" s="5" t="inlineStr"/>
      <c r="L18" s="5" t="inlineStr"/>
      <c r="M18" s="5" t="inlineStr">
        <is>
          <t>TC-NOUS49_DEV-14 保存が無ければ何もしない</t>
        </is>
      </c>
      <c r="N18" s="6" t="inlineStr">
        <is>
          <t>未実施</t>
        </is>
      </c>
      <c r="O18" s="6" t="inlineStr"/>
      <c r="P18" s="6" t="inlineStr"/>
      <c r="Q18" s="7" t="inlineStr">
        <is>
          <t>既存テスト：実装時のテスト（NOUS-49）</t>
        </is>
      </c>
    </row>
    <row r="19">
      <c r="A19" s="4" t="n">
        <v>15</v>
      </c>
      <c r="B19" s="4" t="inlineStr">
        <is>
          <t>TC-UT_OWEB-001</t>
        </is>
      </c>
      <c r="C19" s="5" t="inlineStr">
        <is>
          <t>fetchJson</t>
        </is>
      </c>
      <c r="D19" s="4" t="inlineStr">
        <is>
          <t>正常系</t>
        </is>
      </c>
      <c r="E19" s="4" t="inlineStr">
        <is>
          <t>同値分割</t>
        </is>
      </c>
      <c r="F19" s="5" t="inlineStr">
        <is>
          <t>init（method・headers）を引き継ぎ、credentials は same-origin で上書きする</t>
        </is>
      </c>
      <c r="G19" s="5" t="inlineStr">
        <is>
          <t>前提：なし
入力：init={ method: GET, headers, credentials: include }</t>
        </is>
      </c>
      <c r="H19" s="5" t="inlineStr">
        <is>
          <t>fetch に { method, headers, credentials: same-origin }</t>
        </is>
      </c>
      <c r="I19" s="5" t="inlineStr">
        <is>
          <t>B1-F, B2-F, B3-F</t>
        </is>
      </c>
      <c r="J19" s="5" t="inlineStr">
        <is>
          <t>fetch を vi.stubGlobal で差し替え</t>
        </is>
      </c>
      <c r="K19" s="5" t="inlineStr"/>
      <c r="L19" s="5" t="inlineStr"/>
      <c r="M19" s="5" t="inlineStr">
        <is>
          <t>TC-UT_OWEB-001 fetchJson は init を引き継ぎ、credentials は same-origin で上書きする</t>
        </is>
      </c>
      <c r="N19" s="6" t="inlineStr">
        <is>
          <t>未実施</t>
        </is>
      </c>
      <c r="O19" s="6" t="inlineStr"/>
      <c r="P19" s="6" t="inlineStr"/>
      <c r="Q19" s="7" t="inlineStr">
        <is>
          <t>既存テスト：一部 TC-NOUS49_DEV-01（init なし）
設計書 4章：credentials は same-origin</t>
        </is>
      </c>
    </row>
    <row r="20">
      <c r="A20" s="4" t="n">
        <v>16</v>
      </c>
      <c r="B20" s="4" t="inlineStr">
        <is>
          <t>TC-UT_OWEB-002</t>
        </is>
      </c>
      <c r="C20" s="5" t="inlineStr">
        <is>
          <t>fetchJson</t>
        </is>
      </c>
      <c r="D20" s="4" t="inlineStr">
        <is>
          <t>異常系</t>
        </is>
      </c>
      <c r="E20" s="4" t="inlineStr">
        <is>
          <t>分岐網羅</t>
        </is>
      </c>
      <c r="F20" s="5" t="inlineStr">
        <is>
          <t>401 のときは本文を読まずに /not-invited へ移す</t>
        </is>
      </c>
      <c r="G20" s="5" t="inlineStr">
        <is>
          <t>前提：なし
入力：401 と error の本文</t>
        </is>
      </c>
      <c r="H20" s="5" t="inlineStr">
        <is>
          <t>NotInvitedError、toNotInvited 1 回、res.json は呼ばない</t>
        </is>
      </c>
      <c r="I20" s="5" t="inlineStr">
        <is>
          <t>B2-T</t>
        </is>
      </c>
      <c r="J20" s="5" t="inlineStr">
        <is>
          <t>fetch を vi.stubGlobal で差し替え、navigation.toNotInvited、res.json の spy</t>
        </is>
      </c>
      <c r="K20" s="5" t="inlineStr"/>
      <c r="L20" s="5" t="inlineStr"/>
      <c r="M20" s="5" t="inlineStr">
        <is>
          <t>TC-UT_OWEB-002 401 のときは本文を読まずに /not-invited へ移す</t>
        </is>
      </c>
      <c r="N20" s="6" t="inlineStr">
        <is>
          <t>未実施</t>
        </is>
      </c>
      <c r="O20" s="6" t="inlineStr"/>
      <c r="P20" s="6" t="inlineStr"/>
      <c r="Q20" s="7" t="inlineStr">
        <is>
          <t>既存テスト：一部 TC-NOUS49_DEV-02（本文を読まないことは見ていない）</t>
        </is>
      </c>
    </row>
    <row r="21">
      <c r="A21" s="4" t="n">
        <v>17</v>
      </c>
      <c r="B21" s="4" t="inlineStr">
        <is>
          <t>TC-UT_OWEB-003</t>
        </is>
      </c>
      <c r="C21" s="5" t="inlineStr">
        <is>
          <t>fetchJson</t>
        </is>
      </c>
      <c r="D21" s="4" t="inlineStr">
        <is>
          <t>異常系</t>
        </is>
      </c>
      <c r="E21" s="4" t="inlineStr">
        <is>
          <t>同値分割</t>
        </is>
      </c>
      <c r="F21" s="5" t="inlineStr">
        <is>
          <t>2xx 以外で本文に error があれば status と code の ApiError にし、/not-invited へは移さない（404・403・400）</t>
        </is>
      </c>
      <c r="G21" s="5" t="inlineStr">
        <is>
          <t>前提：なし
入力：404 POST_NOT_FOUND・403・400</t>
        </is>
      </c>
      <c r="H21" s="5" t="inlineStr">
        <is>
          <t>ApiError（status・code・message）、toNotInvited を呼ばない</t>
        </is>
      </c>
      <c r="I21" s="5" t="inlineStr">
        <is>
          <t>B2-F, B3-T, B4-T</t>
        </is>
      </c>
      <c r="J21" s="5" t="inlineStr">
        <is>
          <t>fetch を vi.stubGlobal で差し替え、navigation.toNotInvited</t>
        </is>
      </c>
      <c r="K21" s="5" t="inlineStr"/>
      <c r="L21" s="5" t="inlineStr"/>
      <c r="M21" s="5" t="inlineStr">
        <is>
          <t>TC-UT_OWEB-003 2xx 以外で本文に error があれば、status と code の ApiError にし、/not-invited へは移さない</t>
        </is>
      </c>
      <c r="N21" s="6" t="inlineStr">
        <is>
          <t>未実施</t>
        </is>
      </c>
      <c r="O21" s="6" t="inlineStr"/>
      <c r="P21" s="6" t="inlineStr"/>
      <c r="Q21" s="7" t="inlineStr">
        <is>
          <t>既存テスト：一部 TC-NOUS49_DEV-03（500 だけ）</t>
        </is>
      </c>
    </row>
    <row r="22">
      <c r="A22" s="4" t="n">
        <v>18</v>
      </c>
      <c r="B22" s="4" t="inlineStr">
        <is>
          <t>TC-UT_OWEB-004</t>
        </is>
      </c>
      <c r="C22" s="5" t="inlineStr">
        <is>
          <t>fetchJson</t>
        </is>
      </c>
      <c r="D22" s="4" t="inlineStr">
        <is>
          <t>異常系</t>
        </is>
      </c>
      <c r="E22" s="4" t="inlineStr">
        <is>
          <t>同値分割</t>
        </is>
      </c>
      <c r="F22" s="5" t="inlineStr">
        <is>
          <t>2xx 以外で本文が error の形でなければ code は null、message は「HTTP 状態」</t>
        </is>
      </c>
      <c r="G22" s="5" t="inlineStr">
        <is>
          <t>前提：なし
入力：{"message":"x"}・null・"oops"（500）</t>
        </is>
      </c>
      <c r="H22" s="5" t="inlineStr">
        <is>
          <t>ApiError（500、code null、HTTP 500）</t>
        </is>
      </c>
      <c r="I22" s="5" t="inlineStr">
        <is>
          <t>B4-F, B5-F</t>
        </is>
      </c>
      <c r="J22" s="5" t="inlineStr">
        <is>
          <t>fetch を vi.stubGlobal で差し替え</t>
        </is>
      </c>
      <c r="K22" s="5" t="inlineStr"/>
      <c r="L22" s="5" t="inlineStr"/>
      <c r="M22" s="5" t="inlineStr">
        <is>
          <t>TC-UT_OWEB-004 2xx 以外で本文が error の形でなければ code は null、message は HTTP の状態にする</t>
        </is>
      </c>
      <c r="N22" s="6" t="inlineStr">
        <is>
          <t>未実施</t>
        </is>
      </c>
      <c r="O22" s="6" t="inlineStr"/>
      <c r="P22" s="6" t="inlineStr"/>
      <c r="Q22" s="7" t="inlineStr">
        <is>
          <t>既存テスト：一部 TC-NOUS49_DEV-04（JSON でない本文だけ）</t>
        </is>
      </c>
    </row>
    <row r="23">
      <c r="A23" s="4" t="n">
        <v>19</v>
      </c>
      <c r="B23" s="4" t="inlineStr">
        <is>
          <t>TC-UT_OWEB-005</t>
        </is>
      </c>
      <c r="C23" s="5" t="inlineStr">
        <is>
          <t>fetchJson</t>
        </is>
      </c>
      <c r="D23" s="4" t="inlineStr">
        <is>
          <t>異常系</t>
        </is>
      </c>
      <c r="E23" s="4" t="inlineStr">
        <is>
          <t>エラー処理</t>
        </is>
      </c>
      <c r="F23" s="5" t="inlineStr">
        <is>
          <t>2xx でも本文が JSON でなければ JSON の例外のまま投げる</t>
        </is>
      </c>
      <c r="G23" s="5" t="inlineStr">
        <is>
          <t>前提：なし
入力：200 と not json</t>
        </is>
      </c>
      <c r="H23" s="5" t="inlineStr">
        <is>
          <t>SyntaxError（ApiError・NetworkError にしない）</t>
        </is>
      </c>
      <c r="I23" s="5" t="inlineStr">
        <is>
          <t>B3-F</t>
        </is>
      </c>
      <c r="J23" s="5" t="inlineStr">
        <is>
          <t>fetch を vi.stubGlobal で差し替え</t>
        </is>
      </c>
      <c r="K23" s="5" t="inlineStr"/>
      <c r="L23" s="5" t="inlineStr"/>
      <c r="M23" s="5" t="inlineStr">
        <is>
          <t>TC-UT_OWEB-005 2xx でも本文が JSON でなければ、ApiError・NetworkError にせず JSON の例外のまま投げる</t>
        </is>
      </c>
      <c r="N23" s="6" t="inlineStr">
        <is>
          <t>未実施</t>
        </is>
      </c>
      <c r="O23" s="6" t="inlineStr"/>
      <c r="P23" s="6" t="inlineStr"/>
      <c r="Q23" s="7" t="inlineStr">
        <is>
          <t>既存テスト：なし
設計書に記載なし。実装の値</t>
        </is>
      </c>
    </row>
    <row r="24">
      <c r="A24" s="4" t="n">
        <v>20</v>
      </c>
      <c r="B24" s="4" t="inlineStr">
        <is>
          <t>TC-UT_OWEB-006</t>
        </is>
      </c>
      <c r="C24" s="5" t="inlineStr">
        <is>
          <t>fetchJson</t>
        </is>
      </c>
      <c r="D24" s="4" t="inlineStr">
        <is>
          <t>異常系</t>
        </is>
      </c>
      <c r="E24" s="4" t="inlineStr">
        <is>
          <t>エラー処理</t>
        </is>
      </c>
      <c r="F24" s="5" t="inlineStr">
        <is>
          <t>NetworkError は元の例外を cause に持つ</t>
        </is>
      </c>
      <c r="G24" s="5" t="inlineStr">
        <is>
          <t>前提：なし
入力：fetch が TypeError で reject</t>
        </is>
      </c>
      <c r="H24" s="5" t="inlineStr">
        <is>
          <t>NetworkError、cause は元の TypeError</t>
        </is>
      </c>
      <c r="I24" s="5" t="inlineStr">
        <is>
          <t>B1-T</t>
        </is>
      </c>
      <c r="J24" s="5" t="inlineStr">
        <is>
          <t>fetch を vi.stubGlobal で差し替え</t>
        </is>
      </c>
      <c r="K24" s="5" t="inlineStr"/>
      <c r="L24" s="5" t="inlineStr"/>
      <c r="M24" s="5" t="inlineStr">
        <is>
          <t>TC-UT_OWEB-006 NetworkError は元の例外を cause に持つ</t>
        </is>
      </c>
      <c r="N24" s="6" t="inlineStr">
        <is>
          <t>未実施</t>
        </is>
      </c>
      <c r="O24" s="6" t="inlineStr"/>
      <c r="P24" s="6" t="inlineStr"/>
      <c r="Q24" s="7" t="inlineStr">
        <is>
          <t>既存テスト：一部 TC-NOUS49_DEV-05（型だけ）</t>
        </is>
      </c>
    </row>
    <row r="25">
      <c r="A25" s="4" t="n">
        <v>21</v>
      </c>
      <c r="B25" s="4" t="inlineStr">
        <is>
          <t>TC-UT_OWEB-007</t>
        </is>
      </c>
      <c r="C25" s="5" t="inlineStr">
        <is>
          <t>withQuery</t>
        </is>
      </c>
      <c r="D25" s="4" t="inlineStr">
        <is>
          <t>正常系</t>
        </is>
      </c>
      <c r="E25" s="4" t="inlineStr">
        <is>
          <t>境界値</t>
        </is>
      </c>
      <c r="F25" s="5" t="inlineStr">
        <is>
          <t>項目がすべて undefined なら ? を付けない</t>
        </is>
      </c>
      <c r="G25" s="5" t="inlineStr">
        <is>
          <t>前提：なし
入力：{ cursor: undefined, limit: undefined }</t>
        </is>
      </c>
      <c r="H25" s="5" t="inlineStr">
        <is>
          <t>/api/timeline</t>
        </is>
      </c>
      <c r="I25" s="5" t="inlineStr">
        <is>
          <t>B6-F, B7-F</t>
        </is>
      </c>
      <c r="J25" s="5" t="inlineStr">
        <is>
          <t>なし</t>
        </is>
      </c>
      <c r="K25" s="5" t="inlineStr"/>
      <c r="L25" s="5" t="inlineStr"/>
      <c r="M25" s="5" t="inlineStr">
        <is>
          <t>TC-UT_OWEB-007 withQuery は項目がすべて undefined なら ? を付けない</t>
        </is>
      </c>
      <c r="N25" s="6" t="inlineStr">
        <is>
          <t>未実施</t>
        </is>
      </c>
      <c r="O25" s="6" t="inlineStr"/>
      <c r="P25" s="6" t="inlineStr"/>
      <c r="Q25" s="7" t="inlineStr">
        <is>
          <t>既存テスト：なし</t>
        </is>
      </c>
    </row>
    <row r="26">
      <c r="A26" s="4" t="n">
        <v>22</v>
      </c>
      <c r="B26" s="4" t="inlineStr">
        <is>
          <t>TC-UT_OWEB-008</t>
        </is>
      </c>
      <c r="C26" s="5" t="inlineStr">
        <is>
          <t>withQuery</t>
        </is>
      </c>
      <c r="D26" s="4" t="inlineStr">
        <is>
          <t>正常系</t>
        </is>
      </c>
      <c r="E26" s="4" t="inlineStr">
        <is>
          <t>境界値</t>
        </is>
      </c>
      <c r="F26" s="5" t="inlineStr">
        <is>
          <t>0 と空文字は値として残す</t>
        </is>
      </c>
      <c r="G26" s="5" t="inlineStr">
        <is>
          <t>前提：なし
入力：{ limit: 0, cursor: '' }</t>
        </is>
      </c>
      <c r="H26" s="5" t="inlineStr">
        <is>
          <t>/api/timeline?limit=0&amp;cursor=</t>
        </is>
      </c>
      <c r="I26" s="5" t="inlineStr">
        <is>
          <t>B6-T, B7-T</t>
        </is>
      </c>
      <c r="J26" s="5" t="inlineStr">
        <is>
          <t>なし</t>
        </is>
      </c>
      <c r="K26" s="5" t="inlineStr"/>
      <c r="L26" s="5" t="inlineStr"/>
      <c r="M26" s="5" t="inlineStr">
        <is>
          <t>TC-UT_OWEB-008 withQuery は 0 と空文字は値として残す</t>
        </is>
      </c>
      <c r="N26" s="6" t="inlineStr">
        <is>
          <t>未実施</t>
        </is>
      </c>
      <c r="O26" s="6" t="inlineStr"/>
      <c r="P26" s="6" t="inlineStr"/>
      <c r="Q26" s="7" t="inlineStr">
        <is>
          <t>既存テスト：なし</t>
        </is>
      </c>
    </row>
    <row r="27">
      <c r="A27" s="4" t="n">
        <v>23</v>
      </c>
      <c r="B27" s="4" t="inlineStr">
        <is>
          <t>TC-UT_OWEB-009</t>
        </is>
      </c>
      <c r="C27" s="5" t="inlineStr">
        <is>
          <t>getWorld</t>
        </is>
      </c>
      <c r="D27" s="4" t="inlineStr">
        <is>
          <t>正常系</t>
        </is>
      </c>
      <c r="E27" s="4" t="inlineStr">
        <is>
          <t>同値分割</t>
        </is>
      </c>
      <c r="F27" s="5" t="inlineStr">
        <is>
          <t>/api/world を呼ぶ</t>
        </is>
      </c>
      <c r="G27" s="5" t="inlineStr">
        <is>
          <t>前提：なし
入力：なし</t>
        </is>
      </c>
      <c r="H27" s="5" t="inlineStr">
        <is>
          <t>/api/world</t>
        </is>
      </c>
      <c r="I27" s="5" t="inlineStr"/>
      <c r="J27" s="5" t="inlineStr">
        <is>
          <t>fetch を vi.stubGlobal で差し替え</t>
        </is>
      </c>
      <c r="K27" s="5" t="inlineStr"/>
      <c r="L27" s="5" t="inlineStr"/>
      <c r="M27" s="5" t="inlineStr">
        <is>
          <t>TC-UT_OWEB-009 getWorld は /api/world を呼ぶ</t>
        </is>
      </c>
      <c r="N27" s="6" t="inlineStr">
        <is>
          <t>未実施</t>
        </is>
      </c>
      <c r="O27" s="6" t="inlineStr"/>
      <c r="P27" s="6" t="inlineStr"/>
      <c r="Q27" s="7" t="inlineStr">
        <is>
          <t>既存テスト：なし</t>
        </is>
      </c>
    </row>
    <row r="28">
      <c r="A28" s="4" t="n">
        <v>24</v>
      </c>
      <c r="B28" s="4" t="inlineStr">
        <is>
          <t>TC-UT_OWEB-010</t>
        </is>
      </c>
      <c r="C28" s="5" t="inlineStr">
        <is>
          <t>getTimeline</t>
        </is>
      </c>
      <c r="D28" s="4" t="inlineStr">
        <is>
          <t>正常系</t>
        </is>
      </c>
      <c r="E28" s="4" t="inlineStr">
        <is>
          <t>同値分割</t>
        </is>
      </c>
      <c r="F28" s="5" t="inlineStr">
        <is>
          <t>条件なしなら /api/timeline、cursor と limit があればクエリに付ける</t>
        </is>
      </c>
      <c r="G28" s="5" t="inlineStr">
        <is>
          <t>前提：なし
入力：{}・{ cursor: c1, limit: 30 }</t>
        </is>
      </c>
      <c r="H28" s="5" t="inlineStr">
        <is>
          <t>/api/timeline・/api/timeline?cursor=c1&amp;limit=30</t>
        </is>
      </c>
      <c r="I28" s="5" t="inlineStr">
        <is>
          <t>B7-F, B7-T</t>
        </is>
      </c>
      <c r="J28" s="5" t="inlineStr">
        <is>
          <t>fetch を vi.stubGlobal で差し替え</t>
        </is>
      </c>
      <c r="K28" s="5" t="inlineStr"/>
      <c r="L28" s="5" t="inlineStr"/>
      <c r="M28" s="5" t="inlineStr">
        <is>
          <t>TC-UT_OWEB-010 getTimeline は条件なしなら /api/timeline、cursor と limit があればクエリに付ける</t>
        </is>
      </c>
      <c r="N28" s="6" t="inlineStr">
        <is>
          <t>未実施</t>
        </is>
      </c>
      <c r="O28" s="6" t="inlineStr"/>
      <c r="P28" s="6" t="inlineStr"/>
      <c r="Q28" s="7" t="inlineStr">
        <is>
          <t>既存テスト：一部 TC-NOUS49_DEV-07（since だけ）</t>
        </is>
      </c>
    </row>
    <row r="29">
      <c r="A29" s="4" t="n">
        <v>25</v>
      </c>
      <c r="B29" s="4" t="inlineStr">
        <is>
          <t>TC-UT_OWEB-011</t>
        </is>
      </c>
      <c r="C29" s="5" t="inlineStr">
        <is>
          <t>getThread</t>
        </is>
      </c>
      <c r="D29" s="4" t="inlineStr">
        <is>
          <t>正常系</t>
        </is>
      </c>
      <c r="E29" s="4" t="inlineStr">
        <is>
          <t>同値分割</t>
        </is>
      </c>
      <c r="F29" s="5" t="inlineStr">
        <is>
          <t>postId の / と空白をエンコードし、depth と from を付ける</t>
        </is>
      </c>
      <c r="G29" s="5" t="inlineStr">
        <is>
          <t>前提：なし
入力：'a/b c'、{ depth: 5, from: 01X }</t>
        </is>
      </c>
      <c r="H29" s="5" t="inlineStr">
        <is>
          <t>/api/posts/a%2Fb%20c/thread?depth=5&amp;from=01X</t>
        </is>
      </c>
      <c r="I29" s="5" t="inlineStr">
        <is>
          <t>B6-T</t>
        </is>
      </c>
      <c r="J29" s="5" t="inlineStr">
        <is>
          <t>fetch を vi.stubGlobal で差し替え</t>
        </is>
      </c>
      <c r="K29" s="5" t="inlineStr"/>
      <c r="L29" s="5" t="inlineStr"/>
      <c r="M29" s="5" t="inlineStr">
        <is>
          <t>TC-UT_OWEB-011 getThread は postId の / と空白をエンコードし、depth と from を付ける</t>
        </is>
      </c>
      <c r="N29" s="6" t="inlineStr">
        <is>
          <t>未実施</t>
        </is>
      </c>
      <c r="O29" s="6" t="inlineStr"/>
      <c r="P29" s="6" t="inlineStr"/>
      <c r="Q29" s="7" t="inlineStr">
        <is>
          <t>既存テスト：一部 TC-NOUS49_DEV-08（エンコードの要る字なし）</t>
        </is>
      </c>
    </row>
    <row r="30">
      <c r="A30" s="4" t="n">
        <v>26</v>
      </c>
      <c r="B30" s="4" t="inlineStr">
        <is>
          <t>TC-UT_OWEB-012</t>
        </is>
      </c>
      <c r="C30" s="5" t="inlineStr">
        <is>
          <t>getAgentProfile / getAgentPosts</t>
        </is>
      </c>
      <c r="D30" s="4" t="inlineStr">
        <is>
          <t>正常系</t>
        </is>
      </c>
      <c r="E30" s="4" t="inlineStr">
        <is>
          <t>同値分割</t>
        </is>
      </c>
      <c r="F30" s="5" t="inlineStr">
        <is>
          <t>agentId をエンコードし、過去投稿には cursor と limit を付ける</t>
        </is>
      </c>
      <c r="G30" s="5" t="inlineStr">
        <is>
          <t>前提：なし
入力：'a/b'、{ cursor: c2, limit: 30 }</t>
        </is>
      </c>
      <c r="H30" s="5" t="inlineStr">
        <is>
          <t>/api/agents/a%2Fb・/api/agents/a%2Fb/posts?cursor=c2&amp;limit=30</t>
        </is>
      </c>
      <c r="I30" s="5" t="inlineStr">
        <is>
          <t>B6-T</t>
        </is>
      </c>
      <c r="J30" s="5" t="inlineStr">
        <is>
          <t>fetch を vi.stubGlobal で差し替え</t>
        </is>
      </c>
      <c r="K30" s="5" t="inlineStr"/>
      <c r="L30" s="5" t="inlineStr"/>
      <c r="M30" s="5" t="inlineStr">
        <is>
          <t>TC-UT_OWEB-012 getAgentProfile と getAgentPosts は agentId をエンコードし、過去投稿には cursor と limit を付ける</t>
        </is>
      </c>
      <c r="N30" s="6" t="inlineStr">
        <is>
          <t>未実施</t>
        </is>
      </c>
      <c r="O30" s="6" t="inlineStr"/>
      <c r="P30" s="6" t="inlineStr"/>
      <c r="Q30" s="7" t="inlineStr">
        <is>
          <t>既存テスト：なし</t>
        </is>
      </c>
    </row>
    <row r="31">
      <c r="A31" s="4" t="n">
        <v>27</v>
      </c>
      <c r="B31" s="4" t="inlineStr">
        <is>
          <t>TC-UT_OWEB-013</t>
        </is>
      </c>
      <c r="C31" s="5" t="inlineStr">
        <is>
          <t>formatWorldTime</t>
        </is>
      </c>
      <c r="D31" s="4" t="inlineStr">
        <is>
          <t>異常系</t>
        </is>
      </c>
      <c r="E31" s="4" t="inlineStr">
        <is>
          <t>同値分割</t>
        </is>
      </c>
      <c r="F31" s="5" t="inlineStr">
        <is>
          <t>負の値は 0 に、小数は切り捨てて扱う</t>
        </is>
      </c>
      <c r="G31" s="5" t="inlineStr">
        <is>
          <t>前提：なし
入力：-1・59.9</t>
        </is>
      </c>
      <c r="H31" s="5" t="inlineStr">
        <is>
          <t>第 1 日 00:00</t>
        </is>
      </c>
      <c r="I31" s="5" t="inlineStr">
        <is>
          <t>B8-T</t>
        </is>
      </c>
      <c r="J31" s="5" t="inlineStr">
        <is>
          <t>なし</t>
        </is>
      </c>
      <c r="K31" s="5" t="inlineStr"/>
      <c r="L31" s="5" t="inlineStr"/>
      <c r="M31" s="5" t="inlineStr">
        <is>
          <t>TC-UT_OWEB-013 formatWorldTime は負の値を 0 に、小数を切り捨てて扱う</t>
        </is>
      </c>
      <c r="N31" s="6" t="inlineStr">
        <is>
          <t>未実施</t>
        </is>
      </c>
      <c r="O31" s="6" t="inlineStr"/>
      <c r="P31" s="6" t="inlineStr"/>
      <c r="Q31" s="7" t="inlineStr">
        <is>
          <t>既存テスト：なし
設計書に負の値の記載なし。世界内時間は 0 以上なので 0 として扱うのを期待とした</t>
        </is>
      </c>
    </row>
    <row r="32">
      <c r="A32" s="4" t="n">
        <v>28</v>
      </c>
      <c r="B32" s="4" t="inlineStr">
        <is>
          <t>TC-UT_OWEB-014</t>
        </is>
      </c>
      <c r="C32" s="5" t="inlineStr">
        <is>
          <t>formatWorldTime</t>
        </is>
      </c>
      <c r="D32" s="4" t="inlineStr">
        <is>
          <t>正常系</t>
        </is>
      </c>
      <c r="E32" s="4" t="inlineStr">
        <is>
          <t>境界値</t>
        </is>
      </c>
      <c r="F32" s="5" t="inlineStr">
        <is>
          <t>分・時・日の境目で繰り上がる</t>
        </is>
      </c>
      <c r="G32" s="5" t="inlineStr">
        <is>
          <t>前提：なし
入力：59・60・3599・3600・86400</t>
        </is>
      </c>
      <c r="H32" s="5" t="inlineStr">
        <is>
          <t>00:00・00:01・00:59・01:00・第 2 日 00:00</t>
        </is>
      </c>
      <c r="I32" s="5" t="inlineStr">
        <is>
          <t>B8-F</t>
        </is>
      </c>
      <c r="J32" s="5" t="inlineStr">
        <is>
          <t>なし</t>
        </is>
      </c>
      <c r="K32" s="5" t="inlineStr"/>
      <c r="L32" s="5" t="inlineStr"/>
      <c r="M32" s="5" t="inlineStr">
        <is>
          <t>TC-UT_OWEB-014 formatWorldTime は分・時・日の境目で繰り上がる</t>
        </is>
      </c>
      <c r="N32" s="6" t="inlineStr">
        <is>
          <t>未実施</t>
        </is>
      </c>
      <c r="O32" s="6" t="inlineStr"/>
      <c r="P32" s="6" t="inlineStr"/>
      <c r="Q32" s="7" t="inlineStr">
        <is>
          <t>既存テスト：一部 TC-NOUS49_DEV-09〜11</t>
        </is>
      </c>
    </row>
    <row r="33">
      <c r="A33" s="4" t="n">
        <v>29</v>
      </c>
      <c r="B33" s="4" t="inlineStr">
        <is>
          <t>TC-UT_OWEB-015</t>
        </is>
      </c>
      <c r="C33" s="5" t="inlineStr">
        <is>
          <t>formatClockJst</t>
        </is>
      </c>
      <c r="D33" s="4" t="inlineStr">
        <is>
          <t>正常系</t>
        </is>
      </c>
      <c r="E33" s="4" t="inlineStr">
        <is>
          <t>境界値</t>
        </is>
      </c>
      <c r="F33" s="5" t="inlineStr">
        <is>
          <t>JST の日付の境目で 23:59 と 00:00 を出す</t>
        </is>
      </c>
      <c r="G33" s="5" t="inlineStr">
        <is>
          <t>前提：なし
入力：14:59Z・15:00Z</t>
        </is>
      </c>
      <c r="H33" s="5" t="inlineStr">
        <is>
          <t>23:59・00:00（24:00 にしない）</t>
        </is>
      </c>
      <c r="I33" s="5" t="inlineStr"/>
      <c r="J33" s="5" t="inlineStr">
        <is>
          <t>なし</t>
        </is>
      </c>
      <c r="K33" s="5" t="inlineStr"/>
      <c r="L33" s="5" t="inlineStr"/>
      <c r="M33" s="5" t="inlineStr">
        <is>
          <t>TC-UT_OWEB-015 formatClockJst は JST の日付の境目で 23:59 と 00:00 を出す</t>
        </is>
      </c>
      <c r="N33" s="6" t="inlineStr">
        <is>
          <t>未実施</t>
        </is>
      </c>
      <c r="O33" s="6" t="inlineStr"/>
      <c r="P33" s="6" t="inlineStr"/>
      <c r="Q33" s="7" t="inlineStr">
        <is>
          <t>既存テスト：一部 TC-NOUS49_DEV-12（日中の時刻だけ）</t>
        </is>
      </c>
    </row>
    <row r="34">
      <c r="A34" s="4" t="n">
        <v>30</v>
      </c>
      <c r="B34" s="4" t="inlineStr">
        <is>
          <t>TC-UT_OWEB-016</t>
        </is>
      </c>
      <c r="C34" s="5" t="inlineStr">
        <is>
          <t>saveTimelineScroll</t>
        </is>
      </c>
      <c r="D34" s="4" t="inlineStr">
        <is>
          <t>異常系</t>
        </is>
      </c>
      <c r="E34" s="4" t="inlineStr">
        <is>
          <t>エラー処理</t>
        </is>
      </c>
      <c r="F34" s="5" t="inlineStr">
        <is>
          <t>sessionStorage に保存できなくても例外を出さない</t>
        </is>
      </c>
      <c r="G34" s="5" t="inlineStr">
        <is>
          <t>前提：setItem が例外
入力：保存</t>
        </is>
      </c>
      <c r="H34" s="5" t="inlineStr">
        <is>
          <t>例外なし</t>
        </is>
      </c>
      <c r="I34" s="5" t="inlineStr">
        <is>
          <t>B9-T</t>
        </is>
      </c>
      <c r="J34" s="5" t="inlineStr">
        <is>
          <t>Storage.prototype.setItem</t>
        </is>
      </c>
      <c r="K34" s="5" t="inlineStr"/>
      <c r="L34" s="5" t="inlineStr"/>
      <c r="M34" s="5" t="inlineStr">
        <is>
          <t>TC-UT_OWEB-016 sessionStorage に保存できなくても saveTimelineScroll は例外を出さない</t>
        </is>
      </c>
      <c r="N34" s="6" t="inlineStr">
        <is>
          <t>未実施</t>
        </is>
      </c>
      <c r="O34" s="6" t="inlineStr"/>
      <c r="P34" s="6" t="inlineStr"/>
      <c r="Q34" s="7" t="inlineStr">
        <is>
          <t>既存テスト：なし
設計書 4章：使えなければ何もしない</t>
        </is>
      </c>
    </row>
    <row r="35">
      <c r="A35" s="4" t="n">
        <v>31</v>
      </c>
      <c r="B35" s="4" t="inlineStr">
        <is>
          <t>TC-UT_OWEB-017</t>
        </is>
      </c>
      <c r="C35" s="5" t="inlineStr">
        <is>
          <t>restoreTimelineScroll</t>
        </is>
      </c>
      <c r="D35" s="4" t="inlineStr">
        <is>
          <t>異常系</t>
        </is>
      </c>
      <c r="E35" s="4" t="inlineStr">
        <is>
          <t>同値分割</t>
        </is>
      </c>
      <c r="F35" s="5" t="inlineStr">
        <is>
          <t>保存した値が数でなければスクロールせず、キーは消す</t>
        </is>
      </c>
      <c r="G35" s="5" t="inlineStr">
        <is>
          <t>前提：保存 'abc'
入力：復元</t>
        </is>
      </c>
      <c r="H35" s="5" t="inlineStr">
        <is>
          <t>scrollTo を呼ばない、キーなし</t>
        </is>
      </c>
      <c r="I35" s="5" t="inlineStr">
        <is>
          <t>B10-F, B11-F</t>
        </is>
      </c>
      <c r="J35" s="5" t="inlineStr">
        <is>
          <t>window.scrollTo</t>
        </is>
      </c>
      <c r="K35" s="5" t="inlineStr"/>
      <c r="L35" s="5" t="inlineStr"/>
      <c r="M35" s="5" t="inlineStr">
        <is>
          <t>TC-UT_OWEB-017 保存した値が数でなければスクロールせず、キーは消す</t>
        </is>
      </c>
      <c r="N35" s="6" t="inlineStr">
        <is>
          <t>未実施</t>
        </is>
      </c>
      <c r="O35" s="6" t="inlineStr"/>
      <c r="P35" s="6" t="inlineStr"/>
      <c r="Q35" s="7" t="inlineStr">
        <is>
          <t>既存テスト：なし</t>
        </is>
      </c>
    </row>
    <row r="36">
      <c r="A36" s="4" t="n">
        <v>32</v>
      </c>
      <c r="B36" s="4" t="inlineStr">
        <is>
          <t>TC-UT_OWEB-018</t>
        </is>
      </c>
      <c r="C36" s="5" t="inlineStr">
        <is>
          <t>restoreTimelineScroll</t>
        </is>
      </c>
      <c r="D36" s="4" t="inlineStr">
        <is>
          <t>異常系</t>
        </is>
      </c>
      <c r="E36" s="4" t="inlineStr">
        <is>
          <t>エラー処理</t>
        </is>
      </c>
      <c r="F36" s="5" t="inlineStr">
        <is>
          <t>sessionStorage を読めなくても例外を出さず、スクロールしない</t>
        </is>
      </c>
      <c r="G36" s="5" t="inlineStr">
        <is>
          <t>前提：getItem が例外
入力：復元</t>
        </is>
      </c>
      <c r="H36" s="5" t="inlineStr">
        <is>
          <t>例外なし、scrollTo を呼ばない</t>
        </is>
      </c>
      <c r="I36" s="5" t="inlineStr">
        <is>
          <t>B12-T</t>
        </is>
      </c>
      <c r="J36" s="5" t="inlineStr">
        <is>
          <t>Storage.prototype.getItem、window.scrollTo</t>
        </is>
      </c>
      <c r="K36" s="5" t="inlineStr"/>
      <c r="L36" s="5" t="inlineStr"/>
      <c r="M36" s="5" t="inlineStr">
        <is>
          <t>TC-UT_OWEB-018 sessionStorage を読めなくても restoreTimelineScroll は例外を出さず、スクロールしない</t>
        </is>
      </c>
      <c r="N36" s="6" t="inlineStr">
        <is>
          <t>未実施</t>
        </is>
      </c>
      <c r="O36" s="6" t="inlineStr"/>
      <c r="P36" s="6" t="inlineStr"/>
      <c r="Q36" s="7" t="inlineStr">
        <is>
          <t>既存テスト：なし</t>
        </is>
      </c>
    </row>
    <row r="37">
      <c r="A37" s="4" t="n">
        <v>33</v>
      </c>
      <c r="B37" s="4" t="inlineStr">
        <is>
          <t>TC-UT_OWEB-019</t>
        </is>
      </c>
      <c r="C37" s="5" t="inlineStr">
        <is>
          <t>restoreTimelineScroll</t>
        </is>
      </c>
      <c r="D37" s="4" t="inlineStr">
        <is>
          <t>正常系</t>
        </is>
      </c>
      <c r="E37" s="4" t="inlineStr">
        <is>
          <t>境界値</t>
        </is>
      </c>
      <c r="F37" s="5" t="inlineStr">
        <is>
          <t>保存した位置が 0 なら (0, 0) へスクロールする</t>
        </is>
      </c>
      <c r="G37" s="5" t="inlineStr">
        <is>
          <t>前提：保存 '0'
入力：復元</t>
        </is>
      </c>
      <c r="H37" s="5" t="inlineStr">
        <is>
          <t>scrollTo(0, 0)</t>
        </is>
      </c>
      <c r="I37" s="5" t="inlineStr">
        <is>
          <t>B11-T</t>
        </is>
      </c>
      <c r="J37" s="5" t="inlineStr">
        <is>
          <t>window.scrollTo</t>
        </is>
      </c>
      <c r="K37" s="5" t="inlineStr"/>
      <c r="L37" s="5" t="inlineStr"/>
      <c r="M37" s="5" t="inlineStr">
        <is>
          <t>TC-UT_OWEB-019 保存した位置が 0 なら先頭（0, 0）へスクロールする</t>
        </is>
      </c>
      <c r="N37" s="6" t="inlineStr">
        <is>
          <t>未実施</t>
        </is>
      </c>
      <c r="O37" s="6" t="inlineStr"/>
      <c r="P37" s="6" t="inlineStr"/>
      <c r="Q37" s="7" t="inlineStr">
        <is>
          <t>既存テスト：一部 TC-NOUS49_DEV-13（420 だけ）</t>
        </is>
      </c>
    </row>
  </sheetData>
  <autoFilter ref="A4:Q37"/>
  <conditionalFormatting sqref="A5:Q87">
    <cfRule type="expression" priority="1" dxfId="0">
      <formula>$N5="NG"</formula>
    </cfRule>
    <cfRule type="expression" priority="2" dxfId="1">
      <formula>$N5="OK"</formula>
    </cfRule>
    <cfRule type="expression" priority="3" dxfId="2">
      <formula>$N5="保留"</formula>
    </cfRule>
  </conditionalFormatting>
  <dataValidations count="2">
    <dataValidation sqref="N5:N87" showDropDown="0" showInputMessage="0" showErrorMessage="0" allowBlank="1" type="list">
      <formula1>"未実施,OK,NG,保留,対象外"</formula1>
    </dataValidation>
    <dataValidation sqref="D5:D87" showDropDown="0" showInputMessage="0" showErrorMessage="0" allowBlank="1" type="list">
      <formula1>"正常系,異常系"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集計サマリ</t>
        </is>
      </c>
    </row>
    <row r="2">
      <c r="A2" s="2" t="inlineStr">
        <is>
          <t>観点表シートの内容から自動集計されます（手入力不要）。</t>
        </is>
      </c>
    </row>
    <row r="4">
      <c r="A4" s="8" t="inlineStr">
        <is>
          <t>ケース数</t>
        </is>
      </c>
      <c r="B4" s="9" t="n"/>
      <c r="C4" s="9" t="n"/>
    </row>
    <row r="5">
      <c r="A5" s="10" t="inlineStr">
        <is>
          <t>総ケース数</t>
        </is>
      </c>
      <c r="B5" s="10">
        <f>COUNTA(観点表!$B$5:$B$87)</f>
        <v/>
      </c>
    </row>
    <row r="6">
      <c r="A6" s="10" t="inlineStr">
        <is>
          <t>正常系</t>
        </is>
      </c>
      <c r="B6" s="10">
        <f>COUNTIF(観点表!$D$5:$D$87,"正常系")</f>
        <v/>
      </c>
    </row>
    <row r="7">
      <c r="A7" s="10" t="inlineStr">
        <is>
          <t>異常系</t>
        </is>
      </c>
      <c r="B7" s="10">
        <f>COUNTIF(観点表!$D$5:$D$87,"異常系")</f>
        <v/>
      </c>
    </row>
    <row r="9">
      <c r="A9" s="8" t="inlineStr">
        <is>
          <t>技法別</t>
        </is>
      </c>
      <c r="B9" s="9" t="n"/>
      <c r="C9" s="9" t="n"/>
    </row>
    <row r="10">
      <c r="A10" s="10" t="inlineStr">
        <is>
          <t>エラー処理</t>
        </is>
      </c>
      <c r="B10" s="10">
        <f>COUNTIF(観点表!$E$5:$E$87,"エラー処理")</f>
        <v/>
      </c>
    </row>
    <row r="11">
      <c r="A11" s="10" t="inlineStr">
        <is>
          <t>分岐網羅</t>
        </is>
      </c>
      <c r="B11" s="10">
        <f>COUNTIF(観点表!$E$5:$E$87,"分岐網羅")</f>
        <v/>
      </c>
    </row>
    <row r="12">
      <c r="A12" s="10" t="inlineStr">
        <is>
          <t>同値分割</t>
        </is>
      </c>
      <c r="B12" s="10">
        <f>COUNTIF(観点表!$E$5:$E$87,"同値分割")</f>
        <v/>
      </c>
    </row>
    <row r="13">
      <c r="A13" s="10" t="inlineStr">
        <is>
          <t>境界値</t>
        </is>
      </c>
      <c r="B13" s="10">
        <f>COUNTIF(観点表!$E$5:$E$87,"境界値")</f>
        <v/>
      </c>
    </row>
    <row r="14">
      <c r="A14" s="10" t="inlineStr">
        <is>
          <t>開発者テスト</t>
        </is>
      </c>
      <c r="B14" s="10">
        <f>COUNTIF(観点表!$E$5:$E$87,"開発者テスト")</f>
        <v/>
      </c>
    </row>
    <row r="16">
      <c r="A16" s="8" t="inlineStr">
        <is>
          <t>テストデータ</t>
        </is>
      </c>
      <c r="B16" s="9" t="n"/>
      <c r="C16" s="9" t="n"/>
    </row>
    <row r="17">
      <c r="A17" s="10" t="inlineStr">
        <is>
          <t>作成済み</t>
        </is>
      </c>
      <c r="B17" s="10">
        <f>COUNTIF(観点表!$K$5:$K$87,"?*")</f>
        <v/>
      </c>
    </row>
    <row r="18">
      <c r="A18" s="10" t="inlineStr">
        <is>
          <t>未作成</t>
        </is>
      </c>
      <c r="B18" s="10">
        <f>B5-B17</f>
        <v/>
      </c>
    </row>
    <row r="20">
      <c r="A20" s="8" t="inlineStr">
        <is>
          <t>実施状況</t>
        </is>
      </c>
      <c r="B20" s="9" t="n"/>
      <c r="C20" s="9" t="n"/>
    </row>
    <row r="21">
      <c r="A21" s="10" t="inlineStr">
        <is>
          <t>未実施</t>
        </is>
      </c>
      <c r="B21" s="10">
        <f>COUNTIF(観点表!$N$5:$N$87,"未実施")</f>
        <v/>
      </c>
    </row>
    <row r="22">
      <c r="A22" s="10" t="inlineStr">
        <is>
          <t>OK</t>
        </is>
      </c>
      <c r="B22" s="10">
        <f>COUNTIF(観点表!$N$5:$N$87,"OK")</f>
        <v/>
      </c>
    </row>
    <row r="23">
      <c r="A23" s="10" t="inlineStr">
        <is>
          <t>NG</t>
        </is>
      </c>
      <c r="B23" s="10">
        <f>COUNTIF(観点表!$N$5:$N$87,"NG")</f>
        <v/>
      </c>
    </row>
    <row r="24">
      <c r="A24" s="10" t="inlineStr">
        <is>
          <t>保留</t>
        </is>
      </c>
      <c r="B24" s="10">
        <f>COUNTIF(観点表!$N$5:$N$87,"保留")</f>
        <v/>
      </c>
    </row>
    <row r="25">
      <c r="A25" s="10" t="inlineStr">
        <is>
          <t>対象外</t>
        </is>
      </c>
      <c r="B25" s="10">
        <f>COUNTIF(観点表!$N$5:$N$87,"対象外")</f>
        <v/>
      </c>
    </row>
    <row r="26">
      <c r="A26" s="10" t="inlineStr">
        <is>
          <t>消化率（未実施以外 / 総数）</t>
        </is>
      </c>
      <c r="B26" s="11">
        <f>IF(B5=0,0,(B5-B21)/B5)</f>
        <v/>
      </c>
    </row>
    <row r="27">
      <c r="A27" s="10" t="inlineStr">
        <is>
          <t>合格率（OK / (総数-対象外)）</t>
        </is>
      </c>
      <c r="B27" s="11">
        <f>IF(B5-B25=0,0,B22/(B5-B25))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22" customWidth="1" min="4" max="4"/>
    <col width="40" customWidth="1" min="5" max="5"/>
    <col width="30" customWidth="1" min="6" max="6"/>
  </cols>
  <sheetData>
    <row r="1">
      <c r="A1" s="1" t="inlineStr">
        <is>
          <t>テストデータ一覧</t>
        </is>
      </c>
    </row>
    <row r="2">
      <c r="A2" s="2" t="inlineStr">
        <is>
          <t>観点表の各ケースで使う具体値を項目単位に展開したもの（参照用。編集は観点表の「テストデータ（具体値）」列で行う）。</t>
        </is>
      </c>
    </row>
    <row r="4">
      <c r="A4" s="12" t="inlineStr">
        <is>
          <t>ID</t>
        </is>
      </c>
      <c r="B4" s="12" t="inlineStr">
        <is>
          <t>観点</t>
        </is>
      </c>
      <c r="C4" s="12" t="inlineStr">
        <is>
          <t>区分</t>
        </is>
      </c>
      <c r="D4" s="12" t="inlineStr">
        <is>
          <t>項目</t>
        </is>
      </c>
      <c r="E4" s="12" t="inlineStr">
        <is>
          <t>値</t>
        </is>
      </c>
      <c r="F4" s="12" t="inlineStr">
        <is>
          <t>データ参照</t>
        </is>
      </c>
    </row>
    <row r="5">
      <c r="A5" s="13" t="inlineStr">
        <is>
          <t>TC-NOUS49_DEV-01</t>
        </is>
      </c>
      <c r="B5" s="13" t="inlineStr">
        <is>
          <t>2xx なら JSON を返し、credentials を same-origin にする</t>
        </is>
      </c>
      <c r="C5" s="13" t="inlineStr">
        <is>
          <t>未作成</t>
        </is>
      </c>
      <c r="D5" s="13" t="inlineStr"/>
      <c r="E5" s="13" t="inlineStr"/>
      <c r="F5" s="13" t="inlineStr"/>
    </row>
    <row r="6">
      <c r="A6" s="13" t="inlineStr">
        <is>
          <t>TC-NOUS49_DEV-02</t>
        </is>
      </c>
      <c r="B6" s="13" t="inlineStr">
        <is>
          <t>401 なら /not-invited へ移して NotInvitedError</t>
        </is>
      </c>
      <c r="C6" s="13" t="inlineStr">
        <is>
          <t>未作成</t>
        </is>
      </c>
      <c r="D6" s="13" t="inlineStr"/>
      <c r="E6" s="13" t="inlineStr"/>
      <c r="F6" s="13" t="inlineStr"/>
    </row>
    <row r="7">
      <c r="A7" s="13" t="inlineStr">
        <is>
          <t>TC-NOUS49_DEV-03</t>
        </is>
      </c>
      <c r="B7" s="13" t="inlineStr">
        <is>
          <t>2xx 以外は本文の error を ApiError にする</t>
        </is>
      </c>
      <c r="C7" s="13" t="inlineStr">
        <is>
          <t>未作成</t>
        </is>
      </c>
      <c r="D7" s="13" t="inlineStr"/>
      <c r="E7" s="13" t="inlineStr"/>
      <c r="F7" s="13" t="inlineStr"/>
    </row>
    <row r="8">
      <c r="A8" s="13" t="inlineStr">
        <is>
          <t>TC-NOUS49_DEV-04</t>
        </is>
      </c>
      <c r="B8" s="13" t="inlineStr">
        <is>
          <t>本文が JSON でない失敗は code を null</t>
        </is>
      </c>
      <c r="C8" s="13" t="inlineStr">
        <is>
          <t>未作成</t>
        </is>
      </c>
      <c r="D8" s="13" t="inlineStr"/>
      <c r="E8" s="13" t="inlineStr"/>
      <c r="F8" s="13" t="inlineStr"/>
    </row>
    <row r="9">
      <c r="A9" s="13" t="inlineStr">
        <is>
          <t>TC-NOUS49_DEV-05</t>
        </is>
      </c>
      <c r="B9" s="13" t="inlineStr">
        <is>
          <t>通信できなければ NetworkError</t>
        </is>
      </c>
      <c r="C9" s="13" t="inlineStr">
        <is>
          <t>未作成</t>
        </is>
      </c>
      <c r="D9" s="13" t="inlineStr"/>
      <c r="E9" s="13" t="inlineStr"/>
      <c r="F9" s="13" t="inlineStr"/>
    </row>
    <row r="10">
      <c r="A10" s="13" t="inlineStr">
        <is>
          <t>TC-NOUS49_DEV-06</t>
        </is>
      </c>
      <c r="B10" s="13" t="inlineStr">
        <is>
          <t>undefined の項目を付けない</t>
        </is>
      </c>
      <c r="C10" s="13" t="inlineStr">
        <is>
          <t>未作成</t>
        </is>
      </c>
      <c r="D10" s="13" t="inlineStr"/>
      <c r="E10" s="13" t="inlineStr"/>
      <c r="F10" s="13" t="inlineStr"/>
    </row>
    <row r="11">
      <c r="A11" s="13" t="inlineStr">
        <is>
          <t>TC-NOUS49_DEV-07</t>
        </is>
      </c>
      <c r="B11" s="13" t="inlineStr">
        <is>
          <t>limit と since を付けて呼ぶ</t>
        </is>
      </c>
      <c r="C11" s="13" t="inlineStr">
        <is>
          <t>未作成</t>
        </is>
      </c>
      <c r="D11" s="13" t="inlineStr"/>
      <c r="E11" s="13" t="inlineStr"/>
      <c r="F11" s="13" t="inlineStr"/>
    </row>
    <row r="12">
      <c r="A12" s="13" t="inlineStr">
        <is>
          <t>TC-NOUS49_DEV-08</t>
        </is>
      </c>
      <c r="B12" s="13" t="inlineStr">
        <is>
          <t>ID をパスに、条件をクエリに</t>
        </is>
      </c>
      <c r="C12" s="13" t="inlineStr">
        <is>
          <t>未作成</t>
        </is>
      </c>
      <c r="D12" s="13" t="inlineStr"/>
      <c r="E12" s="13" t="inlineStr"/>
      <c r="F12" s="13" t="inlineStr"/>
    </row>
    <row r="13">
      <c r="A13" s="13" t="inlineStr">
        <is>
          <t>TC-NOUS49_DEV-09</t>
        </is>
      </c>
      <c r="B13" s="13" t="inlineStr">
        <is>
          <t>0 秒は第 1 日 00:00</t>
        </is>
      </c>
      <c r="C13" s="13" t="inlineStr">
        <is>
          <t>未作成</t>
        </is>
      </c>
      <c r="D13" s="13" t="inlineStr"/>
      <c r="E13" s="13" t="inlineStr"/>
      <c r="F13" s="13" t="inlineStr"/>
    </row>
    <row r="14">
      <c r="A14" s="13" t="inlineStr">
        <is>
          <t>TC-NOUS49_DEV-10</t>
        </is>
      </c>
      <c r="B14" s="13" t="inlineStr">
        <is>
          <t>86399 秒は第 1 日 23:59</t>
        </is>
      </c>
      <c r="C14" s="13" t="inlineStr">
        <is>
          <t>未作成</t>
        </is>
      </c>
      <c r="D14" s="13" t="inlineStr"/>
      <c r="E14" s="13" t="inlineStr"/>
      <c r="F14" s="13" t="inlineStr"/>
    </row>
    <row r="15">
      <c r="A15" s="13" t="inlineStr">
        <is>
          <t>TC-NOUS49_DEV-11</t>
        </is>
      </c>
      <c r="B15" s="13" t="inlineStr">
        <is>
          <t>90061 秒は第 2 日 01:01</t>
        </is>
      </c>
      <c r="C15" s="13" t="inlineStr">
        <is>
          <t>未作成</t>
        </is>
      </c>
      <c r="D15" s="13" t="inlineStr"/>
      <c r="E15" s="13" t="inlineStr"/>
      <c r="F15" s="13" t="inlineStr"/>
    </row>
    <row r="16">
      <c r="A16" s="13" t="inlineStr">
        <is>
          <t>TC-NOUS49_DEV-12</t>
        </is>
      </c>
      <c r="B16" s="13" t="inlineStr">
        <is>
          <t>UTC を JST の HH:MM に</t>
        </is>
      </c>
      <c r="C16" s="13" t="inlineStr">
        <is>
          <t>未作成</t>
        </is>
      </c>
      <c r="D16" s="13" t="inlineStr"/>
      <c r="E16" s="13" t="inlineStr"/>
      <c r="F16" s="13" t="inlineStr"/>
    </row>
    <row r="17">
      <c r="A17" s="13" t="inlineStr">
        <is>
          <t>TC-NOUS49_DEV-13</t>
        </is>
      </c>
      <c r="B17" s="13" t="inlineStr">
        <is>
          <t>保存した位置に戻してキーを消す</t>
        </is>
      </c>
      <c r="C17" s="13" t="inlineStr">
        <is>
          <t>未作成</t>
        </is>
      </c>
      <c r="D17" s="13" t="inlineStr"/>
      <c r="E17" s="13" t="inlineStr"/>
      <c r="F17" s="13" t="inlineStr"/>
    </row>
    <row r="18">
      <c r="A18" s="13" t="inlineStr">
        <is>
          <t>TC-NOUS49_DEV-14</t>
        </is>
      </c>
      <c r="B18" s="13" t="inlineStr">
        <is>
          <t>保存が無ければ何もしない</t>
        </is>
      </c>
      <c r="C18" s="13" t="inlineStr">
        <is>
          <t>未作成</t>
        </is>
      </c>
      <c r="D18" s="13" t="inlineStr"/>
      <c r="E18" s="13" t="inlineStr"/>
      <c r="F18" s="13" t="inlineStr"/>
    </row>
    <row r="19">
      <c r="A19" s="13" t="inlineStr">
        <is>
          <t>TC-UT_OWEB-001</t>
        </is>
      </c>
      <c r="B19" s="13" t="inlineStr">
        <is>
          <t>init（method・headers）を引き継ぎ、credentials は same-origin で上書きする</t>
        </is>
      </c>
      <c r="C19" s="13" t="inlineStr">
        <is>
          <t>未作成</t>
        </is>
      </c>
      <c r="D19" s="13" t="inlineStr"/>
      <c r="E19" s="13" t="inlineStr"/>
      <c r="F19" s="13" t="inlineStr"/>
    </row>
    <row r="20">
      <c r="A20" s="13" t="inlineStr">
        <is>
          <t>TC-UT_OWEB-002</t>
        </is>
      </c>
      <c r="B20" s="13" t="inlineStr">
        <is>
          <t>401 のときは本文を読まずに /not-invited へ移す</t>
        </is>
      </c>
      <c r="C20" s="13" t="inlineStr">
        <is>
          <t>未作成</t>
        </is>
      </c>
      <c r="D20" s="13" t="inlineStr"/>
      <c r="E20" s="13" t="inlineStr"/>
      <c r="F20" s="13" t="inlineStr"/>
    </row>
    <row r="21">
      <c r="A21" s="13" t="inlineStr">
        <is>
          <t>TC-UT_OWEB-003</t>
        </is>
      </c>
      <c r="B21" s="13" t="inlineStr">
        <is>
          <t>2xx 以外で本文に error があれば status と code の ApiError にし、/not-invited へは移さない（404・403・400）</t>
        </is>
      </c>
      <c r="C21" s="13" t="inlineStr">
        <is>
          <t>未作成</t>
        </is>
      </c>
      <c r="D21" s="13" t="inlineStr"/>
      <c r="E21" s="13" t="inlineStr"/>
      <c r="F21" s="13" t="inlineStr"/>
    </row>
    <row r="22">
      <c r="A22" s="13" t="inlineStr">
        <is>
          <t>TC-UT_OWEB-004</t>
        </is>
      </c>
      <c r="B22" s="13" t="inlineStr">
        <is>
          <t>2xx 以外で本文が error の形でなければ code は null、message は「HTTP 状態」</t>
        </is>
      </c>
      <c r="C22" s="13" t="inlineStr">
        <is>
          <t>未作成</t>
        </is>
      </c>
      <c r="D22" s="13" t="inlineStr"/>
      <c r="E22" s="13" t="inlineStr"/>
      <c r="F22" s="13" t="inlineStr"/>
    </row>
    <row r="23">
      <c r="A23" s="13" t="inlineStr">
        <is>
          <t>TC-UT_OWEB-005</t>
        </is>
      </c>
      <c r="B23" s="13" t="inlineStr">
        <is>
          <t>2xx でも本文が JSON でなければ JSON の例外のまま投げる</t>
        </is>
      </c>
      <c r="C23" s="13" t="inlineStr">
        <is>
          <t>未作成</t>
        </is>
      </c>
      <c r="D23" s="13" t="inlineStr"/>
      <c r="E23" s="13" t="inlineStr"/>
      <c r="F23" s="13" t="inlineStr"/>
    </row>
    <row r="24">
      <c r="A24" s="13" t="inlineStr">
        <is>
          <t>TC-UT_OWEB-006</t>
        </is>
      </c>
      <c r="B24" s="13" t="inlineStr">
        <is>
          <t>NetworkError は元の例外を cause に持つ</t>
        </is>
      </c>
      <c r="C24" s="13" t="inlineStr">
        <is>
          <t>未作成</t>
        </is>
      </c>
      <c r="D24" s="13" t="inlineStr"/>
      <c r="E24" s="13" t="inlineStr"/>
      <c r="F24" s="13" t="inlineStr"/>
    </row>
    <row r="25">
      <c r="A25" s="13" t="inlineStr">
        <is>
          <t>TC-UT_OWEB-007</t>
        </is>
      </c>
      <c r="B25" s="13" t="inlineStr">
        <is>
          <t>項目がすべて undefined なら ? を付けない</t>
        </is>
      </c>
      <c r="C25" s="13" t="inlineStr">
        <is>
          <t>未作成</t>
        </is>
      </c>
      <c r="D25" s="13" t="inlineStr"/>
      <c r="E25" s="13" t="inlineStr"/>
      <c r="F25" s="13" t="inlineStr"/>
    </row>
    <row r="26">
      <c r="A26" s="13" t="inlineStr">
        <is>
          <t>TC-UT_OWEB-008</t>
        </is>
      </c>
      <c r="B26" s="13" t="inlineStr">
        <is>
          <t>0 と空文字は値として残す</t>
        </is>
      </c>
      <c r="C26" s="13" t="inlineStr">
        <is>
          <t>未作成</t>
        </is>
      </c>
      <c r="D26" s="13" t="inlineStr"/>
      <c r="E26" s="13" t="inlineStr"/>
      <c r="F26" s="13" t="inlineStr"/>
    </row>
    <row r="27">
      <c r="A27" s="13" t="inlineStr">
        <is>
          <t>TC-UT_OWEB-009</t>
        </is>
      </c>
      <c r="B27" s="13" t="inlineStr">
        <is>
          <t>/api/world を呼ぶ</t>
        </is>
      </c>
      <c r="C27" s="13" t="inlineStr">
        <is>
          <t>未作成</t>
        </is>
      </c>
      <c r="D27" s="13" t="inlineStr"/>
      <c r="E27" s="13" t="inlineStr"/>
      <c r="F27" s="13" t="inlineStr"/>
    </row>
    <row r="28">
      <c r="A28" s="13" t="inlineStr">
        <is>
          <t>TC-UT_OWEB-010</t>
        </is>
      </c>
      <c r="B28" s="13" t="inlineStr">
        <is>
          <t>条件なしなら /api/timeline、cursor と limit があればクエリに付ける</t>
        </is>
      </c>
      <c r="C28" s="13" t="inlineStr">
        <is>
          <t>未作成</t>
        </is>
      </c>
      <c r="D28" s="13" t="inlineStr"/>
      <c r="E28" s="13" t="inlineStr"/>
      <c r="F28" s="13" t="inlineStr"/>
    </row>
    <row r="29">
      <c r="A29" s="13" t="inlineStr">
        <is>
          <t>TC-UT_OWEB-011</t>
        </is>
      </c>
      <c r="B29" s="13" t="inlineStr">
        <is>
          <t>postId の / と空白をエンコードし、depth と from を付ける</t>
        </is>
      </c>
      <c r="C29" s="13" t="inlineStr">
        <is>
          <t>未作成</t>
        </is>
      </c>
      <c r="D29" s="13" t="inlineStr"/>
      <c r="E29" s="13" t="inlineStr"/>
      <c r="F29" s="13" t="inlineStr"/>
    </row>
    <row r="30">
      <c r="A30" s="13" t="inlineStr">
        <is>
          <t>TC-UT_OWEB-012</t>
        </is>
      </c>
      <c r="B30" s="13" t="inlineStr">
        <is>
          <t>agentId をエンコードし、過去投稿には cursor と limit を付ける</t>
        </is>
      </c>
      <c r="C30" s="13" t="inlineStr">
        <is>
          <t>未作成</t>
        </is>
      </c>
      <c r="D30" s="13" t="inlineStr"/>
      <c r="E30" s="13" t="inlineStr"/>
      <c r="F30" s="13" t="inlineStr"/>
    </row>
    <row r="31">
      <c r="A31" s="13" t="inlineStr">
        <is>
          <t>TC-UT_OWEB-013</t>
        </is>
      </c>
      <c r="B31" s="13" t="inlineStr">
        <is>
          <t>負の値は 0 に、小数は切り捨てて扱う</t>
        </is>
      </c>
      <c r="C31" s="13" t="inlineStr">
        <is>
          <t>未作成</t>
        </is>
      </c>
      <c r="D31" s="13" t="inlineStr"/>
      <c r="E31" s="13" t="inlineStr"/>
      <c r="F31" s="13" t="inlineStr"/>
    </row>
    <row r="32">
      <c r="A32" s="13" t="inlineStr">
        <is>
          <t>TC-UT_OWEB-014</t>
        </is>
      </c>
      <c r="B32" s="13" t="inlineStr">
        <is>
          <t>分・時・日の境目で繰り上がる</t>
        </is>
      </c>
      <c r="C32" s="13" t="inlineStr">
        <is>
          <t>未作成</t>
        </is>
      </c>
      <c r="D32" s="13" t="inlineStr"/>
      <c r="E32" s="13" t="inlineStr"/>
      <c r="F32" s="13" t="inlineStr"/>
    </row>
    <row r="33">
      <c r="A33" s="13" t="inlineStr">
        <is>
          <t>TC-UT_OWEB-015</t>
        </is>
      </c>
      <c r="B33" s="13" t="inlineStr">
        <is>
          <t>JST の日付の境目で 23:59 と 00:00 を出す</t>
        </is>
      </c>
      <c r="C33" s="13" t="inlineStr">
        <is>
          <t>未作成</t>
        </is>
      </c>
      <c r="D33" s="13" t="inlineStr"/>
      <c r="E33" s="13" t="inlineStr"/>
      <c r="F33" s="13" t="inlineStr"/>
    </row>
    <row r="34">
      <c r="A34" s="13" t="inlineStr">
        <is>
          <t>TC-UT_OWEB-016</t>
        </is>
      </c>
      <c r="B34" s="13" t="inlineStr">
        <is>
          <t>sessionStorage に保存できなくても例外を出さない</t>
        </is>
      </c>
      <c r="C34" s="13" t="inlineStr">
        <is>
          <t>未作成</t>
        </is>
      </c>
      <c r="D34" s="13" t="inlineStr"/>
      <c r="E34" s="13" t="inlineStr"/>
      <c r="F34" s="13" t="inlineStr"/>
    </row>
    <row r="35">
      <c r="A35" s="13" t="inlineStr">
        <is>
          <t>TC-UT_OWEB-017</t>
        </is>
      </c>
      <c r="B35" s="13" t="inlineStr">
        <is>
          <t>保存した値が数でなければスクロールせず、キーは消す</t>
        </is>
      </c>
      <c r="C35" s="13" t="inlineStr">
        <is>
          <t>未作成</t>
        </is>
      </c>
      <c r="D35" s="13" t="inlineStr"/>
      <c r="E35" s="13" t="inlineStr"/>
      <c r="F35" s="13" t="inlineStr"/>
    </row>
    <row r="36">
      <c r="A36" s="13" t="inlineStr">
        <is>
          <t>TC-UT_OWEB-018</t>
        </is>
      </c>
      <c r="B36" s="13" t="inlineStr">
        <is>
          <t>sessionStorage を読めなくても例外を出さず、スクロールしない</t>
        </is>
      </c>
      <c r="C36" s="13" t="inlineStr">
        <is>
          <t>未作成</t>
        </is>
      </c>
      <c r="D36" s="13" t="inlineStr"/>
      <c r="E36" s="13" t="inlineStr"/>
      <c r="F36" s="13" t="inlineStr"/>
    </row>
    <row r="37">
      <c r="A37" s="13" t="inlineStr">
        <is>
          <t>TC-UT_OWEB-019</t>
        </is>
      </c>
      <c r="B37" s="13" t="inlineStr">
        <is>
          <t>保存した位置が 0 なら (0, 0) へスクロールする</t>
        </is>
      </c>
      <c r="C37" s="13" t="inlineStr">
        <is>
          <t>未作成</t>
        </is>
      </c>
      <c r="D37" s="13" t="inlineStr"/>
      <c r="E37" s="13" t="inlineStr"/>
      <c r="F37" s="13" t="inlineStr"/>
    </row>
  </sheetData>
  <autoFilter ref="A4:F37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30" customWidth="1" min="3" max="3"/>
  </cols>
  <sheetData>
    <row r="1">
      <c r="A1" s="1" t="inlineStr">
        <is>
          <t>対象概要</t>
        </is>
      </c>
    </row>
    <row r="3">
      <c r="A3" s="14" t="inlineStr">
        <is>
          <t>タイトル</t>
        </is>
      </c>
      <c r="B3" s="15" t="inlineStr">
        <is>
          <t>観察画面の API の呼び出しと共通の関数（api/client・endpoints、lib/worldTime・scrollRestore）</t>
        </is>
      </c>
    </row>
    <row r="4">
      <c r="A4" s="14" t="inlineStr">
        <is>
          <t>対象ファイル</t>
        </is>
      </c>
      <c r="B4" s="15" t="inlineStr">
        <is>
          <t>apps/observer/src/api/client.ts, apps/observer/src/api/endpoints.ts, apps/observer/src/lib/worldTime.ts, apps/observer/src/lib/scrollRestore.ts</t>
        </is>
      </c>
    </row>
    <row r="5">
      <c r="A5" s="14" t="inlineStr">
        <is>
          <t>言語 / フレームワーク</t>
        </is>
      </c>
      <c r="B5" s="15" t="inlineStr">
        <is>
          <t>TypeScript / Vitest 2.1.9（environment: jsdom、Testing Library）</t>
        </is>
      </c>
    </row>
    <row r="6">
      <c r="A6" s="14" t="inlineStr">
        <is>
          <t>テストファイル</t>
        </is>
      </c>
      <c r="B6" s="15" t="inlineStr">
        <is>
          <t>apps/observer/src/api/client.test.ts, apps/observer/src/api/client.ut.test.ts, apps/observer/src/api/endpoints.test.ts, apps/observer/src/api/endpoints.ut.test.ts, apps/observer/src/lib/worldTime.test.ts, apps/observer/src/lib/worldTime.ut.test.ts, apps/observer/src/lib/scrollRestore.test.ts, apps/observer/src/lib/scrollRestore.ut.test.ts</t>
        </is>
      </c>
    </row>
    <row r="7">
      <c r="A7" s="14" t="inlineStr">
        <is>
          <t>外部依存</t>
        </is>
      </c>
      <c r="B7" s="15" t="inlineStr">
        <is>
          <t>fetch, window.location.replace（navigation.toNotInvited で差し替え）, sessionStorage, window.scrollTo, Intl.DateTimeFormat（Asia/Tokyo）, 共通の準備は apps/observer/src/test/observerUt.tsx（このチケットで新しく作った、単体テストだけが使う補助）</t>
        </is>
      </c>
    </row>
    <row r="8">
      <c r="A8" s="14" t="inlineStr">
        <is>
          <t>作成日</t>
        </is>
      </c>
      <c r="B8" s="15" t="inlineStr">
        <is>
          <t>2026-10-26</t>
        </is>
      </c>
    </row>
    <row r="10">
      <c r="A10" s="16" t="inlineStr">
        <is>
          <t>分岐ID</t>
        </is>
      </c>
      <c r="B10" s="16" t="inlineStr">
        <is>
          <t>条件</t>
        </is>
      </c>
      <c r="C10" s="16" t="inlineStr">
        <is>
          <t>場所</t>
        </is>
      </c>
    </row>
    <row r="11">
      <c r="A11" s="17" t="inlineStr">
        <is>
          <t>B1</t>
        </is>
      </c>
      <c r="B11" s="17" t="inlineStr">
        <is>
          <t>fetchJson：fetch が例外（NetworkError）</t>
        </is>
      </c>
      <c r="C11" s="17" t="inlineStr">
        <is>
          <t>client.ts:45-49</t>
        </is>
      </c>
    </row>
    <row r="12">
      <c r="A12" s="17" t="inlineStr">
        <is>
          <t>B2</t>
        </is>
      </c>
      <c r="B12" s="17" t="inlineStr">
        <is>
          <t>fetchJson：status が 401</t>
        </is>
      </c>
      <c r="C12" s="17" t="inlineStr">
        <is>
          <t>client.ts:50</t>
        </is>
      </c>
    </row>
    <row r="13">
      <c r="A13" s="17" t="inlineStr">
        <is>
          <t>B3</t>
        </is>
      </c>
      <c r="B13" s="17" t="inlineStr">
        <is>
          <t>fetchJson：2xx 以外（!res.ok）</t>
        </is>
      </c>
      <c r="C13" s="17" t="inlineStr">
        <is>
          <t>client.ts:54</t>
        </is>
      </c>
    </row>
    <row r="14">
      <c r="A14" s="17" t="inlineStr">
        <is>
          <t>B4</t>
        </is>
      </c>
      <c r="B14" s="17" t="inlineStr">
        <is>
          <t>isApiErrorBody：オブジェクトで error を持つ</t>
        </is>
      </c>
      <c r="C14" s="17" t="inlineStr">
        <is>
          <t>client.ts:40・56</t>
        </is>
      </c>
    </row>
    <row r="15">
      <c r="A15" s="17" t="inlineStr">
        <is>
          <t>B5</t>
        </is>
      </c>
      <c r="B15" s="17" t="inlineStr">
        <is>
          <t>fetchJson：失敗の本文が JSON でない（null にする）</t>
        </is>
      </c>
      <c r="C15" s="17" t="inlineStr">
        <is>
          <t>client.ts:55</t>
        </is>
      </c>
    </row>
    <row r="16">
      <c r="A16" s="17" t="inlineStr">
        <is>
          <t>B6</t>
        </is>
      </c>
      <c r="B16" s="17" t="inlineStr">
        <is>
          <t>withQuery：値が undefined でない</t>
        </is>
      </c>
      <c r="C16" s="17" t="inlineStr">
        <is>
          <t>endpoints.ts:22</t>
        </is>
      </c>
    </row>
    <row r="17">
      <c r="A17" s="17" t="inlineStr">
        <is>
          <t>B7</t>
        </is>
      </c>
      <c r="B17" s="17" t="inlineStr">
        <is>
          <t>withQuery：クエリ文字列が空でない</t>
        </is>
      </c>
      <c r="C17" s="17" t="inlineStr">
        <is>
          <t>endpoints.ts:25</t>
        </is>
      </c>
    </row>
    <row r="18">
      <c r="A18" s="17" t="inlineStr">
        <is>
          <t>B8</t>
        </is>
      </c>
      <c r="B18" s="17" t="inlineStr">
        <is>
          <t>formatWorldTime：負の値を 0 にする（Math.max）</t>
        </is>
      </c>
      <c r="C18" s="17" t="inlineStr">
        <is>
          <t>worldTime.ts:7</t>
        </is>
      </c>
    </row>
    <row r="19">
      <c r="A19" s="17" t="inlineStr">
        <is>
          <t>B9</t>
        </is>
      </c>
      <c r="B19" s="17" t="inlineStr">
        <is>
          <t>saveTimelineScroll：setItem が例外</t>
        </is>
      </c>
      <c r="C19" s="17" t="inlineStr">
        <is>
          <t>scrollRestore.ts:5-9</t>
        </is>
      </c>
    </row>
    <row r="20">
      <c r="A20" s="17" t="inlineStr">
        <is>
          <t>B10</t>
        </is>
      </c>
      <c r="B20" s="17" t="inlineStr">
        <is>
          <t>restoreTimelineScroll：保存が無い（null）</t>
        </is>
      </c>
      <c r="C20" s="17" t="inlineStr">
        <is>
          <t>scrollRestore.ts:15</t>
        </is>
      </c>
    </row>
    <row r="21">
      <c r="A21" s="17" t="inlineStr">
        <is>
          <t>B11</t>
        </is>
      </c>
      <c r="B21" s="17" t="inlineStr">
        <is>
          <t>restoreTimelineScroll：保存した値が有限の数</t>
        </is>
      </c>
      <c r="C21" s="17" t="inlineStr">
        <is>
          <t>scrollRestore.ts:18</t>
        </is>
      </c>
    </row>
    <row r="22">
      <c r="A22" s="17" t="inlineStr">
        <is>
          <t>B12</t>
        </is>
      </c>
      <c r="B22" s="17" t="inlineStr">
        <is>
          <t>restoreTimelineScroll：sessionStorage の例外</t>
        </is>
      </c>
      <c r="C22" s="17" t="inlineStr">
        <is>
          <t>scrollRestore.ts:19-21</t>
        </is>
      </c>
    </row>
    <row r="24">
      <c r="A24" s="14" t="inlineStr">
        <is>
          <t>確認事項・潜在バグ</t>
        </is>
      </c>
    </row>
    <row r="25" ht="30" customHeight="1">
      <c r="A25" s="18" t="inlineStr">
        <is>
          <t>・確認事項 1：navigateToNotInvited（window.location.replace）は jsdom の location を差し替えられないため単体テストでは直接通さない。fetchJson からの呼び出しは navigation.toNotInvited を差し替えて確かめている（TC-NOUS49_DEV-02、TC-UT_OWEB-002）。履歴に残らないことは結合テスト（Playwright）で見る</t>
        </is>
      </c>
    </row>
    <row r="26" ht="30" customHeight="1">
      <c r="A26" s="18" t="inlineStr">
        <is>
          <t>・実施の手がかり：TC-NOUS49_DEV-08 は fetch の mockResolvedValue で同じ Response を 2 回返すため、2 回目の res.json() が「Body has already been read」で落ちる見込み。テストの書き方の問題として切り分ける（UT では呼ぶたびに新しい Response を作っている）</t>
        </is>
      </c>
    </row>
  </sheetData>
  <mergeCells count="2">
    <mergeCell ref="A25:C25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2026-10-26T06:13:48Z</dcterms:created>
  <dcterms:modified xsi:type="dcterms:W3CDTF">2026-10-26T06:13:48Z</dcterms:modified>
</cp:coreProperties>
</file>