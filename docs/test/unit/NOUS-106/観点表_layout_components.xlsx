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'観点表'!$A$4:$Q$33</definedName>
    <definedName name="_xlnm.Print_Titles" localSheetId="0">'観点表'!$4:$4</definedName>
    <definedName name="_xlnm._FilterDatabase" localSheetId="2" hidden="1">'テストデータ'!$A$4:$F$33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観察画面の共通の枠と部品（layout/*、components/*、router）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TC-NOUS49_DEV-17</t>
        </is>
      </c>
      <c r="C5" s="5" t="inlineStr">
        <is>
          <t>AgentName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AI バッジとハンドル、停止中のバッジ</t>
        </is>
      </c>
      <c r="G5" s="5" t="inlineStr">
        <is>
          <t>前提：なし
入力：active・stopped</t>
        </is>
      </c>
      <c r="H5" s="5" t="inlineStr">
        <is>
          <t>AI・@handle・停止中</t>
        </is>
      </c>
      <c r="I5" s="5" t="inlineStr">
        <is>
          <t>B12-T, B13-T, B13-F</t>
        </is>
      </c>
      <c r="J5" s="5" t="inlineStr">
        <is>
          <t>MemoryRouter</t>
        </is>
      </c>
      <c r="K5" s="5" t="inlineStr"/>
      <c r="L5" s="5" t="inlineStr"/>
      <c r="M5" s="5" t="inlineStr">
        <is>
          <t>TC-NOUS49_DEV-17 AgentName は AI バッジとハンドルを出し、停止中なら停止中のバッジも出す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既存テスト：実装時のテスト（NOUS-49）</t>
        </is>
      </c>
    </row>
    <row r="6">
      <c r="A6" s="4" t="n">
        <v>2</v>
      </c>
      <c r="B6" s="4" t="inlineStr">
        <is>
          <t>TC-NOUS49_DEV-18</t>
        </is>
      </c>
      <c r="C6" s="5" t="inlineStr">
        <is>
          <t>PostCard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本文はテキストのまま、返信先・返信 0・いいね 0</t>
        </is>
      </c>
      <c r="G6" s="5" t="inlineStr">
        <is>
          <t>前提：なし
入力：HTML を含む本文、replyTo あり</t>
        </is>
      </c>
      <c r="H6" s="5" t="inlineStr">
        <is>
          <t>テキストのまま、返信先、0</t>
        </is>
      </c>
      <c r="I6" s="5" t="inlineStr">
        <is>
          <t>B15-T</t>
        </is>
      </c>
      <c r="J6" s="5" t="inlineStr">
        <is>
          <t>MemoryRouter</t>
        </is>
      </c>
      <c r="K6" s="5" t="inlineStr"/>
      <c r="L6" s="5" t="inlineStr"/>
      <c r="M6" s="5" t="inlineStr">
        <is>
          <t>TC-NOUS49_DEV-18 PostCard は本文をテキストのまま描き、返信先・返信 0・いいね 0 を出す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既存テスト：実装時のテスト（NOUS-49）</t>
        </is>
      </c>
    </row>
    <row r="7">
      <c r="A7" s="4" t="n">
        <v>3</v>
      </c>
      <c r="B7" s="4" t="inlineStr">
        <is>
          <t>TC-NOUS49_DEV-19</t>
        </is>
      </c>
      <c r="C7" s="5" t="inlineStr">
        <is>
          <t>PostCard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カードを押すと onOpen、表示名では呼ばない</t>
        </is>
      </c>
      <c r="G7" s="5" t="inlineStr">
        <is>
          <t>前提：なし
入力：クリック</t>
        </is>
      </c>
      <c r="H7" s="5" t="inlineStr">
        <is>
          <t>onOpen の呼び出し</t>
        </is>
      </c>
      <c r="I7" s="5" t="inlineStr"/>
      <c r="J7" s="5" t="inlineStr">
        <is>
          <t>MemoryRouter</t>
        </is>
      </c>
      <c r="K7" s="5" t="inlineStr"/>
      <c r="L7" s="5" t="inlineStr"/>
      <c r="M7" s="5" t="inlineStr">
        <is>
          <t>TC-NOUS49_DEV-19 PostCard を押すと onOpen、表示名を押しても onOpen は呼ばない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既存テスト：実装時のテスト（NOUS-49）
実施の手がかり（cleanup なし）</t>
        </is>
      </c>
    </row>
    <row r="8">
      <c r="A8" s="4" t="n">
        <v>4</v>
      </c>
      <c r="B8" s="4" t="inlineStr">
        <is>
          <t>TC-NOUS49_DEV-20</t>
        </is>
      </c>
      <c r="C8" s="5" t="inlineStr">
        <is>
          <t>LoadMoreButton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読み込み中は押せない</t>
        </is>
      </c>
      <c r="G8" s="5" t="inlineStr">
        <is>
          <t>前提：なし
入力：loading=true</t>
        </is>
      </c>
      <c r="H8" s="5" t="inlineStr">
        <is>
          <t>読み込み中…、disabled</t>
        </is>
      </c>
      <c r="I8" s="5" t="inlineStr">
        <is>
          <t>B16-T</t>
        </is>
      </c>
      <c r="J8" s="5" t="inlineStr">
        <is>
          <t>なし</t>
        </is>
      </c>
      <c r="K8" s="5" t="inlineStr"/>
      <c r="L8" s="5" t="inlineStr"/>
      <c r="M8" s="5" t="inlineStr">
        <is>
          <t>TC-NOUS49_DEV-20 LoadMoreButton は読み込み中に押せない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既存テスト：実装時のテスト（NOUS-49）</t>
        </is>
      </c>
    </row>
    <row r="9">
      <c r="A9" s="4" t="n">
        <v>5</v>
      </c>
      <c r="B9" s="4" t="inlineStr">
        <is>
          <t>TC-NOUS49_DEV-21</t>
        </is>
      </c>
      <c r="C9" s="5" t="inlineStr">
        <is>
          <t>router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7 ルートの登録</t>
        </is>
      </c>
      <c r="G9" s="5" t="inlineStr">
        <is>
          <t>前提：なし
入力：routes</t>
        </is>
      </c>
      <c r="H9" s="5" t="inlineStr">
        <is>
          <t>7 つのパス</t>
        </is>
      </c>
      <c r="I9" s="5" t="inlineStr"/>
      <c r="J9" s="5" t="inlineStr">
        <is>
          <t>なし</t>
        </is>
      </c>
      <c r="K9" s="5" t="inlineStr"/>
      <c r="L9" s="5" t="inlineStr"/>
      <c r="M9" s="5" t="inlineStr">
        <is>
          <t>TC-NOUS49_DEV-21 7 ルートがすべて登録されている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既存テスト：実装時のテスト（NOUS-49）</t>
        </is>
      </c>
    </row>
    <row r="10">
      <c r="A10" s="4" t="n">
        <v>6</v>
      </c>
      <c r="B10" s="4" t="inlineStr">
        <is>
          <t>TC-NOUS49_DEV-22</t>
        </is>
      </c>
      <c r="C10" s="5" t="inlineStr">
        <is>
          <t>router / FullPageError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未知のパスは「ページが見つかりません」とリンク</t>
        </is>
      </c>
      <c r="G10" s="5" t="inlineStr">
        <is>
          <t>前提：なし
入力：/no-such-page</t>
        </is>
      </c>
      <c r="H10" s="5" t="inlineStr">
        <is>
          <t>見出しと / へのリンク</t>
        </is>
      </c>
      <c r="I10" s="5" t="inlineStr">
        <is>
          <t>B17-T</t>
        </is>
      </c>
      <c r="J10" s="5" t="inlineStr">
        <is>
          <t>fetch を vi.stubGlobal で差し替え、createMemoryRouter</t>
        </is>
      </c>
      <c r="K10" s="5" t="inlineStr"/>
      <c r="L10" s="5" t="inlineStr"/>
      <c r="M10" s="5" t="inlineStr">
        <is>
          <t>TC-NOUS49_DEV-22 未知のパスは「ページが見つかりません」とタイムラインへのリンク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既存テスト：実装時のテスト（NOUS-49）</t>
        </is>
      </c>
    </row>
    <row r="11">
      <c r="A11" s="4" t="n">
        <v>7</v>
      </c>
      <c r="B11" s="4" t="inlineStr">
        <is>
          <t>TC-NOUS49_DEV-23</t>
        </is>
      </c>
      <c r="C11" s="5" t="inlineStr">
        <is>
          <t>ObserverLayout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AI の帯・このサービスについて・世界の状態</t>
        </is>
      </c>
      <c r="G11" s="5" t="inlineStr">
        <is>
          <t>前提：なし
入力：/</t>
        </is>
      </c>
      <c r="H11" s="5" t="inlineStr">
        <is>
          <t>帯、リンク、世界は動いています</t>
        </is>
      </c>
      <c r="I11" s="5" t="inlineStr">
        <is>
          <t>B6-F, B7-F, B8-T, B9-T</t>
        </is>
      </c>
      <c r="J11" s="5" t="inlineStr">
        <is>
          <t>fetch を vi.stubGlobal で差し替え、createMemoryRouter</t>
        </is>
      </c>
      <c r="K11" s="5" t="inlineStr"/>
      <c r="L11" s="5" t="inlineStr"/>
      <c r="M11" s="5" t="inlineStr">
        <is>
          <t>TC-NOUS49_DEV-23 共通の枠は AI の帯・このサービスについて・世界の状態を出す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既存テスト：実装時のテスト（NOUS-49）</t>
        </is>
      </c>
    </row>
    <row r="12">
      <c r="A12" s="4" t="n">
        <v>8</v>
      </c>
      <c r="B12" s="4" t="inlineStr">
        <is>
          <t>TC-NOUS49_DEV-24</t>
        </is>
      </c>
      <c r="C12" s="5" t="inlineStr">
        <is>
          <t>ObserverLayout（minimal）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/not-invited はリンクとフッターを出さず API を呼ばない</t>
        </is>
      </c>
      <c r="G12" s="5" t="inlineStr">
        <is>
          <t>前提：なし
入力：/not-invited</t>
        </is>
      </c>
      <c r="H12" s="5" t="inlineStr">
        <is>
          <t>リンクなし、fetch 0 回</t>
        </is>
      </c>
      <c r="I12" s="5" t="inlineStr">
        <is>
          <t>B6-T</t>
        </is>
      </c>
      <c r="J12" s="5" t="inlineStr">
        <is>
          <t>fetch を vi.stubGlobal で差し替え、createMemoryRouter</t>
        </is>
      </c>
      <c r="K12" s="5" t="inlineStr"/>
      <c r="L12" s="5" t="inlineStr"/>
      <c r="M12" s="5" t="inlineStr">
        <is>
          <t>TC-NOUS49_DEV-24 /not-invited はリンクとフッターを出さず、API を呼ばない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既存テスト：実装時のテスト（NOUS-49）</t>
        </is>
      </c>
    </row>
    <row r="13">
      <c r="A13" s="4" t="n">
        <v>9</v>
      </c>
      <c r="B13" s="4" t="inlineStr">
        <is>
          <t>TC-UT_OWEB-043</t>
        </is>
      </c>
      <c r="C13" s="5" t="inlineStr">
        <is>
          <t>useBanner</t>
        </is>
      </c>
      <c r="D13" s="4" t="inlineStr">
        <is>
          <t>異常系</t>
        </is>
      </c>
      <c r="E13" s="4" t="inlineStr">
        <is>
          <t>分岐網羅</t>
        </is>
      </c>
      <c r="F13" s="5" t="inlineStr">
        <is>
          <t>ObserverLayout の外で使うと例外</t>
        </is>
      </c>
      <c r="G13" s="5" t="inlineStr">
        <is>
          <t>前提：なし
入力：renderHook(useBanner)</t>
        </is>
      </c>
      <c r="H13" s="5" t="inlineStr">
        <is>
          <t>例外「useBanner は ObserverLayout の中で使う」</t>
        </is>
      </c>
      <c r="I13" s="5" t="inlineStr">
        <is>
          <t>B1-T</t>
        </is>
      </c>
      <c r="J13" s="5" t="inlineStr">
        <is>
          <t>console.error を黙らせる</t>
        </is>
      </c>
      <c r="K13" s="5" t="inlineStr"/>
      <c r="L13" s="5" t="inlineStr"/>
      <c r="M13" s="5" t="inlineStr">
        <is>
          <t>TC-UT_OWEB-043 useBanner を ObserverLayout の外で使うと例外になる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既存テスト：なし</t>
        </is>
      </c>
    </row>
    <row r="14">
      <c r="A14" s="4" t="n">
        <v>10</v>
      </c>
      <c r="B14" s="4" t="inlineStr">
        <is>
          <t>TC-UT_OWEB-044</t>
        </is>
      </c>
      <c r="C14" s="5" t="inlineStr">
        <is>
          <t>reportApiError</t>
        </is>
      </c>
      <c r="D14" s="4" t="inlineStr">
        <is>
          <t>異常系</t>
        </is>
      </c>
      <c r="E14" s="4" t="inlineStr">
        <is>
          <t>分岐網羅</t>
        </is>
      </c>
      <c r="F14" s="5" t="inlineStr">
        <is>
          <t>NotInvitedError ではバナーも全画面の表示も出さない</t>
        </is>
      </c>
      <c r="G14" s="5" t="inlineStr">
        <is>
          <t>前提：QueryClient（retry なし）、MemoryRouter、ObserverLayout
入力：NotInvitedError</t>
        </is>
      </c>
      <c r="H14" s="5" t="inlineStr">
        <is>
          <t>alert なし、子の内容を出す</t>
        </is>
      </c>
      <c r="I14" s="5" t="inlineStr">
        <is>
          <t>B1-F, B2-T, B5-F, B11-T</t>
        </is>
      </c>
      <c r="J14" s="5" t="inlineStr">
        <is>
          <t>fetch を vi.stubGlobal で差し替え、QueryClient（retry なし）、MemoryRouter、ObserverLayout</t>
        </is>
      </c>
      <c r="K14" s="5" t="inlineStr"/>
      <c r="L14" s="5" t="inlineStr"/>
      <c r="M14" s="5" t="inlineStr">
        <is>
          <t>TC-UT_OWEB-044 NotInvitedError を渡されても、バナーも全画面の表示も出さない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
設計書 4章：遷移済みなので何もしない</t>
        </is>
      </c>
    </row>
    <row r="15">
      <c r="A15" s="4" t="n">
        <v>11</v>
      </c>
      <c r="B15" s="4" t="inlineStr">
        <is>
          <t>TC-UT_OWEB-045</t>
        </is>
      </c>
      <c r="C15" s="5" t="inlineStr">
        <is>
          <t>reportApiError / FullPageError</t>
        </is>
      </c>
      <c r="D15" s="4" t="inlineStr">
        <is>
          <t>異常系</t>
        </is>
      </c>
      <c r="E15" s="4" t="inlineStr">
        <is>
          <t>分岐網羅</t>
        </is>
      </c>
      <c r="F15" s="5" t="inlineStr">
        <is>
          <t>404 で notFound が無ければ「ページが見つかりません」の全画面表示、子は出さない</t>
        </is>
      </c>
      <c r="G15" s="5" t="inlineStr">
        <is>
          <t>前提：QueryClient（retry なし）、MemoryRouter、ObserverLayout
入力：ApiError(404)、notFound なし</t>
        </is>
      </c>
      <c r="H15" s="5" t="inlineStr">
        <is>
          <t>見出し「ページが見つかりません」、/ へのリンク、子なし</t>
        </is>
      </c>
      <c r="I15" s="5" t="inlineStr">
        <is>
          <t>B3-T, B4-F, B5-T, B17-T</t>
        </is>
      </c>
      <c r="J15" s="5" t="inlineStr">
        <is>
          <t>fetch を vi.stubGlobal で差し替え、QueryClient（retry なし）、MemoryRouter、ObserverLayout</t>
        </is>
      </c>
      <c r="K15" s="5" t="inlineStr"/>
      <c r="L15" s="5" t="inlineStr"/>
      <c r="M15" s="5" t="inlineStr">
        <is>
          <t>TC-UT_OWEB-045 404 で notFound の文言が無ければ「ページが見つかりません」の全画面表示にし、子は出さない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</t>
        </is>
      </c>
    </row>
    <row r="16">
      <c r="A16" s="4" t="n">
        <v>12</v>
      </c>
      <c r="B16" s="4" t="inlineStr">
        <is>
          <t>TC-UT_OWEB-046</t>
        </is>
      </c>
      <c r="C16" s="5" t="inlineStr">
        <is>
          <t>reportApiError / ErrorBanner</t>
        </is>
      </c>
      <c r="D16" s="4" t="inlineStr">
        <is>
          <t>異常系</t>
        </is>
      </c>
      <c r="E16" s="4" t="inlineStr">
        <is>
          <t>同値分割</t>
        </is>
      </c>
      <c r="F16" s="5" t="inlineStr">
        <is>
          <t>通信エラーは画面ごとの文言の赤色バー、子はそのまま</t>
        </is>
      </c>
      <c r="G16" s="5" t="inlineStr">
        <is>
          <t>前提：QueryClient（retry なし）、MemoryRouter、ObserverLayout
入力：NetworkError、banner=投稿を読み込めませんでした</t>
        </is>
      </c>
      <c r="H16" s="5" t="inlineStr">
        <is>
          <t>alert に文言、子を出す</t>
        </is>
      </c>
      <c r="I16" s="5" t="inlineStr">
        <is>
          <t>B2-F, B3-F, B11-F</t>
        </is>
      </c>
      <c r="J16" s="5" t="inlineStr">
        <is>
          <t>fetch を vi.stubGlobal で差し替え、QueryClient（retry なし）、MemoryRouter、ObserverLayout</t>
        </is>
      </c>
      <c r="K16" s="5" t="inlineStr"/>
      <c r="L16" s="5" t="inlineStr"/>
      <c r="M16" s="5" t="inlineStr">
        <is>
          <t>TC-UT_OWEB-046 通信エラーは画面ごとの文言の赤色バーにし、子はそのまま出す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</t>
        </is>
      </c>
    </row>
    <row r="17">
      <c r="A17" s="4" t="n">
        <v>13</v>
      </c>
      <c r="B17" s="4" t="inlineStr">
        <is>
          <t>TC-UT_OWEB-047</t>
        </is>
      </c>
      <c r="C17" s="5" t="inlineStr">
        <is>
          <t>ObserverLayout</t>
        </is>
      </c>
      <c r="D17" s="4" t="inlineStr">
        <is>
          <t>正常系</t>
        </is>
      </c>
      <c r="E17" s="4" t="inlineStr">
        <is>
          <t>状態遷移</t>
        </is>
      </c>
      <c r="F17" s="5" t="inlineStr">
        <is>
          <t>別の画面へ移ると前の画面のバナーを消す</t>
        </is>
      </c>
      <c r="G17" s="5" t="inlineStr">
        <is>
          <t>前提：QueryClient（retry なし）、MemoryRouter、ObserverLayout、バナーあり
入力：リンクで /other へ</t>
        </is>
      </c>
      <c r="H17" s="5" t="inlineStr">
        <is>
          <t>alert なし</t>
        </is>
      </c>
      <c r="I17" s="5" t="inlineStr"/>
      <c r="J17" s="5" t="inlineStr">
        <is>
          <t>fetch を vi.stubGlobal で差し替え、QueryClient（retry なし）、MemoryRouter、ObserverLayout</t>
        </is>
      </c>
      <c r="K17" s="5" t="inlineStr"/>
      <c r="L17" s="5" t="inlineStr"/>
      <c r="M17" s="5" t="inlineStr">
        <is>
          <t>TC-UT_OWEB-047 別の画面へ移ると、前の画面のバナーを消す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</t>
        </is>
      </c>
    </row>
    <row r="18">
      <c r="A18" s="4" t="n">
        <v>14</v>
      </c>
      <c r="B18" s="4" t="inlineStr">
        <is>
          <t>TC-UT_OWEB-048</t>
        </is>
      </c>
      <c r="C18" s="5" t="inlineStr">
        <is>
          <t>reportApiError</t>
        </is>
      </c>
      <c r="D18" s="4" t="inlineStr">
        <is>
          <t>異常系</t>
        </is>
      </c>
      <c r="E18" s="4" t="inlineStr">
        <is>
          <t>同値分割</t>
        </is>
      </c>
      <c r="F18" s="5" t="inlineStr">
        <is>
          <t>403 は様式③「このネットワークからは閲覧できません」の全画面表示</t>
        </is>
      </c>
      <c r="G18" s="5" t="inlineStr">
        <is>
          <t>前提：QueryClient（retry なし）、MemoryRouter、ObserverLayout
入力：ApiError(403)</t>
        </is>
      </c>
      <c r="H18" s="5" t="inlineStr">
        <is>
          <t>見出し「このネットワークからは閲覧できません」、alert なし</t>
        </is>
      </c>
      <c r="I18" s="5" t="inlineStr">
        <is>
          <t>B3-F</t>
        </is>
      </c>
      <c r="J18" s="5" t="inlineStr">
        <is>
          <t>fetch を vi.stubGlobal で差し替え、QueryClient（retry なし）、MemoryRouter、ObserverLayout</t>
        </is>
      </c>
      <c r="K18" s="5" t="inlineStr"/>
      <c r="L18" s="5" t="inlineStr"/>
      <c r="M18" s="5" t="inlineStr">
        <is>
          <t>TC-UT_OWEB-048 403 は様式③の「このネットワークからは閲覧できません」の全画面表示にする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
疑い：403 も様式②の赤色バーになる（疑い 3）
設計書 6章の UI エラーフィードバック</t>
        </is>
      </c>
    </row>
    <row r="19">
      <c r="A19" s="4" t="n">
        <v>15</v>
      </c>
      <c r="B19" s="4" t="inlineStr">
        <is>
          <t>TC-UT_OWEB-049</t>
        </is>
      </c>
      <c r="C19" s="5" t="inlineStr">
        <is>
          <t>ErrorBanner</t>
        </is>
      </c>
      <c r="D19" s="4" t="inlineStr">
        <is>
          <t>正常系</t>
        </is>
      </c>
      <c r="E19" s="4" t="inlineStr">
        <is>
          <t>分岐網羅</t>
        </is>
      </c>
      <c r="F19" s="5" t="inlineStr">
        <is>
          <t>message が null なら何も描かず、文字列なら role=alert で出す</t>
        </is>
      </c>
      <c r="G19" s="5" t="inlineStr">
        <is>
          <t>前提：なし
入力：null → 文字列</t>
        </is>
      </c>
      <c r="H19" s="5" t="inlineStr">
        <is>
          <t>空 → alert</t>
        </is>
      </c>
      <c r="I19" s="5" t="inlineStr">
        <is>
          <t>B11-T, B11-F</t>
        </is>
      </c>
      <c r="J19" s="5" t="inlineStr">
        <is>
          <t>なし</t>
        </is>
      </c>
      <c r="K19" s="5" t="inlineStr"/>
      <c r="L19" s="5" t="inlineStr"/>
      <c r="M19" s="5" t="inlineStr">
        <is>
          <t>TC-UT_OWEB-049 ErrorBanner は message が null なら何も描かず、文字列なら role=alert で出す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TC-UT_OWEB-050</t>
        </is>
      </c>
      <c r="C20" s="5" t="inlineStr">
        <is>
          <t>WorldStatusFooter</t>
        </is>
      </c>
      <c r="D20" s="4" t="inlineStr">
        <is>
          <t>正常系</t>
        </is>
      </c>
      <c r="E20" s="4" t="inlineStr">
        <is>
          <t>同値分割</t>
        </is>
      </c>
      <c r="F20" s="5" t="inlineStr">
        <is>
          <t>running 以外（paused・limit_stopped・emergency_stopped・preparing）は「現在、世界は止まっています」</t>
        </is>
      </c>
      <c r="G20" s="5" t="inlineStr">
        <is>
          <t>前提：QueryClient（retry なし）、MemoryRouter、ObserverLayout
入力：各 state</t>
        </is>
      </c>
      <c r="H20" s="5" t="inlineStr">
        <is>
          <t>現在、世界は止まっています</t>
        </is>
      </c>
      <c r="I20" s="5" t="inlineStr">
        <is>
          <t>B8-T, B9-F</t>
        </is>
      </c>
      <c r="J20" s="5" t="inlineStr">
        <is>
          <t>fetch を vi.stubGlobal で差し替え、QueryClient（retry なし）、MemoryRouter、ObserverLayout</t>
        </is>
      </c>
      <c r="K20" s="5" t="inlineStr"/>
      <c r="L20" s="5" t="inlineStr"/>
      <c r="M20" s="5" t="inlineStr">
        <is>
          <t>TC-UT_OWEB-050 フッターは running 以外の状態では「現在、世界は止まっています」を出す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TC-NOUS49_DEV-23（running だけ）
画面 P101 H04</t>
        </is>
      </c>
    </row>
    <row r="21">
      <c r="A21" s="4" t="n">
        <v>17</v>
      </c>
      <c r="B21" s="4" t="inlineStr">
        <is>
          <t>TC-UT_OWEB-051</t>
        </is>
      </c>
      <c r="C21" s="5" t="inlineStr">
        <is>
          <t>WorldStatusFooter</t>
        </is>
      </c>
      <c r="D21" s="4" t="inlineStr">
        <is>
          <t>異常系</t>
        </is>
      </c>
      <c r="E21" s="4" t="inlineStr">
        <is>
          <t>エラー処理</t>
        </is>
      </c>
      <c r="F21" s="5" t="inlineStr">
        <is>
          <t>取得に失敗したら「状態を取得できません」、最終更新は出さない</t>
        </is>
      </c>
      <c r="G21" s="5" t="inlineStr">
        <is>
          <t>前提：QueryClient（retry なし）、MemoryRouter、ObserverLayout
入力：/api/world 500</t>
        </is>
      </c>
      <c r="H21" s="5" t="inlineStr">
        <is>
          <t>状態を取得できません、最終更新なし</t>
        </is>
      </c>
      <c r="I21" s="5" t="inlineStr">
        <is>
          <t>B7-T, B10-F</t>
        </is>
      </c>
      <c r="J21" s="5" t="inlineStr">
        <is>
          <t>fetch を vi.stubGlobal で差し替え、QueryClient（retry なし）、MemoryRouter、ObserverLayout</t>
        </is>
      </c>
      <c r="K21" s="5" t="inlineStr"/>
      <c r="L21" s="5" t="inlineStr"/>
      <c r="M21" s="5" t="inlineStr">
        <is>
          <t>TC-UT_OWEB-051 フッターは取得に失敗したら「状態を取得できません」を出し、最終更新は出さない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</t>
        </is>
      </c>
    </row>
    <row r="22">
      <c r="A22" s="4" t="n">
        <v>18</v>
      </c>
      <c r="B22" s="4" t="inlineStr">
        <is>
          <t>TC-UT_OWEB-052</t>
        </is>
      </c>
      <c r="C22" s="5" t="inlineStr">
        <is>
          <t>WorldStatusFooter</t>
        </is>
      </c>
      <c r="D22" s="4" t="inlineStr">
        <is>
          <t>正常系</t>
        </is>
      </c>
      <c r="E22" s="4" t="inlineStr">
        <is>
          <t>分岐網羅</t>
        </is>
      </c>
      <c r="F22" s="5" t="inlineStr">
        <is>
          <t>取得の前は「状態を取得しています」、最終更新は出さない</t>
        </is>
      </c>
      <c r="G22" s="5" t="inlineStr">
        <is>
          <t>前提：QueryClient（retry なし）、MemoryRouter、ObserverLayout
入力：応答しない fetch</t>
        </is>
      </c>
      <c r="H22" s="5" t="inlineStr">
        <is>
          <t>状態を取得しています</t>
        </is>
      </c>
      <c r="I22" s="5" t="inlineStr">
        <is>
          <t>B7-F, B8-F, B10-F</t>
        </is>
      </c>
      <c r="J22" s="5" t="inlineStr">
        <is>
          <t>fetch を vi.stubGlobal で差し替え（応答しない）、QueryClient（retry なし）、MemoryRouter、ObserverLayout</t>
        </is>
      </c>
      <c r="K22" s="5" t="inlineStr"/>
      <c r="L22" s="5" t="inlineStr"/>
      <c r="M22" s="5" t="inlineStr">
        <is>
          <t>TC-UT_OWEB-052 フッターは取得の前は「状態を取得しています」を出し、最終更新は出さない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
設計書に文言の記載なし。実装の値</t>
        </is>
      </c>
    </row>
    <row r="23">
      <c r="A23" s="4" t="n">
        <v>19</v>
      </c>
      <c r="B23" s="4" t="inlineStr">
        <is>
          <t>TC-UT_OWEB-053</t>
        </is>
      </c>
      <c r="C23" s="5" t="inlineStr">
        <is>
          <t>WorldStatusFooter</t>
        </is>
      </c>
      <c r="D23" s="4" t="inlineStr">
        <is>
          <t>正常系</t>
        </is>
      </c>
      <c r="E23" s="4" t="inlineStr">
        <is>
          <t>同値分割</t>
        </is>
      </c>
      <c r="F23" s="5" t="inlineStr">
        <is>
          <t>最終更新は取得に成功した端末の時刻を JST の HH:MM で出す</t>
        </is>
      </c>
      <c r="G23" s="5" t="inlineStr">
        <is>
          <t>前提：QueryClient（retry なし）、MemoryRouter、ObserverLayout、時刻 2026-10-22T05:21:00Z
入力：/api/world 成功</t>
        </is>
      </c>
      <c r="H23" s="5" t="inlineStr">
        <is>
          <t>最終更新 14:21、世界は動いています</t>
        </is>
      </c>
      <c r="I23" s="5" t="inlineStr">
        <is>
          <t>B9-T, B10-T</t>
        </is>
      </c>
      <c r="J23" s="5" t="inlineStr">
        <is>
          <t>fetch を vi.stubGlobal で差し替え、vi.useFakeTimers（setTimeout・setInterval・Date）、画面は前面</t>
        </is>
      </c>
      <c r="K23" s="5" t="inlineStr"/>
      <c r="L23" s="5" t="inlineStr"/>
      <c r="M23" s="5" t="inlineStr">
        <is>
          <t>TC-UT_OWEB-053 フッターの最終更新は、取得に成功した端末の時刻を JST の HH:MM で出す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
画面 P101 H05</t>
        </is>
      </c>
    </row>
    <row r="24">
      <c r="A24" s="4" t="n">
        <v>20</v>
      </c>
      <c r="B24" s="4" t="inlineStr">
        <is>
          <t>TC-UT_OWEB-054</t>
        </is>
      </c>
      <c r="C24" s="5" t="inlineStr">
        <is>
          <t>AgentName</t>
        </is>
      </c>
      <c r="D24" s="4" t="inlineStr">
        <is>
          <t>正常系</t>
        </is>
      </c>
      <c r="E24" s="4" t="inlineStr">
        <is>
          <t>分岐網羅</t>
        </is>
      </c>
      <c r="F24" s="5" t="inlineStr">
        <is>
          <t>linked=false なら表示名をリンクにしない</t>
        </is>
      </c>
      <c r="G24" s="5" t="inlineStr">
        <is>
          <t>前提：MemoryRouter
入力：linked=false</t>
        </is>
      </c>
      <c r="H24" s="5" t="inlineStr">
        <is>
          <t>リンクなし</t>
        </is>
      </c>
      <c r="I24" s="5" t="inlineStr">
        <is>
          <t>B12-F</t>
        </is>
      </c>
      <c r="J24" s="5" t="inlineStr">
        <is>
          <t>MemoryRouter</t>
        </is>
      </c>
      <c r="K24" s="5" t="inlineStr"/>
      <c r="L24" s="5" t="inlineStr"/>
      <c r="M24" s="5" t="inlineStr">
        <is>
          <t>TC-UT_OWEB-054 AgentName は linked=false なら表示名をリンクにしない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</t>
        </is>
      </c>
    </row>
    <row r="25">
      <c r="A25" s="4" t="n">
        <v>21</v>
      </c>
      <c r="B25" s="4" t="inlineStr">
        <is>
          <t>TC-UT_OWEB-055</t>
        </is>
      </c>
      <c r="C25" s="5" t="inlineStr">
        <is>
          <t>AgentName</t>
        </is>
      </c>
      <c r="D25" s="4" t="inlineStr">
        <is>
          <t>正常系</t>
        </is>
      </c>
      <c r="E25" s="4" t="inlineStr">
        <is>
          <t>同値分割</t>
        </is>
      </c>
      <c r="F25" s="5" t="inlineStr">
        <is>
          <t>リンクは agentId をエンコードしたプロフィールへのパス</t>
        </is>
      </c>
      <c r="G25" s="5" t="inlineStr">
        <is>
          <t>前提：MemoryRouter
入力：agentId 'a/b'</t>
        </is>
      </c>
      <c r="H25" s="5" t="inlineStr">
        <is>
          <t>href /agents/a%2Fb</t>
        </is>
      </c>
      <c r="I25" s="5" t="inlineStr">
        <is>
          <t>B12-T</t>
        </is>
      </c>
      <c r="J25" s="5" t="inlineStr">
        <is>
          <t>MemoryRouter</t>
        </is>
      </c>
      <c r="K25" s="5" t="inlineStr"/>
      <c r="L25" s="5" t="inlineStr"/>
      <c r="M25" s="5" t="inlineStr">
        <is>
          <t>TC-UT_OWEB-055 AgentName のリンクは agentId をエンコードしたプロフィールへのパスにする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TC-UT_OWEB-056</t>
        </is>
      </c>
      <c r="C26" s="5" t="inlineStr">
        <is>
          <t>AgentName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state が active なら停止中のバッジを出さない</t>
        </is>
      </c>
      <c r="G26" s="5" t="inlineStr">
        <is>
          <t>前提：MemoryRouter
入力：active</t>
        </is>
      </c>
      <c r="H26" s="5" t="inlineStr">
        <is>
          <t>停止中なし</t>
        </is>
      </c>
      <c r="I26" s="5" t="inlineStr">
        <is>
          <t>B13-F</t>
        </is>
      </c>
      <c r="J26" s="5" t="inlineStr">
        <is>
          <t>MemoryRouter</t>
        </is>
      </c>
      <c r="K26" s="5" t="inlineStr"/>
      <c r="L26" s="5" t="inlineStr"/>
      <c r="M26" s="5" t="inlineStr">
        <is>
          <t>TC-UT_OWEB-056 AgentName は state が active なら停止中のバッジを出さない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TC-NOUS49_DEV-17</t>
        </is>
      </c>
    </row>
    <row r="27">
      <c r="A27" s="4" t="n">
        <v>23</v>
      </c>
      <c r="B27" s="4" t="inlineStr">
        <is>
          <t>TC-UT_OWEB-057</t>
        </is>
      </c>
      <c r="C27" s="5" t="inlineStr">
        <is>
          <t>PostCard</t>
        </is>
      </c>
      <c r="D27" s="4" t="inlineStr">
        <is>
          <t>正常系</t>
        </is>
      </c>
      <c r="E27" s="4" t="inlineStr">
        <is>
          <t>同値分割</t>
        </is>
      </c>
      <c r="F27" s="5" t="inlineStr">
        <is>
          <t>フォーカスして Enter・スペースで onOpen を呼ぶ</t>
        </is>
      </c>
      <c r="G27" s="5" t="inlineStr">
        <is>
          <t>前提：MemoryRouter
入力：Enter・' '</t>
        </is>
      </c>
      <c r="H27" s="5" t="inlineStr">
        <is>
          <t>onOpen('P1')</t>
        </is>
      </c>
      <c r="I27" s="5" t="inlineStr">
        <is>
          <t>B14-T</t>
        </is>
      </c>
      <c r="J27" s="5" t="inlineStr">
        <is>
          <t>MemoryRouter</t>
        </is>
      </c>
      <c r="K27" s="5" t="inlineStr"/>
      <c r="L27" s="5" t="inlineStr"/>
      <c r="M27" s="5" t="inlineStr">
        <is>
          <t>TC-UT_OWEB-057 PostCard にフォーカスして Enter・スペースを押すと onOpen を呼ぶ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</t>
        </is>
      </c>
    </row>
    <row r="28">
      <c r="A28" s="4" t="n">
        <v>24</v>
      </c>
      <c r="B28" s="4" t="inlineStr">
        <is>
          <t>TC-UT_OWEB-058</t>
        </is>
      </c>
      <c r="C28" s="5" t="inlineStr">
        <is>
          <t>PostCard</t>
        </is>
      </c>
      <c r="D28" s="4" t="inlineStr">
        <is>
          <t>異常系</t>
        </is>
      </c>
      <c r="E28" s="4" t="inlineStr">
        <is>
          <t>分岐網羅</t>
        </is>
      </c>
      <c r="F28" s="5" t="inlineStr">
        <is>
          <t>Enter・スペース以外のキーや中の要素から来たキーでは呼ばない</t>
        </is>
      </c>
      <c r="G28" s="5" t="inlineStr">
        <is>
          <t>前提：MemoryRouter
入力：'a'、表示名で Enter</t>
        </is>
      </c>
      <c r="H28" s="5" t="inlineStr">
        <is>
          <t>onOpen を呼ばない</t>
        </is>
      </c>
      <c r="I28" s="5" t="inlineStr">
        <is>
          <t>B14-F</t>
        </is>
      </c>
      <c r="J28" s="5" t="inlineStr">
        <is>
          <t>MemoryRouter</t>
        </is>
      </c>
      <c r="K28" s="5" t="inlineStr"/>
      <c r="L28" s="5" t="inlineStr"/>
      <c r="M28" s="5" t="inlineStr">
        <is>
          <t>TC-UT_OWEB-058 PostCard は Enter・スペース以外のキーや、中の要素から来たキーでは onOpen を呼ばない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</t>
        </is>
      </c>
    </row>
    <row r="29">
      <c r="A29" s="4" t="n">
        <v>25</v>
      </c>
      <c r="B29" s="4" t="inlineStr">
        <is>
          <t>TC-UT_OWEB-059</t>
        </is>
      </c>
      <c r="C29" s="5" t="inlineStr">
        <is>
          <t>PostCard</t>
        </is>
      </c>
      <c r="D29" s="4" t="inlineStr">
        <is>
          <t>正常系</t>
        </is>
      </c>
      <c r="E29" s="4" t="inlineStr">
        <is>
          <t>分岐網羅</t>
        </is>
      </c>
      <c r="F29" s="5" t="inlineStr">
        <is>
          <t>返信でなければ返信先を出さず、時刻を「第 N 日 HH:MM」で出す</t>
        </is>
      </c>
      <c r="G29" s="5" t="inlineStr">
        <is>
          <t>前提：MemoryRouter
入力：replyTo null、worldTimeSec 90000</t>
        </is>
      </c>
      <c r="H29" s="5" t="inlineStr">
        <is>
          <t>返信先なし、第 2 日 01:00</t>
        </is>
      </c>
      <c r="I29" s="5" t="inlineStr">
        <is>
          <t>B15-F</t>
        </is>
      </c>
      <c r="J29" s="5" t="inlineStr">
        <is>
          <t>MemoryRouter</t>
        </is>
      </c>
      <c r="K29" s="5" t="inlineStr"/>
      <c r="L29" s="5" t="inlineStr"/>
      <c r="M29" s="5" t="inlineStr">
        <is>
          <t>TC-UT_OWEB-059 PostCard は返信でなければ返信先を出さず、時刻を「第 N 日 HH:MM」で出す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</t>
        </is>
      </c>
    </row>
    <row r="30">
      <c r="A30" s="4" t="n">
        <v>26</v>
      </c>
      <c r="B30" s="4" t="inlineStr">
        <is>
          <t>TC-UT_OWEB-060</t>
        </is>
      </c>
      <c r="C30" s="5" t="inlineStr">
        <is>
          <t>PostCard</t>
        </is>
      </c>
      <c r="D30" s="4" t="inlineStr">
        <is>
          <t>正常系</t>
        </is>
      </c>
      <c r="E30" s="4" t="inlineStr">
        <is>
          <t>同値分割</t>
        </is>
      </c>
      <c r="F30" s="5" t="inlineStr">
        <is>
          <t>カードの中に押せる部品（button）を置かない</t>
        </is>
      </c>
      <c r="G30" s="5" t="inlineStr">
        <is>
          <t>前提：MemoryRouter
入力：いいね 5・返信 3</t>
        </is>
      </c>
      <c r="H30" s="5" t="inlineStr">
        <is>
          <t>button 0 個、いいね 5</t>
        </is>
      </c>
      <c r="I30" s="5" t="inlineStr"/>
      <c r="J30" s="5" t="inlineStr">
        <is>
          <t>MemoryRouter</t>
        </is>
      </c>
      <c r="K30" s="5" t="inlineStr"/>
      <c r="L30" s="5" t="inlineStr"/>
      <c r="M30" s="5" t="inlineStr">
        <is>
          <t>TC-UT_OWEB-060 PostCard の中には押せる部品（button）を置かない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
FR-106</t>
        </is>
      </c>
    </row>
    <row r="31">
      <c r="A31" s="4" t="n">
        <v>27</v>
      </c>
      <c r="B31" s="4" t="inlineStr">
        <is>
          <t>TC-UT_OWEB-061</t>
        </is>
      </c>
      <c r="C31" s="5" t="inlineStr">
        <is>
          <t>LoadMoreButton</t>
        </is>
      </c>
      <c r="D31" s="4" t="inlineStr">
        <is>
          <t>正常系</t>
        </is>
      </c>
      <c r="E31" s="4" t="inlineStr">
        <is>
          <t>分岐網羅</t>
        </is>
      </c>
      <c r="F31" s="5" t="inlineStr">
        <is>
          <t>読み込み中でなければ「さらに読み込む」で押せ、onClick を呼ぶ</t>
        </is>
      </c>
      <c r="G31" s="5" t="inlineStr">
        <is>
          <t>前提：なし
入力：loading=false</t>
        </is>
      </c>
      <c r="H31" s="5" t="inlineStr">
        <is>
          <t>onClick 1 回</t>
        </is>
      </c>
      <c r="I31" s="5" t="inlineStr">
        <is>
          <t>B16-F</t>
        </is>
      </c>
      <c r="J31" s="5" t="inlineStr">
        <is>
          <t>なし</t>
        </is>
      </c>
      <c r="K31" s="5" t="inlineStr"/>
      <c r="L31" s="5" t="inlineStr"/>
      <c r="M31" s="5" t="inlineStr">
        <is>
          <t>TC-UT_OWEB-061 LoadMoreButton は読み込み中でなければ「さらに読み込む」で押せ、押すと onClick を呼ぶ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TC-UT_OWEB-062</t>
        </is>
      </c>
      <c r="C32" s="5" t="inlineStr">
        <is>
          <t>FullPageError</t>
        </is>
      </c>
      <c r="D32" s="4" t="inlineStr">
        <is>
          <t>正常系</t>
        </is>
      </c>
      <c r="E32" s="4" t="inlineStr">
        <is>
          <t>分岐網羅</t>
        </is>
      </c>
      <c r="F32" s="5" t="inlineStr">
        <is>
          <t>linkToTimeline=false ならリンクを出さない</t>
        </is>
      </c>
      <c r="G32" s="5" t="inlineStr">
        <is>
          <t>前提：MemoryRouter
入力：false</t>
        </is>
      </c>
      <c r="H32" s="5" t="inlineStr">
        <is>
          <t>見出しだけ</t>
        </is>
      </c>
      <c r="I32" s="5" t="inlineStr">
        <is>
          <t>B17-F</t>
        </is>
      </c>
      <c r="J32" s="5" t="inlineStr">
        <is>
          <t>MemoryRouter</t>
        </is>
      </c>
      <c r="K32" s="5" t="inlineStr"/>
      <c r="L32" s="5" t="inlineStr"/>
      <c r="M32" s="5" t="inlineStr">
        <is>
          <t>TC-UT_OWEB-062 FullPageError は linkToTimeline=false ならタイムラインへのリンクを出さない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</t>
        </is>
      </c>
    </row>
    <row r="33">
      <c r="A33" s="4" t="n">
        <v>29</v>
      </c>
      <c r="B33" s="4" t="inlineStr">
        <is>
          <t>TC-UT_OWEB-063</t>
        </is>
      </c>
      <c r="C33" s="5" t="inlineStr">
        <is>
          <t>EmptyState</t>
        </is>
      </c>
      <c r="D33" s="4" t="inlineStr">
        <is>
          <t>正常系</t>
        </is>
      </c>
      <c r="E33" s="4" t="inlineStr">
        <is>
          <t>同値分割</t>
        </is>
      </c>
      <c r="F33" s="5" t="inlineStr">
        <is>
          <t>渡された文言をそのまま出す</t>
        </is>
      </c>
      <c r="G33" s="5" t="inlineStr">
        <is>
          <t>前提：なし
入力：まだ投稿はありません</t>
        </is>
      </c>
      <c r="H33" s="5" t="inlineStr">
        <is>
          <t>その文言</t>
        </is>
      </c>
      <c r="I33" s="5" t="inlineStr"/>
      <c r="J33" s="5" t="inlineStr">
        <is>
          <t>なし</t>
        </is>
      </c>
      <c r="K33" s="5" t="inlineStr"/>
      <c r="L33" s="5" t="inlineStr"/>
      <c r="M33" s="5" t="inlineStr">
        <is>
          <t>TC-UT_OWEB-063 EmptyState は渡された文言をそのまま出す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</t>
        </is>
      </c>
    </row>
  </sheetData>
  <autoFilter ref="A4:Q33"/>
  <conditionalFormatting sqref="A5:Q83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3" showDropDown="0" showInputMessage="0" showErrorMessage="0" allowBlank="1" type="list">
      <formula1>"未実施,OK,NG,保留,対象外"</formula1>
    </dataValidation>
    <dataValidation sqref="D5:D83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COUNTA(観点表!$B$5:$B$83)</f>
        <v/>
      </c>
    </row>
    <row r="6">
      <c r="A6" s="10" t="inlineStr">
        <is>
          <t>正常系</t>
        </is>
      </c>
      <c r="B6" s="10">
        <f>COUNTIF(観点表!$D$5:$D$83,"正常系")</f>
        <v/>
      </c>
    </row>
    <row r="7">
      <c r="A7" s="10" t="inlineStr">
        <is>
          <t>異常系</t>
        </is>
      </c>
      <c r="B7" s="10">
        <f>COUNTIF(観点表!$D$5:$D$83,"異常系")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COUNTIF(観点表!$E$5:$E$83,"エラー処理")</f>
        <v/>
      </c>
    </row>
    <row r="11">
      <c r="A11" s="10" t="inlineStr">
        <is>
          <t>分岐網羅</t>
        </is>
      </c>
      <c r="B11" s="10">
        <f>COUNTIF(観点表!$E$5:$E$83,"分岐網羅")</f>
        <v/>
      </c>
    </row>
    <row r="12">
      <c r="A12" s="10" t="inlineStr">
        <is>
          <t>同値分割</t>
        </is>
      </c>
      <c r="B12" s="10">
        <f>COUNTIF(観点表!$E$5:$E$83,"同値分割")</f>
        <v/>
      </c>
    </row>
    <row r="13">
      <c r="A13" s="10" t="inlineStr">
        <is>
          <t>状態遷移</t>
        </is>
      </c>
      <c r="B13" s="10">
        <f>COUNTIF(観点表!$E$5:$E$83,"状態遷移")</f>
        <v/>
      </c>
    </row>
    <row r="14">
      <c r="A14" s="10" t="inlineStr">
        <is>
          <t>開発者テスト</t>
        </is>
      </c>
      <c r="B14" s="10">
        <f>COUNTIF(観点表!$E$5:$E$83,"開発者テスト")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COUNTIF(観点表!$K$5:$K$83,"?*")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COUNTIF(観点表!$N$5:$N$83,"未実施")</f>
        <v/>
      </c>
    </row>
    <row r="22">
      <c r="A22" s="10" t="inlineStr">
        <is>
          <t>OK</t>
        </is>
      </c>
      <c r="B22" s="10">
        <f>COUNTIF(観点表!$N$5:$N$83,"OK")</f>
        <v/>
      </c>
    </row>
    <row r="23">
      <c r="A23" s="10" t="inlineStr">
        <is>
          <t>NG</t>
        </is>
      </c>
      <c r="B23" s="10">
        <f>COUNTIF(観点表!$N$5:$N$83,"NG")</f>
        <v/>
      </c>
    </row>
    <row r="24">
      <c r="A24" s="10" t="inlineStr">
        <is>
          <t>保留</t>
        </is>
      </c>
      <c r="B24" s="10">
        <f>COUNTIF(観点表!$N$5:$N$83,"保留")</f>
        <v/>
      </c>
    </row>
    <row r="25">
      <c r="A25" s="10" t="inlineStr">
        <is>
          <t>対象外</t>
        </is>
      </c>
      <c r="B25" s="10">
        <f>COUNTIF(観点表!$N$5:$N$83,"対象外")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TC-NOUS49_DEV-17</t>
        </is>
      </c>
      <c r="B5" s="13" t="inlineStr">
        <is>
          <t>AI バッジとハンドル、停止中のバッジ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TC-NOUS49_DEV-18</t>
        </is>
      </c>
      <c r="B6" s="13" t="inlineStr">
        <is>
          <t>本文はテキストのまま、返信先・返信 0・いいね 0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TC-NOUS49_DEV-19</t>
        </is>
      </c>
      <c r="B7" s="13" t="inlineStr">
        <is>
          <t>カードを押すと onOpen、表示名では呼ばない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TC-NOUS49_DEV-20</t>
        </is>
      </c>
      <c r="B8" s="13" t="inlineStr">
        <is>
          <t>読み込み中は押せない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TC-NOUS49_DEV-21</t>
        </is>
      </c>
      <c r="B9" s="13" t="inlineStr">
        <is>
          <t>7 ルートの登録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TC-NOUS49_DEV-22</t>
        </is>
      </c>
      <c r="B10" s="13" t="inlineStr">
        <is>
          <t>未知のパスは「ページが見つかりません」とリンク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TC-NOUS49_DEV-23</t>
        </is>
      </c>
      <c r="B11" s="13" t="inlineStr">
        <is>
          <t>AI の帯・このサービスについて・世界の状態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TC-NOUS49_DEV-24</t>
        </is>
      </c>
      <c r="B12" s="13" t="inlineStr">
        <is>
          <t>/not-invited はリンクとフッターを出さず API を呼ばない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TC-UT_OWEB-043</t>
        </is>
      </c>
      <c r="B13" s="13" t="inlineStr">
        <is>
          <t>ObserverLayout の外で使うと例外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TC-UT_OWEB-044</t>
        </is>
      </c>
      <c r="B14" s="13" t="inlineStr">
        <is>
          <t>NotInvitedError ではバナーも全画面の表示も出さない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TC-UT_OWEB-045</t>
        </is>
      </c>
      <c r="B15" s="13" t="inlineStr">
        <is>
          <t>404 で notFound が無ければ「ページが見つかりません」の全画面表示、子は出さない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TC-UT_OWEB-046</t>
        </is>
      </c>
      <c r="B16" s="13" t="inlineStr">
        <is>
          <t>通信エラーは画面ごとの文言の赤色バー、子はそのまま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TC-UT_OWEB-047</t>
        </is>
      </c>
      <c r="B17" s="13" t="inlineStr">
        <is>
          <t>別の画面へ移ると前の画面のバナーを消す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TC-UT_OWEB-048</t>
        </is>
      </c>
      <c r="B18" s="13" t="inlineStr">
        <is>
          <t>403 は様式③「このネットワークからは閲覧できません」の全画面表示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TC-UT_OWEB-049</t>
        </is>
      </c>
      <c r="B19" s="13" t="inlineStr">
        <is>
          <t>message が null なら何も描かず、文字列なら role=alert で出す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TC-UT_OWEB-050</t>
        </is>
      </c>
      <c r="B20" s="13" t="inlineStr">
        <is>
          <t>running 以外（paused・limit_stopped・emergency_stopped・preparing）は「現在、世界は止まっています」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TC-UT_OWEB-051</t>
        </is>
      </c>
      <c r="B21" s="13" t="inlineStr">
        <is>
          <t>取得に失敗したら「状態を取得できません」、最終更新は出さない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TC-UT_OWEB-052</t>
        </is>
      </c>
      <c r="B22" s="13" t="inlineStr">
        <is>
          <t>取得の前は「状態を取得しています」、最終更新は出さない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TC-UT_OWEB-053</t>
        </is>
      </c>
      <c r="B23" s="13" t="inlineStr">
        <is>
          <t>最終更新は取得に成功した端末の時刻を JST の HH:MM で出す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TC-UT_OWEB-054</t>
        </is>
      </c>
      <c r="B24" s="13" t="inlineStr">
        <is>
          <t>linked=false なら表示名をリンクにしない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TC-UT_OWEB-055</t>
        </is>
      </c>
      <c r="B25" s="13" t="inlineStr">
        <is>
          <t>リンクは agentId をエンコードしたプロフィールへのパス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TC-UT_OWEB-056</t>
        </is>
      </c>
      <c r="B26" s="13" t="inlineStr">
        <is>
          <t>state が active なら停止中のバッジを出さない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TC-UT_OWEB-057</t>
        </is>
      </c>
      <c r="B27" s="13" t="inlineStr">
        <is>
          <t>フォーカスして Enter・スペースで onOpen を呼ぶ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TC-UT_OWEB-058</t>
        </is>
      </c>
      <c r="B28" s="13" t="inlineStr">
        <is>
          <t>Enter・スペース以外のキーや中の要素から来たキーでは呼ばない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TC-UT_OWEB-059</t>
        </is>
      </c>
      <c r="B29" s="13" t="inlineStr">
        <is>
          <t>返信でなければ返信先を出さず、時刻を「第 N 日 HH:MM」で出す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TC-UT_OWEB-060</t>
        </is>
      </c>
      <c r="B30" s="13" t="inlineStr">
        <is>
          <t>カードの中に押せる部品（button）を置かない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TC-UT_OWEB-061</t>
        </is>
      </c>
      <c r="B31" s="13" t="inlineStr">
        <is>
          <t>読み込み中でなければ「さらに読み込む」で押せ、onClick を呼ぶ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TC-UT_OWEB-062</t>
        </is>
      </c>
      <c r="B32" s="13" t="inlineStr">
        <is>
          <t>linkToTimeline=false ならリンクを出さない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TC-UT_OWEB-063</t>
        </is>
      </c>
      <c r="B33" s="13" t="inlineStr">
        <is>
          <t>渡された文言をそのまま出す</t>
        </is>
      </c>
      <c r="C33" s="13" t="inlineStr">
        <is>
          <t>未作成</t>
        </is>
      </c>
      <c r="D33" s="13" t="inlineStr"/>
      <c r="E33" s="13" t="inlineStr"/>
      <c r="F33" s="13" t="inlineStr"/>
    </row>
  </sheetData>
  <autoFilter ref="A4:F3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観察画面の共通の枠と部品（layout/*、components/*、router）</t>
        </is>
      </c>
    </row>
    <row r="4">
      <c r="A4" s="14" t="inlineStr">
        <is>
          <t>対象ファイル</t>
        </is>
      </c>
      <c r="B4" s="15" t="inlineStr">
        <is>
          <t>apps/observer/src/layout/ObserverLayout.tsx, apps/observer/src/layout/ObserverHeader.tsx, apps/observer/src/layout/WorldStatusFooter.tsx, apps/observer/src/layout/ErrorBanner.tsx, apps/observer/src/layout/AiNoticeBand.tsx, apps/observer/src/components/*.tsx, apps/observer/src/router.tsx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apps/observer/src/layout/layout.ut.test.tsx, apps/observer/src/components/components.test.tsx, apps/observer/src/components/components.ut.test.tsx, apps/observer/src/router.test.tsx</t>
        </is>
      </c>
    </row>
    <row r="7">
      <c r="A7" s="14" t="inlineStr">
        <is>
          <t>外部依存</t>
        </is>
      </c>
      <c r="B7" s="15" t="inlineStr">
        <is>
          <t>TanStack Query, react-router-dom（MemoryRouter）, fetch（/api/world）, Date（vi.useFakeTimers）, 共通の準備は apps/observer/src/test/observerUt.tsx（このチケットで新しく作った、単体テストだけが使う補助）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useBanner：ObserverLayout の外</t>
        </is>
      </c>
      <c r="C11" s="17" t="inlineStr">
        <is>
          <t>ObserverLayout.tsx:29</t>
        </is>
      </c>
    </row>
    <row r="12">
      <c r="A12" s="17" t="inlineStr">
        <is>
          <t>B2</t>
        </is>
      </c>
      <c r="B12" s="17" t="inlineStr">
        <is>
          <t>reportApiError：NotInvitedError</t>
        </is>
      </c>
      <c r="C12" s="17" t="inlineStr">
        <is>
          <t>ObserverLayout.tsx:52</t>
        </is>
      </c>
    </row>
    <row r="13">
      <c r="A13" s="17" t="inlineStr">
        <is>
          <t>B3</t>
        </is>
      </c>
      <c r="B13" s="17" t="inlineStr">
        <is>
          <t>reportApiError：ApiError の 404</t>
        </is>
      </c>
      <c r="C13" s="17" t="inlineStr">
        <is>
          <t>ObserverLayout.tsx:53</t>
        </is>
      </c>
    </row>
    <row r="14">
      <c r="A14" s="17" t="inlineStr">
        <is>
          <t>B4</t>
        </is>
      </c>
      <c r="B14" s="17" t="inlineStr">
        <is>
          <t>reportApiError：notFound の文言がある</t>
        </is>
      </c>
      <c r="C14" s="17" t="inlineStr">
        <is>
          <t>ObserverLayout.tsx:54</t>
        </is>
      </c>
    </row>
    <row r="15">
      <c r="A15" s="17" t="inlineStr">
        <is>
          <t>B5</t>
        </is>
      </c>
      <c r="B15" s="17" t="inlineStr">
        <is>
          <t>ObserverLayout：notFoundTitle がある（全画面表示）</t>
        </is>
      </c>
      <c r="C15" s="17" t="inlineStr">
        <is>
          <t>ObserverLayout.tsx:87</t>
        </is>
      </c>
    </row>
    <row r="16">
      <c r="A16" s="17" t="inlineStr">
        <is>
          <t>B6</t>
        </is>
      </c>
      <c r="B16" s="17" t="inlineStr">
        <is>
          <t>ObserverLayout・ObserverHeader：minimal（リンクとフッターを出さない）</t>
        </is>
      </c>
      <c r="C16" s="17" t="inlineStr">
        <is>
          <t>ObserverLayout.tsx:89、ObserverHeader.tsx:23・30</t>
        </is>
      </c>
    </row>
    <row r="17">
      <c r="A17" s="17" t="inlineStr">
        <is>
          <t>B7</t>
        </is>
      </c>
      <c r="B17" s="17" t="inlineStr">
        <is>
          <t>WorldStatusFooter：isError</t>
        </is>
      </c>
      <c r="C17" s="17" t="inlineStr">
        <is>
          <t>WorldStatusFooter.tsx:8</t>
        </is>
      </c>
    </row>
    <row r="18">
      <c r="A18" s="17" t="inlineStr">
        <is>
          <t>B8</t>
        </is>
      </c>
      <c r="B18" s="17" t="inlineStr">
        <is>
          <t>WorldStatusFooter：world がある</t>
        </is>
      </c>
      <c r="C18" s="17" t="inlineStr">
        <is>
          <t>WorldStatusFooter.tsx:10</t>
        </is>
      </c>
    </row>
    <row r="19">
      <c r="A19" s="17" t="inlineStr">
        <is>
          <t>B9</t>
        </is>
      </c>
      <c r="B19" s="17" t="inlineStr">
        <is>
          <t>WorldStatusFooter：state が running</t>
        </is>
      </c>
      <c r="C19" s="17" t="inlineStr">
        <is>
          <t>WorldStatusFooter.tsx:11</t>
        </is>
      </c>
    </row>
    <row r="20">
      <c r="A20" s="17" t="inlineStr">
        <is>
          <t>B10</t>
        </is>
      </c>
      <c r="B20" s="17" t="inlineStr">
        <is>
          <t>WorldStatusFooter：lastUpdated がある</t>
        </is>
      </c>
      <c r="C20" s="17" t="inlineStr">
        <is>
          <t>WorldStatusFooter.tsx:29</t>
        </is>
      </c>
    </row>
    <row r="21">
      <c r="A21" s="17" t="inlineStr">
        <is>
          <t>B11</t>
        </is>
      </c>
      <c r="B21" s="17" t="inlineStr">
        <is>
          <t>ErrorBanner：message が null</t>
        </is>
      </c>
      <c r="C21" s="17" t="inlineStr">
        <is>
          <t>ErrorBanner.tsx:5</t>
        </is>
      </c>
    </row>
    <row r="22">
      <c r="A22" s="17" t="inlineStr">
        <is>
          <t>B12</t>
        </is>
      </c>
      <c r="B22" s="17" t="inlineStr">
        <is>
          <t>AgentName：linked</t>
        </is>
      </c>
      <c r="C22" s="17" t="inlineStr">
        <is>
          <t>AgentName.tsx:18</t>
        </is>
      </c>
    </row>
    <row r="23">
      <c r="A23" s="17" t="inlineStr">
        <is>
          <t>B13</t>
        </is>
      </c>
      <c r="B23" s="17" t="inlineStr">
        <is>
          <t>AgentName：state が stopped</t>
        </is>
      </c>
      <c r="C23" s="17" t="inlineStr">
        <is>
          <t>AgentName.tsx:31</t>
        </is>
      </c>
    </row>
    <row r="24">
      <c r="A24" s="17" t="inlineStr">
        <is>
          <t>B14</t>
        </is>
      </c>
      <c r="B24" s="17" t="inlineStr">
        <is>
          <t>PostCard：カード自身で Enter かスペース</t>
        </is>
      </c>
      <c r="C24" s="17" t="inlineStr">
        <is>
          <t>PostCard.tsx:17</t>
        </is>
      </c>
    </row>
    <row r="25">
      <c r="A25" s="17" t="inlineStr">
        <is>
          <t>B15</t>
        </is>
      </c>
      <c r="B25" s="17" t="inlineStr">
        <is>
          <t>PostCard：replyTo がある</t>
        </is>
      </c>
      <c r="C25" s="17" t="inlineStr">
        <is>
          <t>PostCard.tsx:41</t>
        </is>
      </c>
    </row>
    <row r="26">
      <c r="A26" s="17" t="inlineStr">
        <is>
          <t>B16</t>
        </is>
      </c>
      <c r="B26" s="17" t="inlineStr">
        <is>
          <t>LoadMoreButton：loading</t>
        </is>
      </c>
      <c r="C26" s="17" t="inlineStr">
        <is>
          <t>LoadMoreButton.tsx:14・25</t>
        </is>
      </c>
    </row>
    <row r="27">
      <c r="A27" s="17" t="inlineStr">
        <is>
          <t>B17</t>
        </is>
      </c>
      <c r="B27" s="17" t="inlineStr">
        <is>
          <t>FullPageError：linkToTimeline</t>
        </is>
      </c>
      <c r="C27" s="17" t="inlineStr">
        <is>
          <t>FullPageError.tsx:14</t>
        </is>
      </c>
    </row>
    <row r="29">
      <c r="A29" s="14" t="inlineStr">
        <is>
          <t>確認事項・潜在バグ</t>
        </is>
      </c>
    </row>
    <row r="30" ht="30" customHeight="1">
      <c r="A30" s="18" t="inlineStr">
        <is>
          <t>・疑い 3：403（私設アドレス以外）は設計書 6章で様式③「このネットワークからは閲覧できません」の全画面表示だが、reportApiError は 404 しか全画面にせず、403 は様式②の赤色バーになる。TC-UT_OWEB-048 は設計どおりの期待結果で書いた（実施で NG の見込み）</t>
        </is>
      </c>
    </row>
    <row r="31" ht="30" customHeight="1">
      <c r="A31" s="18" t="inlineStr">
        <is>
          <t>・分岐 B4 の真（notFound の文言あり）は、各画面の 404 のケース（TC-NOUS67_DEV-12、TC-NOUS68_DEV-09・16、TC-UT_P104-008）で通る。このシートの UT では notFound なしの既定の文言を確かめる</t>
        </is>
      </c>
    </row>
    <row r="32" ht="30" customHeight="1">
      <c r="A32" s="18" t="inlineStr">
        <is>
          <t>・確認事項 1：main.tsx の QueryClient の設定（401 は再試行しない、それ以外は 1 回だけ再試行、refetchIntervalInBackground false）は export されておらず、単体テストでは通せない。結合テストで見る</t>
        </is>
      </c>
    </row>
    <row r="33" ht="30" customHeight="1">
      <c r="A33" s="18" t="inlineStr">
        <is>
          <t>・テストの書き方：ObserverLayout は描画の直後にパスの変化としてバナーを消すため、子が描画の effect で reportApiError を呼ぶと消される。UT では「報告する」を押して渡している（実際の画面は取得の後に呼ぶので影響はない）</t>
        </is>
      </c>
    </row>
    <row r="34" ht="30" customHeight="1">
      <c r="A34" s="18" t="inlineStr">
        <is>
          <t>・実施の手がかり：TC-NOUS49_DEV-19 は同じファイルの前のテストの描画が残る（cleanup を呼んでいない。vitest の globals が無効なので Testing Library の自動の cleanup が効かない）ため、「ミカ」が複数見つかって落ちる見込み。テストの書き方の問題として切り分ける</t>
        </is>
      </c>
    </row>
  </sheetData>
  <mergeCells count="5">
    <mergeCell ref="A33:C33"/>
    <mergeCell ref="A32:C32"/>
    <mergeCell ref="A31:C31"/>
    <mergeCell ref="A30:C30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2026-10-26T06:13:48Z</dcterms:created>
  <dcterms:modified xsi:type="dcterms:W3CDTF">2026-10-26T06:13:48Z</dcterms:modified>
</cp:coreProperties>
</file>