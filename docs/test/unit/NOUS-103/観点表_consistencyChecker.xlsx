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'観点表'!$A$4:$Q$32</definedName>
    <definedName name="_xlnm.Print_Titles" localSheetId="0">'観点表'!$4:$4</definedName>
    <definedName name="_xlnm._FilterDatabase" localSheetId="2" hidden="1">'テストデータ'!$A$4:$F$32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記憶との矛盾の検査 C01〜C04（generation/consistencyChecker.ts）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TC-NOUS62_DEV-41</t>
        </is>
      </c>
      <c r="C5" s="5" t="inlineStr">
        <is>
          <t>checkConsistency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問題のない投稿は空の配列</t>
        </is>
      </c>
      <c r="G5" s="5" t="inlineStr">
        <is>
          <t>前提：世界・minato・haruka
入力：post「今日は晴れています。」</t>
        </is>
      </c>
      <c r="H5" s="5" t="inlineStr">
        <is>
          <t>空の配列</t>
        </is>
      </c>
      <c r="I5" s="5" t="inlineStr">
        <is>
          <t>B1-T, B4-T, B6-T, B8-T, B10-T</t>
        </is>
      </c>
      <c r="J5" s="5" t="inlineStr">
        <is>
          <t>一時 DB（createTestDb、マイグレーション済み）。generationSeed で世界・エージェント・生成イベントを入れる</t>
        </is>
      </c>
      <c r="K5" s="5" t="inlineStr"/>
      <c r="L5" s="5" t="inlineStr"/>
      <c r="M5" s="5" t="inlineStr">
        <is>
          <t>TC-NOUS62_DEV-41 問題のない投稿は空の配列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既存テスト：実装時のテスト（NOUS-62）</t>
        </is>
      </c>
    </row>
    <row r="6">
      <c r="A6" s="4" t="n">
        <v>2</v>
      </c>
      <c r="B6" s="4" t="inlineStr">
        <is>
          <t>TC-NOUS62_DEV-42</t>
        </is>
      </c>
      <c r="C6" s="5" t="inlineStr">
        <is>
          <t>checkConsistency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C01：解除から 3 巡以内の返信は候補、4 巡後は候補にしない</t>
        </is>
      </c>
      <c r="G6" s="5" t="inlineStr">
        <is>
          <t>前提：haruka の投稿、minato が 1 巡目に follow・2 巡目に unfollow
入力：5 巡目と 6 巡目に reply</t>
        </is>
      </c>
      <c r="H6" s="5" t="inlineStr">
        <is>
          <t>5 巡目は C01（@haruka を含む）、6 巡目は空</t>
        </is>
      </c>
      <c r="I6" s="5" t="inlineStr">
        <is>
          <t>B1-F, B2-F, B3-F, B3-T</t>
        </is>
      </c>
      <c r="J6" s="5" t="inlineStr">
        <is>
          <t>一時 DB（createTestDb、マイグレーション済み）。generationSeed で世界・エージェント・生成イベントを入れる</t>
        </is>
      </c>
      <c r="K6" s="5" t="inlineStr"/>
      <c r="L6" s="5" t="inlineStr"/>
      <c r="M6" s="5" t="inlineStr">
        <is>
          <t>TC-NOUS62_DEV-42 C01：解除から 3 巡以内の返信は候補、4 巡後は候補にしない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既存テスト：実装時のテスト（NOUS-62）</t>
        </is>
      </c>
    </row>
    <row r="7">
      <c r="A7" s="4" t="n">
        <v>3</v>
      </c>
      <c r="B7" s="4" t="inlineStr">
        <is>
          <t>TC-NOUS62_DEV-43</t>
        </is>
      </c>
      <c r="C7" s="5" t="inlineStr">
        <is>
          <t>checkConsistency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C02：過去の自分の投稿と同じ 20 字以上の文は候補、今回の投稿自身とは比べない</t>
        </is>
      </c>
      <c r="G7" s="5" t="inlineStr">
        <is>
          <t>前提：minato の過去の投稿（24 字の文）
入力：同じ文を含む post、短い文の post を 2 回</t>
        </is>
      </c>
      <c r="H7" s="5" t="inlineStr">
        <is>
          <t>C02 が 1 件、20 字未満の一致は空</t>
        </is>
      </c>
      <c r="I7" s="5" t="inlineStr">
        <is>
          <t>B4-F, B4-T, B5-T, B5-F</t>
        </is>
      </c>
      <c r="J7" s="5" t="inlineStr">
        <is>
          <t>一時 DB（createTestDb、マイグレーション済み）。generationSeed で世界・エージェント・生成イベントを入れる</t>
        </is>
      </c>
      <c r="K7" s="5" t="inlineStr"/>
      <c r="L7" s="5" t="inlineStr"/>
      <c r="M7" s="5" t="inlineStr">
        <is>
          <t>TC-NOUS62_DEV-43 C02：過去の自分の投稿と同じ 20 字以上の文は候補、今回の投稿自身とは比べない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既存テスト：実装時のテスト（NOUS-62）</t>
        </is>
      </c>
    </row>
    <row r="8">
      <c r="A8" s="4" t="n">
        <v>4</v>
      </c>
      <c r="B8" s="4" t="inlineStr">
        <is>
          <t>TC-NOUS62_DEV-44</t>
        </is>
      </c>
      <c r="C8" s="5" t="inlineStr">
        <is>
          <t>checkConsistency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C02：他のエージェントの投稿との一致は数えない</t>
        </is>
      </c>
      <c r="G8" s="5" t="inlineStr">
        <is>
          <t>前提：haruka の投稿（同じ文）
入力：minato が同じ文を post</t>
        </is>
      </c>
      <c r="H8" s="5" t="inlineStr">
        <is>
          <t>空の配列</t>
        </is>
      </c>
      <c r="I8" s="5" t="inlineStr">
        <is>
          <t>B5-F</t>
        </is>
      </c>
      <c r="J8" s="5" t="inlineStr">
        <is>
          <t>一時 DB（createTestDb、マイグレーション済み）。generationSeed で世界・エージェント・生成イベントを入れる</t>
        </is>
      </c>
      <c r="K8" s="5" t="inlineStr"/>
      <c r="L8" s="5" t="inlineStr"/>
      <c r="M8" s="5" t="inlineStr">
        <is>
          <t>TC-NOUS62_DEV-44 C02：他のエージェントの投稿との一致は数えない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既存テスト：実装時のテスト（NOUS-62）</t>
        </is>
      </c>
    </row>
    <row r="9">
      <c r="A9" s="4" t="n">
        <v>5</v>
      </c>
      <c r="B9" s="4" t="inlineStr">
        <is>
          <t>TC-NOUS62_DEV-45</t>
        </is>
      </c>
      <c r="C9" s="5" t="inlineStr">
        <is>
          <t>checkConsistency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C03：性格に「丁寧語」とあり本文に「俺」があれば候補、キーワードのない人格は検査しない</t>
        </is>
      </c>
      <c r="G9" s="5" t="inlineStr">
        <is>
          <t>前提：性格「丁寧語で話す、几帳面」と「明るい」
入力：「俺は今日も走ったぜ。」</t>
        </is>
      </c>
      <c r="H9" s="5" t="inlineStr">
        <is>
          <t>前者は C03（俺を含む）、後者は空</t>
        </is>
      </c>
      <c r="I9" s="5" t="inlineStr">
        <is>
          <t>B6-F, B6-T, B7-T</t>
        </is>
      </c>
      <c r="J9" s="5" t="inlineStr">
        <is>
          <t>一時 DB（createTestDb、マイグレーション済み）。generationSeed で世界・エージェント・生成イベントを入れる</t>
        </is>
      </c>
      <c r="K9" s="5" t="inlineStr"/>
      <c r="L9" s="5" t="inlineStr"/>
      <c r="M9" s="5" t="inlineStr">
        <is>
          <t>TC-NOUS62_DEV-45 C03：性格に「丁寧語」とあり本文に「俺」があれば候補、キーワードのない人格は検査しない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既存テスト：実装時のテスト（NOUS-62）</t>
        </is>
      </c>
    </row>
    <row r="10">
      <c r="A10" s="4" t="n">
        <v>6</v>
      </c>
      <c r="B10" s="4" t="inlineStr">
        <is>
          <t>TC-NOUS62_DEV-46</t>
        </is>
      </c>
      <c r="C10" s="5" t="inlineStr">
        <is>
          <t>checkConsistency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C04：世界にいない @ハンドルは候補、いる住人への言及は候補にしない</t>
        </is>
      </c>
      <c r="G10" s="5" t="inlineStr">
        <is>
          <t>前提：世界に haruka がいる
入力：「@haruka さんと @nobody_here さんに聞きたい。」</t>
        </is>
      </c>
      <c r="H10" s="5" t="inlineStr">
        <is>
          <t>C04（@nobody_here だけ）</t>
        </is>
      </c>
      <c r="I10" s="5" t="inlineStr">
        <is>
          <t>B8-F, B9-T</t>
        </is>
      </c>
      <c r="J10" s="5" t="inlineStr">
        <is>
          <t>一時 DB（createTestDb、マイグレーション済み）。generationSeed で世界・エージェント・生成イベントを入れる</t>
        </is>
      </c>
      <c r="K10" s="5" t="inlineStr"/>
      <c r="L10" s="5" t="inlineStr"/>
      <c r="M10" s="5" t="inlineStr">
        <is>
          <t>TC-NOUS62_DEV-46 C04：世界にいない @ハンドルは候補、いる住人への言及は候補にしない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既存テスト：実装時のテスト（NOUS-62）</t>
        </is>
      </c>
    </row>
    <row r="11">
      <c r="A11" s="4" t="n">
        <v>7</v>
      </c>
      <c r="B11" s="4" t="inlineStr">
        <is>
          <t>TC-NOUS62_DEV-47</t>
        </is>
      </c>
      <c r="C11" s="5" t="inlineStr">
        <is>
          <t>checkConsistency</t>
        </is>
      </c>
      <c r="D11" s="4" t="inlineStr">
        <is>
          <t>正常系</t>
        </is>
      </c>
      <c r="E11" s="4" t="inlineStr">
        <is>
          <t>開発者テスト</t>
        </is>
      </c>
      <c r="F11" s="5" t="inlineStr">
        <is>
          <t>like・follow などの本文のない行動は C02〜C04 を見ない</t>
        </is>
      </c>
      <c r="G11" s="5" t="inlineStr">
        <is>
          <t>前提：haruka の投稿
入力：minato が like</t>
        </is>
      </c>
      <c r="H11" s="5" t="inlineStr">
        <is>
          <t>空の配列</t>
        </is>
      </c>
      <c r="I11" s="5" t="inlineStr">
        <is>
          <t>B1-T, B10-F</t>
        </is>
      </c>
      <c r="J11" s="5" t="inlineStr">
        <is>
          <t>一時 DB（createTestDb、マイグレーション済み）。generationSeed で世界・エージェント・生成イベントを入れる</t>
        </is>
      </c>
      <c r="K11" s="5" t="inlineStr"/>
      <c r="L11" s="5" t="inlineStr"/>
      <c r="M11" s="5" t="inlineStr">
        <is>
          <t>TC-NOUS62_DEV-47 like・follow などの本文のない行動は C02〜C04 を見ない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既存テスト：実装時のテスト（NOUS-62）</t>
        </is>
      </c>
    </row>
    <row r="12">
      <c r="A12" s="4" t="n">
        <v>8</v>
      </c>
      <c r="B12" s="4" t="inlineStr">
        <is>
          <t>TC-NOUS62_DEV-48</t>
        </is>
      </c>
      <c r="C12" s="5" t="inlineStr">
        <is>
          <t>splitSentences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splitSentences は句点と改行で分ける</t>
        </is>
      </c>
      <c r="G12" s="5" t="inlineStr">
        <is>
          <t>前提：なし
入力：一。二！三？\n四</t>
        </is>
      </c>
      <c r="H12" s="5" t="inlineStr">
        <is>
          <t>[一。, 二！, 三？, 四]</t>
        </is>
      </c>
      <c r="I12" s="5" t="inlineStr"/>
      <c r="J12" s="5" t="inlineStr">
        <is>
          <t>なし</t>
        </is>
      </c>
      <c r="K12" s="5" t="inlineStr"/>
      <c r="L12" s="5" t="inlineStr"/>
      <c r="M12" s="5" t="inlineStr">
        <is>
          <t>TC-NOUS62_DEV-48 splitSentences は句点と改行で分ける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既存テスト：実装時のテスト（NOUS-62）</t>
        </is>
      </c>
    </row>
    <row r="13">
      <c r="A13" s="4" t="n">
        <v>9</v>
      </c>
      <c r="B13" s="4" t="inlineStr">
        <is>
          <t>TC-UT_CON-001</t>
        </is>
      </c>
      <c r="C13" s="5" t="inlineStr">
        <is>
          <t>checkConsistency</t>
        </is>
      </c>
      <c r="D13" s="4" t="inlineStr">
        <is>
          <t>正常系</t>
        </is>
      </c>
      <c r="E13" s="4" t="inlineStr">
        <is>
          <t>境界値</t>
        </is>
      </c>
      <c r="F13" s="5" t="inlineStr">
        <is>
          <t>C01：解除と同じ巡（差 0）の返信は候補にする</t>
        </is>
      </c>
      <c r="G13" s="5" t="inlineStr">
        <is>
          <t>前提：haruka の投稿、minato が 1 巡目に follow・3 巡目に unfollow
入力：3 巡目に reply</t>
        </is>
      </c>
      <c r="H13" s="5" t="inlineStr">
        <is>
          <t>C01（巡の差 0）</t>
        </is>
      </c>
      <c r="I13" s="5" t="inlineStr">
        <is>
          <t>B1-F, B2-F, B3-F</t>
        </is>
      </c>
      <c r="J13" s="5" t="inlineStr">
        <is>
          <t>一時 DB（createTestDb、マイグレーション済み）。generationSeed で世界・エージェント・生成イベントを入れる</t>
        </is>
      </c>
      <c r="K13" s="5" t="inlineStr"/>
      <c r="L13" s="5" t="inlineStr"/>
      <c r="M13" s="5" t="inlineStr">
        <is>
          <t>TC-UT_CON-001 C01：解除と同じ巡（差 0）の返信は候補にする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既存テスト：一部 TC-NOUS62_DEV-42（差 3 と 4 だけ）</t>
        </is>
      </c>
    </row>
    <row r="14">
      <c r="A14" s="4" t="n">
        <v>10</v>
      </c>
      <c r="B14" s="4" t="inlineStr">
        <is>
          <t>TC-UT_CON-002</t>
        </is>
      </c>
      <c r="C14" s="5" t="inlineStr">
        <is>
          <t>checkConsistency</t>
        </is>
      </c>
      <c r="D14" s="4" t="inlineStr">
        <is>
          <t>正常系</t>
        </is>
      </c>
      <c r="E14" s="4" t="inlineStr">
        <is>
          <t>分岐網羅</t>
        </is>
      </c>
      <c r="F14" s="5" t="inlineStr">
        <is>
          <t>C01：フォローしたことのない相手への返信は候補にしない</t>
        </is>
      </c>
      <c r="G14" s="5" t="inlineStr">
        <is>
          <t>前提：haruka の投稿、フォローしたことはない
入力：2 巡目に reply</t>
        </is>
      </c>
      <c r="H14" s="5" t="inlineStr">
        <is>
          <t>空の配列</t>
        </is>
      </c>
      <c r="I14" s="5" t="inlineStr">
        <is>
          <t>B1-F, B2-T</t>
        </is>
      </c>
      <c r="J14" s="5" t="inlineStr">
        <is>
          <t>一時 DB（createTestDb、マイグレーション済み）。generationSeed で世界・エージェント・生成イベントを入れる</t>
        </is>
      </c>
      <c r="K14" s="5" t="inlineStr"/>
      <c r="L14" s="5" t="inlineStr"/>
      <c r="M14" s="5" t="inlineStr">
        <is>
          <t>TC-UT_CON-002 C01：フォローしたことのない相手への返信は候補にしない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既存テスト：なし</t>
        </is>
      </c>
    </row>
    <row r="15">
      <c r="A15" s="4" t="n">
        <v>11</v>
      </c>
      <c r="B15" s="4" t="inlineStr">
        <is>
          <t>TC-UT_CON-003</t>
        </is>
      </c>
      <c r="C15" s="5" t="inlineStr">
        <is>
          <t>checkConsistency</t>
        </is>
      </c>
      <c r="D15" s="4" t="inlineStr">
        <is>
          <t>正常系</t>
        </is>
      </c>
      <c r="E15" s="4" t="inlineStr">
        <is>
          <t>同値分割</t>
        </is>
      </c>
      <c r="F15" s="5" t="inlineStr">
        <is>
          <t>C01：フォローを続けている相手への返信は候補にしない</t>
        </is>
      </c>
      <c r="G15" s="5" t="inlineStr">
        <is>
          <t>前提：haruka の投稿、minato が 1 巡目に follow（継続中）
入力：2 巡目に reply</t>
        </is>
      </c>
      <c r="H15" s="5" t="inlineStr">
        <is>
          <t>空の配列</t>
        </is>
      </c>
      <c r="I15" s="5" t="inlineStr">
        <is>
          <t>B2-T</t>
        </is>
      </c>
      <c r="J15" s="5" t="inlineStr">
        <is>
          <t>一時 DB（createTestDb、マイグレーション済み）。generationSeed で世界・エージェント・生成イベントを入れる</t>
        </is>
      </c>
      <c r="K15" s="5" t="inlineStr"/>
      <c r="L15" s="5" t="inlineStr"/>
      <c r="M15" s="5" t="inlineStr">
        <is>
          <t>TC-UT_CON-003 C01：フォローを続けている相手への返信は候補にしない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既存テスト：なし</t>
        </is>
      </c>
    </row>
    <row r="16">
      <c r="A16" s="4" t="n">
        <v>12</v>
      </c>
      <c r="B16" s="4" t="inlineStr">
        <is>
          <t>TC-UT_CON-004</t>
        </is>
      </c>
      <c r="C16" s="5" t="inlineStr">
        <is>
          <t>checkConsistency</t>
        </is>
      </c>
      <c r="D16" s="4" t="inlineStr">
        <is>
          <t>正常系</t>
        </is>
      </c>
      <c r="E16" s="4" t="inlineStr">
        <is>
          <t>同値分割</t>
        </is>
      </c>
      <c r="F16" s="5" t="inlineStr">
        <is>
          <t>C01：2 回解除していれば、新しいほうの解除の巡から数える</t>
        </is>
      </c>
      <c r="G16" s="5" t="inlineStr">
        <is>
          <t>前提：minato が haruka を 1 巡目に follow・unfollow、2 巡目に follow・5 巡目に unfollow
入力：8 巡目に reply</t>
        </is>
      </c>
      <c r="H16" s="5" t="inlineStr">
        <is>
          <t>C01（detail に「5 巡目」）。古い解除（1 巡目）から数えると 7 巡で候補にならない</t>
        </is>
      </c>
      <c r="I16" s="5" t="inlineStr">
        <is>
          <t>B3-F</t>
        </is>
      </c>
      <c r="J16" s="5" t="inlineStr">
        <is>
          <t>一時 DB（createTestDb、マイグレーション済み）。generationSeed で世界・エージェント・生成イベントを入れる</t>
        </is>
      </c>
      <c r="K16" s="5" t="inlineStr"/>
      <c r="L16" s="5" t="inlineStr"/>
      <c r="M16" s="5" t="inlineStr">
        <is>
          <t>TC-UT_CON-004 C01：2 回解除していれば、新しいほうの解除の巡から数える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既存テスト：なし</t>
        </is>
      </c>
    </row>
    <row r="17">
      <c r="A17" s="4" t="n">
        <v>13</v>
      </c>
      <c r="B17" s="4" t="inlineStr">
        <is>
          <t>TC-UT_CON-005</t>
        </is>
      </c>
      <c r="C17" s="5" t="inlineStr">
        <is>
          <t>checkConsistency</t>
        </is>
      </c>
      <c r="D17" s="4" t="inlineStr">
        <is>
          <t>正常系</t>
        </is>
      </c>
      <c r="E17" s="4" t="inlineStr">
        <is>
          <t>境界値</t>
        </is>
      </c>
      <c r="F17" s="5" t="inlineStr">
        <is>
          <t>C02：ちょうど 20 字の文が過去の自分の投稿と一致すれば候補にする</t>
        </is>
      </c>
      <c r="G17" s="5" t="inlineStr">
        <is>
          <t>前提：minato の過去の投稿「あ×19。」（20 字）
入力：post「前置きです。あ×19。」</t>
        </is>
      </c>
      <c r="H17" s="5" t="inlineStr">
        <is>
          <t>C02 が 1 件（detail に文を含む）</t>
        </is>
      </c>
      <c r="I17" s="5" t="inlineStr">
        <is>
          <t>B4-F, B5-T</t>
        </is>
      </c>
      <c r="J17" s="5" t="inlineStr">
        <is>
          <t>一時 DB（createTestDb、マイグレーション済み）。generationSeed で世界・エージェント・生成イベントを入れる</t>
        </is>
      </c>
      <c r="K17" s="5" t="inlineStr"/>
      <c r="L17" s="5" t="inlineStr"/>
      <c r="M17" s="5" t="inlineStr">
        <is>
          <t>TC-UT_CON-005 C02：ちょうど 20 字の文が過去の自分の投稿と一致すれば候補にする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既存テスト：一部 TC-NOUS62_DEV-43（24 字の文）</t>
        </is>
      </c>
    </row>
    <row r="18">
      <c r="A18" s="4" t="n">
        <v>14</v>
      </c>
      <c r="B18" s="4" t="inlineStr">
        <is>
          <t>TC-UT_CON-006</t>
        </is>
      </c>
      <c r="C18" s="5" t="inlineStr">
        <is>
          <t>checkConsistency</t>
        </is>
      </c>
      <c r="D18" s="4" t="inlineStr">
        <is>
          <t>正常系</t>
        </is>
      </c>
      <c r="E18" s="4" t="inlineStr">
        <is>
          <t>境界値</t>
        </is>
      </c>
      <c r="F18" s="5" t="inlineStr">
        <is>
          <t>C02：19 字の文の一致は候補にしない</t>
        </is>
      </c>
      <c r="G18" s="5" t="inlineStr">
        <is>
          <t>前提：minato の過去の投稿「あ×18。」（19 字）
入力：post「前置きです。あ×18。」</t>
        </is>
      </c>
      <c r="H18" s="5" t="inlineStr">
        <is>
          <t>空の配列</t>
        </is>
      </c>
      <c r="I18" s="5" t="inlineStr">
        <is>
          <t>B4-T</t>
        </is>
      </c>
      <c r="J18" s="5" t="inlineStr">
        <is>
          <t>一時 DB（createTestDb、マイグレーション済み）。generationSeed で世界・エージェント・生成イベントを入れる</t>
        </is>
      </c>
      <c r="K18" s="5" t="inlineStr"/>
      <c r="L18" s="5" t="inlineStr"/>
      <c r="M18" s="5" t="inlineStr">
        <is>
          <t>TC-UT_CON-006 C02：19 字の文の一致は候補にしない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既存テスト：一部 TC-NOUS62_DEV-43（5 字の文）</t>
        </is>
      </c>
    </row>
    <row r="19">
      <c r="A19" s="4" t="n">
        <v>15</v>
      </c>
      <c r="B19" s="4" t="inlineStr">
        <is>
          <t>TC-UT_CON-007</t>
        </is>
      </c>
      <c r="C19" s="5" t="inlineStr">
        <is>
          <t>checkConsistency</t>
        </is>
      </c>
      <c r="D19" s="4" t="inlineStr">
        <is>
          <t>正常系</t>
        </is>
      </c>
      <c r="E19" s="4" t="inlineStr">
        <is>
          <t>同値分割</t>
        </is>
      </c>
      <c r="F19" s="5" t="inlineStr">
        <is>
          <t>C02：同じ文が本文に 2 回あっても候補は 1 件</t>
        </is>
      </c>
      <c r="G19" s="5" t="inlineStr">
        <is>
          <t>前提：minato の過去の投稿（22 字の文）
入力：同じ文を 2 回つなげた post</t>
        </is>
      </c>
      <c r="H19" s="5" t="inlineStr">
        <is>
          <t>C02 が 1 件</t>
        </is>
      </c>
      <c r="I19" s="5" t="inlineStr">
        <is>
          <t>B5-T</t>
        </is>
      </c>
      <c r="J19" s="5" t="inlineStr">
        <is>
          <t>一時 DB（createTestDb、マイグレーション済み）。generationSeed で世界・エージェント・生成イベントを入れる</t>
        </is>
      </c>
      <c r="K19" s="5" t="inlineStr"/>
      <c r="L19" s="5" t="inlineStr"/>
      <c r="M19" s="5" t="inlineStr">
        <is>
          <t>TC-UT_CON-007 C02：同じ文が本文に 2 回あっても候補は 1 件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既存テスト：なし</t>
        </is>
      </c>
    </row>
    <row r="20">
      <c r="A20" s="4" t="n">
        <v>16</v>
      </c>
      <c r="B20" s="4" t="inlineStr">
        <is>
          <t>TC-UT_CON-008</t>
        </is>
      </c>
      <c r="C20" s="5" t="inlineStr">
        <is>
          <t>checkConsistency</t>
        </is>
      </c>
      <c r="D20" s="4" t="inlineStr">
        <is>
          <t>正常系</t>
        </is>
      </c>
      <c r="E20" s="4" t="inlineStr">
        <is>
          <t>同値分割</t>
        </is>
      </c>
      <c r="F20" s="5" t="inlineStr">
        <is>
          <t>C02：2 つの文がそれぞれ過去の投稿と一致すれば候補は 2 件</t>
        </is>
      </c>
      <c r="G20" s="5" t="inlineStr">
        <is>
          <t>前提：minato の過去の投稿 2 件（別の文）
入力：2 つの文をつなげた post</t>
        </is>
      </c>
      <c r="H20" s="5" t="inlineStr">
        <is>
          <t>C02 が 2 件</t>
        </is>
      </c>
      <c r="I20" s="5" t="inlineStr">
        <is>
          <t>B5-T</t>
        </is>
      </c>
      <c r="J20" s="5" t="inlineStr">
        <is>
          <t>一時 DB（createTestDb、マイグレーション済み）。generationSeed で世界・エージェント・生成イベントを入れる</t>
        </is>
      </c>
      <c r="K20" s="5" t="inlineStr"/>
      <c r="L20" s="5" t="inlineStr"/>
      <c r="M20" s="5" t="inlineStr">
        <is>
          <t>TC-UT_CON-008 C02：2 つの文がそれぞれ過去の投稿と一致すれば候補は 2 件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既存テスト：なし</t>
        </is>
      </c>
    </row>
    <row r="21">
      <c r="A21" s="4" t="n">
        <v>17</v>
      </c>
      <c r="B21" s="4" t="inlineStr">
        <is>
          <t>TC-UT_CON-009</t>
        </is>
      </c>
      <c r="C21" s="5" t="inlineStr">
        <is>
          <t>checkConsistency</t>
        </is>
      </c>
      <c r="D21" s="4" t="inlineStr">
        <is>
          <t>正常系</t>
        </is>
      </c>
      <c r="E21" s="4" t="inlineStr">
        <is>
          <t>同値分割</t>
        </is>
      </c>
      <c r="F21" s="5" t="inlineStr">
        <is>
          <t>C03：性格に「です・ます」とあり、本文に「あたし」があれば候補にする</t>
        </is>
      </c>
      <c r="G21" s="5" t="inlineStr">
        <is>
          <t>前提：性格「です・ます調で話す」
入力：post「あたしは元気です。」</t>
        </is>
      </c>
      <c r="H21" s="5" t="inlineStr">
        <is>
          <t>C03（detail に「です・ます」）</t>
        </is>
      </c>
      <c r="I21" s="5" t="inlineStr">
        <is>
          <t>B6-F, B7-T</t>
        </is>
      </c>
      <c r="J21" s="5" t="inlineStr">
        <is>
          <t>一時 DB（createTestDb、マイグレーション済み）。generationSeed で世界・エージェント・生成イベントを入れる</t>
        </is>
      </c>
      <c r="K21" s="5" t="inlineStr"/>
      <c r="L21" s="5" t="inlineStr"/>
      <c r="M21" s="5" t="inlineStr">
        <is>
          <t>TC-UT_CON-009 C03：性格に「です・ます」とあり、本文に「あたし」があれば候補にする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既存テスト：一部 TC-NOUS62_DEV-45（丁寧語と俺だけ）</t>
        </is>
      </c>
    </row>
    <row r="22">
      <c r="A22" s="4" t="n">
        <v>18</v>
      </c>
      <c r="B22" s="4" t="inlineStr">
        <is>
          <t>TC-UT_CON-010</t>
        </is>
      </c>
      <c r="C22" s="5" t="inlineStr">
        <is>
          <t>checkConsistency</t>
        </is>
      </c>
      <c r="D22" s="4" t="inlineStr">
        <is>
          <t>正常系</t>
        </is>
      </c>
      <c r="E22" s="4" t="inlineStr">
        <is>
          <t>同値分割</t>
        </is>
      </c>
      <c r="F22" s="5" t="inlineStr">
        <is>
          <t>C03：性格に「無口」とあり、本文に「わたくし」があれば候補にする</t>
        </is>
      </c>
      <c r="G22" s="5" t="inlineStr">
        <is>
          <t>前提：性格「無口な職人」
入力：post「わたくしが参ります。」</t>
        </is>
      </c>
      <c r="H22" s="5" t="inlineStr">
        <is>
          <t>C03</t>
        </is>
      </c>
      <c r="I22" s="5" t="inlineStr">
        <is>
          <t>B6-F, B7-T</t>
        </is>
      </c>
      <c r="J22" s="5" t="inlineStr">
        <is>
          <t>一時 DB（createTestDb、マイグレーション済み）。generationSeed で世界・エージェント・生成イベントを入れる</t>
        </is>
      </c>
      <c r="K22" s="5" t="inlineStr"/>
      <c r="L22" s="5" t="inlineStr"/>
      <c r="M22" s="5" t="inlineStr">
        <is>
          <t>TC-UT_CON-010 C03：性格に「無口」とあり、本文に「わたくし」があれば候補にする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既存テスト：なし</t>
        </is>
      </c>
    </row>
    <row r="23">
      <c r="A23" s="4" t="n">
        <v>19</v>
      </c>
      <c r="B23" s="4" t="inlineStr">
        <is>
          <t>TC-UT_CON-011</t>
        </is>
      </c>
      <c r="C23" s="5" t="inlineStr">
        <is>
          <t>checkConsistency</t>
        </is>
      </c>
      <c r="D23" s="4" t="inlineStr">
        <is>
          <t>正常系</t>
        </is>
      </c>
      <c r="E23" s="4" t="inlineStr">
        <is>
          <t>分岐網羅</t>
        </is>
      </c>
      <c r="F23" s="5" t="inlineStr">
        <is>
          <t>C03：2 つの規則のキーワードに当たれば、規則ごとに 1 件ずつ候補にする</t>
        </is>
      </c>
      <c r="G23" s="5" t="inlineStr">
        <is>
          <t>前提：性格「丁寧語を使うが無口」
入力：post「俺はわたくしとは言わない。」</t>
        </is>
      </c>
      <c r="H23" s="5" t="inlineStr">
        <is>
          <t>C03 が 2 件（規則ごと）</t>
        </is>
      </c>
      <c r="I23" s="5" t="inlineStr">
        <is>
          <t>B6-F, B7-T</t>
        </is>
      </c>
      <c r="J23" s="5" t="inlineStr">
        <is>
          <t>一時 DB（createTestDb、マイグレーション済み）。generationSeed で世界・エージェント・生成イベントを入れる</t>
        </is>
      </c>
      <c r="K23" s="5" t="inlineStr"/>
      <c r="L23" s="5" t="inlineStr"/>
      <c r="M23" s="5" t="inlineStr">
        <is>
          <t>TC-UT_CON-011 C03：2 つの規則のキーワードに当たれば、規則ごとに 1 件ずつ候補にする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既存テスト：なし</t>
        </is>
      </c>
    </row>
    <row r="24">
      <c r="A24" s="4" t="n">
        <v>20</v>
      </c>
      <c r="B24" s="4" t="inlineStr">
        <is>
          <t>TC-UT_CON-012</t>
        </is>
      </c>
      <c r="C24" s="5" t="inlineStr">
        <is>
          <t>checkConsistency</t>
        </is>
      </c>
      <c r="D24" s="4" t="inlineStr">
        <is>
          <t>正常系</t>
        </is>
      </c>
      <c r="E24" s="4" t="inlineStr">
        <is>
          <t>同値分割</t>
        </is>
      </c>
      <c r="F24" s="5" t="inlineStr">
        <is>
          <t>C03：合わない一人称が本文に複数あれば、1 件にまとめて並べる</t>
        </is>
      </c>
      <c r="G24" s="5" t="inlineStr">
        <is>
          <t>前提：性格「丁寧語で話す」
入力：post「俺もオレも走る。」</t>
        </is>
      </c>
      <c r="H24" s="5" t="inlineStr">
        <is>
          <t>[{ C03, 性格に「丁寧語」とあるが、本文に「俺」「オレ」がある }]</t>
        </is>
      </c>
      <c r="I24" s="5" t="inlineStr">
        <is>
          <t>B7-T</t>
        </is>
      </c>
      <c r="J24" s="5" t="inlineStr">
        <is>
          <t>一時 DB（createTestDb、マイグレーション済み）。generationSeed で世界・エージェント・生成イベントを入れる</t>
        </is>
      </c>
      <c r="K24" s="5" t="inlineStr"/>
      <c r="L24" s="5" t="inlineStr"/>
      <c r="M24" s="5" t="inlineStr">
        <is>
          <t>TC-UT_CON-012 C03：合わない一人称が本文に複数あれば、1 件にまとめて並べる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既存テスト：なし</t>
        </is>
      </c>
    </row>
    <row r="25">
      <c r="A25" s="4" t="n">
        <v>21</v>
      </c>
      <c r="B25" s="4" t="inlineStr">
        <is>
          <t>TC-UT_CON-013</t>
        </is>
      </c>
      <c r="C25" s="5" t="inlineStr">
        <is>
          <t>checkConsistency</t>
        </is>
      </c>
      <c r="D25" s="4" t="inlineStr">
        <is>
          <t>正常系</t>
        </is>
      </c>
      <c r="E25" s="4" t="inlineStr">
        <is>
          <t>同値分割</t>
        </is>
      </c>
      <c r="F25" s="5" t="inlineStr">
        <is>
          <t>C03：「そのうち」も表の「うち」に当たる（表のとおり候補にする）</t>
        </is>
      </c>
      <c r="G25" s="5" t="inlineStr">
        <is>
          <t>前提：性格「丁寧語で話す」
入力：post「そのうち行きます。」</t>
        </is>
      </c>
      <c r="H25" s="5" t="inlineStr">
        <is>
          <t>C03（detail に「うち」）</t>
        </is>
      </c>
      <c r="I25" s="5" t="inlineStr">
        <is>
          <t>B7-T</t>
        </is>
      </c>
      <c r="J25" s="5" t="inlineStr">
        <is>
          <t>一時 DB（createTestDb、マイグレーション済み）。generationSeed で世界・エージェント・生成イベントを入れる</t>
        </is>
      </c>
      <c r="K25" s="5" t="inlineStr"/>
      <c r="L25" s="5" t="inlineStr"/>
      <c r="M25" s="5" t="inlineStr">
        <is>
          <t>TC-UT_CON-013 C03：「そのうち」も表の「うち」に当たる（表のとおり候補にする）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
確認事項 4 を参照</t>
        </is>
      </c>
    </row>
    <row r="26">
      <c r="A26" s="4" t="n">
        <v>22</v>
      </c>
      <c r="B26" s="4" t="inlineStr">
        <is>
          <t>TC-UT_CON-014</t>
        </is>
      </c>
      <c r="C26" s="5" t="inlineStr">
        <is>
          <t>checkConsistency</t>
        </is>
      </c>
      <c r="D26" s="4" t="inlineStr">
        <is>
          <t>正常系</t>
        </is>
      </c>
      <c r="E26" s="4" t="inlineStr">
        <is>
          <t>同値分割</t>
        </is>
      </c>
      <c r="F26" s="5" t="inlineStr">
        <is>
          <t>C04：停止中でも同じ世界にいる住人への言及は候補にしない</t>
        </is>
      </c>
      <c r="G26" s="5" t="inlineStr">
        <is>
          <t>前提：同じ世界に停止中の sleepy
入力：post「@sleepy さんは元気かな。」</t>
        </is>
      </c>
      <c r="H26" s="5" t="inlineStr">
        <is>
          <t>空の配列</t>
        </is>
      </c>
      <c r="I26" s="5" t="inlineStr">
        <is>
          <t>B8-F, B9-F</t>
        </is>
      </c>
      <c r="J26" s="5" t="inlineStr">
        <is>
          <t>一時 DB（createTestDb、マイグレーション済み）。generationSeed で世界・エージェント・生成イベントを入れる</t>
        </is>
      </c>
      <c r="K26" s="5" t="inlineStr"/>
      <c r="L26" s="5" t="inlineStr"/>
      <c r="M26" s="5" t="inlineStr">
        <is>
          <t>TC-UT_CON-014 C04：停止中でも同じ世界にいる住人への言及は候補にしない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既存テスト：なし
9章「生成の時点の同じ世界のエージェント」に停止中を含むと読んだ</t>
        </is>
      </c>
    </row>
    <row r="27">
      <c r="A27" s="4" t="n">
        <v>23</v>
      </c>
      <c r="B27" s="4" t="inlineStr">
        <is>
          <t>TC-UT_CON-015</t>
        </is>
      </c>
      <c r="C27" s="5" t="inlineStr">
        <is>
          <t>checkConsistency</t>
        </is>
      </c>
      <c r="D27" s="4" t="inlineStr">
        <is>
          <t>正常系</t>
        </is>
      </c>
      <c r="E27" s="4" t="inlineStr">
        <is>
          <t>同値分割</t>
        </is>
      </c>
      <c r="F27" s="5" t="inlineStr">
        <is>
          <t>C04：別の世界にだけいる住人への言及は候補にする</t>
        </is>
      </c>
      <c r="G27" s="5" t="inlineStr">
        <is>
          <t>前提：アーカイブ済みの世界にだけ faraway
入力：post「@faraway さんに会いたい。」</t>
        </is>
      </c>
      <c r="H27" s="5" t="inlineStr">
        <is>
          <t>[{ C04, 世界にいない住人への言及：@faraway }]</t>
        </is>
      </c>
      <c r="I27" s="5" t="inlineStr">
        <is>
          <t>B9-T</t>
        </is>
      </c>
      <c r="J27" s="5" t="inlineStr">
        <is>
          <t>一時 DB（createTestDb、マイグレーション済み）。generationSeed で世界・エージェント・生成イベントを入れる。アーカイブ済みの世界はテストの中で insert する（ux_worlds_current のため）</t>
        </is>
      </c>
      <c r="K27" s="5" t="inlineStr"/>
      <c r="L27" s="5" t="inlineStr"/>
      <c r="M27" s="5" t="inlineStr">
        <is>
          <t>TC-UT_CON-015 C04：別の世界にだけいる住人への言及は候補にする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既存テスト：なし</t>
        </is>
      </c>
    </row>
    <row r="28">
      <c r="A28" s="4" t="n">
        <v>24</v>
      </c>
      <c r="B28" s="4" t="inlineStr">
        <is>
          <t>TC-UT_CON-016</t>
        </is>
      </c>
      <c r="C28" s="5" t="inlineStr">
        <is>
          <t>checkConsistency</t>
        </is>
      </c>
      <c r="D28" s="4" t="inlineStr">
        <is>
          <t>正常系</t>
        </is>
      </c>
      <c r="E28" s="4" t="inlineStr">
        <is>
          <t>同値分割</t>
        </is>
      </c>
      <c r="F28" s="5" t="inlineStr">
        <is>
          <t>C04：同じハンドルは 1 回だけ、いない住人が複数なら「、」でつなぐ</t>
        </is>
      </c>
      <c r="G28" s="5" t="inlineStr">
        <is>
          <t>前提：世界に ghost1・ghost2 はいない
入力：post「@ghost1 と @ghost2 と @ghost1 の話。」</t>
        </is>
      </c>
      <c r="H28" s="5" t="inlineStr">
        <is>
          <t>[{ C04, 世界にいない住人への言及：@ghost1、@ghost2 }]</t>
        </is>
      </c>
      <c r="I28" s="5" t="inlineStr">
        <is>
          <t>B9-T</t>
        </is>
      </c>
      <c r="J28" s="5" t="inlineStr">
        <is>
          <t>一時 DB（createTestDb、マイグレーション済み）。generationSeed で世界・エージェント・生成イベントを入れる</t>
        </is>
      </c>
      <c r="K28" s="5" t="inlineStr"/>
      <c r="L28" s="5" t="inlineStr"/>
      <c r="M28" s="5" t="inlineStr">
        <is>
          <t>TC-UT_CON-016 C04：同じハンドルは 1 回だけ、いない住人が複数なら「、」でつなぐ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既存テスト：一部 TC-NOUS62_DEV-46（1 体だけ）</t>
        </is>
      </c>
    </row>
    <row r="29">
      <c r="A29" s="4" t="n">
        <v>25</v>
      </c>
      <c r="B29" s="4" t="inlineStr">
        <is>
          <t>TC-UT_CON-017</t>
        </is>
      </c>
      <c r="C29" s="5" t="inlineStr">
        <is>
          <t>checkConsistency</t>
        </is>
      </c>
      <c r="D29" s="4" t="inlineStr">
        <is>
          <t>正常系</t>
        </is>
      </c>
      <c r="E29" s="4" t="inlineStr">
        <is>
          <t>分岐網羅</t>
        </is>
      </c>
      <c r="F29" s="5" t="inlineStr">
        <is>
          <t>reply で C01〜C04 がそろえば、C01・C02・C03・C04 の順に返す</t>
        </is>
      </c>
      <c r="G29" s="5" t="inlineStr">
        <is>
          <t>前提：性格「丁寧語で話す」の minato の過去の投稿、haruka の投稿、minato が 1 巡目に follow・2 巡目に unfollow
入力：3 巡目に、過去と同じ文・俺・@ghost_x を含む reply</t>
        </is>
      </c>
      <c r="H29" s="5" t="inlineStr">
        <is>
          <t>C01・C02・C03・C04 の順の 4 件</t>
        </is>
      </c>
      <c r="I29" s="5" t="inlineStr">
        <is>
          <t>B1-F, B3-F, B5-T, B7-F, B7-T, B9-T, B10-T</t>
        </is>
      </c>
      <c r="J29" s="5" t="inlineStr">
        <is>
          <t>一時 DB（createTestDb、マイグレーション済み）。generationSeed で世界・エージェント・生成イベントを入れる</t>
        </is>
      </c>
      <c r="K29" s="5" t="inlineStr"/>
      <c r="L29" s="5" t="inlineStr"/>
      <c r="M29" s="5" t="inlineStr">
        <is>
          <t>TC-UT_CON-017 reply で C01〜C04 がそろえば、C01・C02・C03・C04 の順に返す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既存テスト：なし
過去の投稿（同じ性格・合う一人称）の検査で B7-F も通る</t>
        </is>
      </c>
    </row>
    <row r="30">
      <c r="A30" s="4" t="n">
        <v>26</v>
      </c>
      <c r="B30" s="4" t="inlineStr">
        <is>
          <t>TC-UT_CON-018</t>
        </is>
      </c>
      <c r="C30" s="5" t="inlineStr">
        <is>
          <t>checkConsistency</t>
        </is>
      </c>
      <c r="D30" s="4" t="inlineStr">
        <is>
          <t>正常系</t>
        </is>
      </c>
      <c r="E30" s="4" t="inlineStr">
        <is>
          <t>分岐網羅</t>
        </is>
      </c>
      <c r="F30" s="5" t="inlineStr">
        <is>
          <t>unfollow では C01〜C04 のどれも見ない</t>
        </is>
      </c>
      <c r="G30" s="5" t="inlineStr">
        <is>
          <t>前提：minato が haruka を 1 巡目に follow
入力：2 巡目に unfollow</t>
        </is>
      </c>
      <c r="H30" s="5" t="inlineStr">
        <is>
          <t>空の配列</t>
        </is>
      </c>
      <c r="I30" s="5" t="inlineStr">
        <is>
          <t>B1-T, B10-F</t>
        </is>
      </c>
      <c r="J30" s="5" t="inlineStr">
        <is>
          <t>一時 DB（createTestDb、マイグレーション済み）。generationSeed で世界・エージェント・生成イベントを入れる</t>
        </is>
      </c>
      <c r="K30" s="5" t="inlineStr"/>
      <c r="L30" s="5" t="inlineStr"/>
      <c r="M30" s="5" t="inlineStr">
        <is>
          <t>TC-UT_CON-018 unfollow では C01〜C04 のどれも見ない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既存テスト：一部 TC-NOUS62_DEV-47（like だけ）</t>
        </is>
      </c>
    </row>
    <row r="31">
      <c r="A31" s="4" t="n">
        <v>27</v>
      </c>
      <c r="B31" s="4" t="inlineStr">
        <is>
          <t>TC-UT_CON-020</t>
        </is>
      </c>
      <c r="C31" s="5" t="inlineStr">
        <is>
          <t>checkConsistency</t>
        </is>
      </c>
      <c r="D31" s="4" t="inlineStr">
        <is>
          <t>正常系</t>
        </is>
      </c>
      <c r="E31" s="4" t="inlineStr">
        <is>
          <t>状態遷移</t>
        </is>
      </c>
      <c r="F31" s="5" t="inlineStr">
        <is>
          <t>C01：解除の後にフォローし直した相手への返信は候補にしない</t>
        </is>
      </c>
      <c r="G31" s="5" t="inlineStr">
        <is>
          <t>前提：haruka の投稿、minato が 1 巡目に follow・2 巡目に unfollow・3 巡目に follow（継続中）
入力：4 巡目に reply</t>
        </is>
      </c>
      <c r="H31" s="5" t="inlineStr">
        <is>
          <t>空の配列（フォローし直した相手は「解除した相手」に当たらない）</t>
        </is>
      </c>
      <c r="I31" s="5" t="inlineStr">
        <is>
          <t>B1-F, B2-F, B3-F</t>
        </is>
      </c>
      <c r="J31" s="5" t="inlineStr">
        <is>
          <t>一時 DB（createTestDb、マイグレーション済み）。generationSeed で世界・エージェント・生成イベントを入れる</t>
        </is>
      </c>
      <c r="K31" s="5" t="inlineStr"/>
      <c r="L31" s="5" t="inlineStr"/>
      <c r="M31" s="5" t="inlineStr">
        <is>
          <t>TC-UT_CON-020 C01：解除の後にフォローし直した相手への返信は候補にしない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
疑い：疑い 1：最後の解除から 3 巡以内なら、フォローし直した後でも C01 の候補にする
2026-10-26 Kouhei Tajima さんの決定（NOUS-103）</t>
        </is>
      </c>
    </row>
    <row r="32">
      <c r="A32" s="4" t="n">
        <v>28</v>
      </c>
      <c r="B32" s="4" t="inlineStr">
        <is>
          <t>TC-UT_CON-019</t>
        </is>
      </c>
      <c r="C32" s="5" t="inlineStr">
        <is>
          <t>splitSentences</t>
        </is>
      </c>
      <c r="D32" s="4" t="inlineStr">
        <is>
          <t>正常系</t>
        </is>
      </c>
      <c r="E32" s="4" t="inlineStr">
        <is>
          <t>同値分割</t>
        </is>
      </c>
      <c r="F32" s="5" t="inlineStr">
        <is>
          <t>splitSentences は半角の ! ? でも切り、空の行は除く</t>
        </is>
      </c>
      <c r="G32" s="5" t="inlineStr">
        <is>
          <t>前提：なし
入力：一!二?\n\n三</t>
        </is>
      </c>
      <c r="H32" s="5" t="inlineStr">
        <is>
          <t>[一!, 二?, 三]</t>
        </is>
      </c>
      <c r="I32" s="5" t="inlineStr"/>
      <c r="J32" s="5" t="inlineStr">
        <is>
          <t>なし</t>
        </is>
      </c>
      <c r="K32" s="5" t="inlineStr"/>
      <c r="L32" s="5" t="inlineStr"/>
      <c r="M32" s="5" t="inlineStr">
        <is>
          <t>TC-UT_CON-019 splitSentences は半角の ! ? でも切り、空の行は除く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既存テスト：一部 TC-NOUS62_DEV-48（全角の句点だけ）</t>
        </is>
      </c>
    </row>
  </sheetData>
  <autoFilter ref="A4:Q32"/>
  <conditionalFormatting sqref="A5:Q82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82" showDropDown="0" showInputMessage="0" showErrorMessage="0" allowBlank="1" type="list">
      <formula1>"未実施,OK,NG,保留,対象外"</formula1>
    </dataValidation>
    <dataValidation sqref="D5:D82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COUNTA(観点表!$B$5:$B$82)</f>
        <v/>
      </c>
    </row>
    <row r="6">
      <c r="A6" s="10" t="inlineStr">
        <is>
          <t>正常系</t>
        </is>
      </c>
      <c r="B6" s="10">
        <f>COUNTIF(観点表!$D$5:$D$82,"正常系")</f>
        <v/>
      </c>
    </row>
    <row r="7">
      <c r="A7" s="10" t="inlineStr">
        <is>
          <t>異常系</t>
        </is>
      </c>
      <c r="B7" s="10">
        <f>COUNTIF(観点表!$D$5:$D$82,"異常系")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分岐網羅</t>
        </is>
      </c>
      <c r="B10" s="10">
        <f>COUNTIF(観点表!$E$5:$E$82,"分岐網羅")</f>
        <v/>
      </c>
    </row>
    <row r="11">
      <c r="A11" s="10" t="inlineStr">
        <is>
          <t>同値分割</t>
        </is>
      </c>
      <c r="B11" s="10">
        <f>COUNTIF(観点表!$E$5:$E$82,"同値分割")</f>
        <v/>
      </c>
    </row>
    <row r="12">
      <c r="A12" s="10" t="inlineStr">
        <is>
          <t>境界値</t>
        </is>
      </c>
      <c r="B12" s="10">
        <f>COUNTIF(観点表!$E$5:$E$82,"境界値")</f>
        <v/>
      </c>
    </row>
    <row r="13">
      <c r="A13" s="10" t="inlineStr">
        <is>
          <t>状態遷移</t>
        </is>
      </c>
      <c r="B13" s="10">
        <f>COUNTIF(観点表!$E$5:$E$82,"状態遷移")</f>
        <v/>
      </c>
    </row>
    <row r="14">
      <c r="A14" s="10" t="inlineStr">
        <is>
          <t>開発者テスト</t>
        </is>
      </c>
      <c r="B14" s="10">
        <f>COUNTIF(観点表!$E$5:$E$82,"開発者テスト")</f>
        <v/>
      </c>
    </row>
    <row r="16">
      <c r="A16" s="8" t="inlineStr">
        <is>
          <t>テストデータ</t>
        </is>
      </c>
      <c r="B16" s="9" t="n"/>
      <c r="C16" s="9" t="n"/>
    </row>
    <row r="17">
      <c r="A17" s="10" t="inlineStr">
        <is>
          <t>作成済み</t>
        </is>
      </c>
      <c r="B17" s="10">
        <f>COUNTIF(観点表!$K$5:$K$82,"?*")</f>
        <v/>
      </c>
    </row>
    <row r="18">
      <c r="A18" s="10" t="inlineStr">
        <is>
          <t>未作成</t>
        </is>
      </c>
      <c r="B18" s="10">
        <f>B5-B17</f>
        <v/>
      </c>
    </row>
    <row r="20">
      <c r="A20" s="8" t="inlineStr">
        <is>
          <t>実施状況</t>
        </is>
      </c>
      <c r="B20" s="9" t="n"/>
      <c r="C20" s="9" t="n"/>
    </row>
    <row r="21">
      <c r="A21" s="10" t="inlineStr">
        <is>
          <t>未実施</t>
        </is>
      </c>
      <c r="B21" s="10">
        <f>COUNTIF(観点表!$N$5:$N$82,"未実施")</f>
        <v/>
      </c>
    </row>
    <row r="22">
      <c r="A22" s="10" t="inlineStr">
        <is>
          <t>OK</t>
        </is>
      </c>
      <c r="B22" s="10">
        <f>COUNTIF(観点表!$N$5:$N$82,"OK")</f>
        <v/>
      </c>
    </row>
    <row r="23">
      <c r="A23" s="10" t="inlineStr">
        <is>
          <t>NG</t>
        </is>
      </c>
      <c r="B23" s="10">
        <f>COUNTIF(観点表!$N$5:$N$82,"NG")</f>
        <v/>
      </c>
    </row>
    <row r="24">
      <c r="A24" s="10" t="inlineStr">
        <is>
          <t>保留</t>
        </is>
      </c>
      <c r="B24" s="10">
        <f>COUNTIF(観点表!$N$5:$N$82,"保留")</f>
        <v/>
      </c>
    </row>
    <row r="25">
      <c r="A25" s="10" t="inlineStr">
        <is>
          <t>対象外</t>
        </is>
      </c>
      <c r="B25" s="10">
        <f>COUNTIF(観点表!$N$5:$N$82,"対象外")</f>
        <v/>
      </c>
    </row>
    <row r="26">
      <c r="A26" s="10" t="inlineStr">
        <is>
          <t>消化率（未実施以外 / 総数）</t>
        </is>
      </c>
      <c r="B26" s="11">
        <f>IF(B5=0,0,(B5-B21)/B5)</f>
        <v/>
      </c>
    </row>
    <row r="27">
      <c r="A27" s="10" t="inlineStr">
        <is>
          <t>合格率（OK / (総数-対象外)）</t>
        </is>
      </c>
      <c r="B27" s="11">
        <f>IF(B5-B25=0,0,B22/(B5-B25))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TC-NOUS62_DEV-41</t>
        </is>
      </c>
      <c r="B5" s="13" t="inlineStr">
        <is>
          <t>問題のない投稿は空の配列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TC-NOUS62_DEV-42</t>
        </is>
      </c>
      <c r="B6" s="13" t="inlineStr">
        <is>
          <t>C01：解除から 3 巡以内の返信は候補、4 巡後は候補にしない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TC-NOUS62_DEV-43</t>
        </is>
      </c>
      <c r="B7" s="13" t="inlineStr">
        <is>
          <t>C02：過去の自分の投稿と同じ 20 字以上の文は候補、今回の投稿自身とは比べない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TC-NOUS62_DEV-44</t>
        </is>
      </c>
      <c r="B8" s="13" t="inlineStr">
        <is>
          <t>C02：他のエージェントの投稿との一致は数えない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TC-NOUS62_DEV-45</t>
        </is>
      </c>
      <c r="B9" s="13" t="inlineStr">
        <is>
          <t>C03：性格に「丁寧語」とあり本文に「俺」があれば候補、キーワードのない人格は検査しない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TC-NOUS62_DEV-46</t>
        </is>
      </c>
      <c r="B10" s="13" t="inlineStr">
        <is>
          <t>C04：世界にいない @ハンドルは候補、いる住人への言及は候補にしない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TC-NOUS62_DEV-47</t>
        </is>
      </c>
      <c r="B11" s="13" t="inlineStr">
        <is>
          <t>like・follow などの本文のない行動は C02〜C04 を見ない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TC-NOUS62_DEV-48</t>
        </is>
      </c>
      <c r="B12" s="13" t="inlineStr">
        <is>
          <t>splitSentences は句点と改行で分ける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TC-UT_CON-001</t>
        </is>
      </c>
      <c r="B13" s="13" t="inlineStr">
        <is>
          <t>C01：解除と同じ巡（差 0）の返信は候補にする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TC-UT_CON-002</t>
        </is>
      </c>
      <c r="B14" s="13" t="inlineStr">
        <is>
          <t>C01：フォローしたことのない相手への返信は候補にしない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TC-UT_CON-003</t>
        </is>
      </c>
      <c r="B15" s="13" t="inlineStr">
        <is>
          <t>C01：フォローを続けている相手への返信は候補にしない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TC-UT_CON-004</t>
        </is>
      </c>
      <c r="B16" s="13" t="inlineStr">
        <is>
          <t>C01：2 回解除していれば、新しいほうの解除の巡から数える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TC-UT_CON-005</t>
        </is>
      </c>
      <c r="B17" s="13" t="inlineStr">
        <is>
          <t>C02：ちょうど 20 字の文が過去の自分の投稿と一致すれば候補にする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TC-UT_CON-006</t>
        </is>
      </c>
      <c r="B18" s="13" t="inlineStr">
        <is>
          <t>C02：19 字の文の一致は候補にしない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TC-UT_CON-007</t>
        </is>
      </c>
      <c r="B19" s="13" t="inlineStr">
        <is>
          <t>C02：同じ文が本文に 2 回あっても候補は 1 件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TC-UT_CON-008</t>
        </is>
      </c>
      <c r="B20" s="13" t="inlineStr">
        <is>
          <t>C02：2 つの文がそれぞれ過去の投稿と一致すれば候補は 2 件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TC-UT_CON-009</t>
        </is>
      </c>
      <c r="B21" s="13" t="inlineStr">
        <is>
          <t>C03：性格に「です・ます」とあり、本文に「あたし」があれば候補にする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TC-UT_CON-010</t>
        </is>
      </c>
      <c r="B22" s="13" t="inlineStr">
        <is>
          <t>C03：性格に「無口」とあり、本文に「わたくし」があれば候補にする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TC-UT_CON-011</t>
        </is>
      </c>
      <c r="B23" s="13" t="inlineStr">
        <is>
          <t>C03：2 つの規則のキーワードに当たれば、規則ごとに 1 件ずつ候補にする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TC-UT_CON-012</t>
        </is>
      </c>
      <c r="B24" s="13" t="inlineStr">
        <is>
          <t>C03：合わない一人称が本文に複数あれば、1 件にまとめて並べる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TC-UT_CON-013</t>
        </is>
      </c>
      <c r="B25" s="13" t="inlineStr">
        <is>
          <t>C03：「そのうち」も表の「うち」に当たる（表のとおり候補にする）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TC-UT_CON-014</t>
        </is>
      </c>
      <c r="B26" s="13" t="inlineStr">
        <is>
          <t>C04：停止中でも同じ世界にいる住人への言及は候補にしない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TC-UT_CON-015</t>
        </is>
      </c>
      <c r="B27" s="13" t="inlineStr">
        <is>
          <t>C04：別の世界にだけいる住人への言及は候補にする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TC-UT_CON-016</t>
        </is>
      </c>
      <c r="B28" s="13" t="inlineStr">
        <is>
          <t>C04：同じハンドルは 1 回だけ、いない住人が複数なら「、」でつなぐ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TC-UT_CON-017</t>
        </is>
      </c>
      <c r="B29" s="13" t="inlineStr">
        <is>
          <t>reply で C01〜C04 がそろえば、C01・C02・C03・C04 の順に返す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TC-UT_CON-018</t>
        </is>
      </c>
      <c r="B30" s="13" t="inlineStr">
        <is>
          <t>unfollow では C01〜C04 のどれも見ない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TC-UT_CON-020</t>
        </is>
      </c>
      <c r="B31" s="13" t="inlineStr">
        <is>
          <t>C01：解除の後にフォローし直した相手への返信は候補にしない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TC-UT_CON-019</t>
        </is>
      </c>
      <c r="B32" s="13" t="inlineStr">
        <is>
          <t>splitSentences は半角の ! ? でも切り、空の行は除く</t>
        </is>
      </c>
      <c r="C32" s="13" t="inlineStr">
        <is>
          <t>未作成</t>
        </is>
      </c>
      <c r="D32" s="13" t="inlineStr"/>
      <c r="E32" s="13" t="inlineStr"/>
      <c r="F32" s="13" t="inlineStr"/>
    </row>
  </sheetData>
  <autoFilter ref="A4:F32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記憶との矛盾の検査 C01〜C04（generation/consistencyChecker.ts）</t>
        </is>
      </c>
    </row>
    <row r="4">
      <c r="A4" s="14" t="inlineStr">
        <is>
          <t>対象ファイル</t>
        </is>
      </c>
      <c r="B4" s="15" t="inlineStr">
        <is>
          <t>apps/server/src/generation/consistencyChecker.ts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apps/server/src/generation/consistencyChecker.test.ts（実装時、NOUS-62）, apps/server/src/generation/consistencyChecker.ut.test.ts（単体テストで追加）</t>
        </is>
      </c>
    </row>
    <row r="7">
      <c r="A7" s="14" t="inlineStr">
        <is>
          <t>外部依存</t>
        </is>
      </c>
      <c r="B7" s="15" t="inlineStr">
        <is>
          <t>一時 DB（createTestDb）。前提のデータは generationSeed と applyAction（commitAction と同じ順で、反映してから検査する）, config はテストの中で config/generation.json と同じ表を渡す, 巡の番号は seedEvent の cycleNo、世界内時間は巡×10 秒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C01：action が reply でない</t>
        </is>
      </c>
      <c r="C11" s="17" t="inlineStr">
        <is>
          <t>consistencyChecker.ts:37</t>
        </is>
      </c>
    </row>
    <row r="12">
      <c r="A12" s="17" t="inlineStr">
        <is>
          <t>B2</t>
        </is>
      </c>
      <c r="B12" s="17" t="inlineStr">
        <is>
          <t>C01：返信の相手を自分が解除した行がない（row === undefined）</t>
        </is>
      </c>
      <c r="C12" s="17" t="inlineStr">
        <is>
          <t>consistencyChecker.ts:49</t>
        </is>
      </c>
    </row>
    <row r="13">
      <c r="A13" s="17" t="inlineStr">
        <is>
          <t>B3</t>
        </is>
      </c>
      <c r="B13" s="17" t="inlineStr">
        <is>
          <t>C01：今の巡 − 解除した巡 &gt; 3</t>
        </is>
      </c>
      <c r="C13" s="17" t="inlineStr">
        <is>
          <t>consistencyChecker.ts:49</t>
        </is>
      </c>
    </row>
    <row r="14">
      <c r="A14" s="17" t="inlineStr">
        <is>
          <t>B4</t>
        </is>
      </c>
      <c r="B14" s="17" t="inlineStr">
        <is>
          <t>C02：文が 20 字未満</t>
        </is>
      </c>
      <c r="C14" s="17" t="inlineStr">
        <is>
          <t>consistencyChecker.ts:64</t>
        </is>
      </c>
    </row>
    <row r="15">
      <c r="A15" s="17" t="inlineStr">
        <is>
          <t>B5</t>
        </is>
      </c>
      <c r="B15" s="17" t="inlineStr">
        <is>
          <t>C02：同じ文を含む過去の自分の投稿がある</t>
        </is>
      </c>
      <c r="C15" s="17" t="inlineStr">
        <is>
          <t>consistencyChecker.ts:73</t>
        </is>
      </c>
    </row>
    <row r="16">
      <c r="A16" s="17" t="inlineStr">
        <is>
          <t>B6</t>
        </is>
      </c>
      <c r="B16" s="17" t="inlineStr">
        <is>
          <t>C03：性格の記述に、規則のキーワードがない</t>
        </is>
      </c>
      <c r="C16" s="17" t="inlineStr">
        <is>
          <t>consistencyChecker.ts:85</t>
        </is>
      </c>
    </row>
    <row r="17">
      <c r="A17" s="17" t="inlineStr">
        <is>
          <t>B7</t>
        </is>
      </c>
      <c r="B17" s="17" t="inlineStr">
        <is>
          <t>C03：合わない一人称が本文にある</t>
        </is>
      </c>
      <c r="C17" s="17" t="inlineStr">
        <is>
          <t>consistencyChecker.ts:89</t>
        </is>
      </c>
    </row>
    <row r="18">
      <c r="A18" s="17" t="inlineStr">
        <is>
          <t>B8</t>
        </is>
      </c>
      <c r="B18" s="17" t="inlineStr">
        <is>
          <t>C04：本文に @ハンドルがない</t>
        </is>
      </c>
      <c r="C18" s="17" t="inlineStr">
        <is>
          <t>consistencyChecker.ts:99</t>
        </is>
      </c>
    </row>
    <row r="19">
      <c r="A19" s="17" t="inlineStr">
        <is>
          <t>B9</t>
        </is>
      </c>
      <c r="B19" s="17" t="inlineStr">
        <is>
          <t>C04：世界にいないハンドルがある</t>
        </is>
      </c>
      <c r="C19" s="17" t="inlineStr">
        <is>
          <t>consistencyChecker.ts:106</t>
        </is>
      </c>
    </row>
    <row r="20">
      <c r="A20" s="17" t="inlineStr">
        <is>
          <t>B10</t>
        </is>
      </c>
      <c r="B20" s="17" t="inlineStr">
        <is>
          <t>checkConsistency：action が post か reply</t>
        </is>
      </c>
      <c r="C20" s="17" t="inlineStr">
        <is>
          <t>consistencyChecker.ts:119</t>
        </is>
      </c>
    </row>
    <row r="22">
      <c r="A22" s="14" t="inlineStr">
        <is>
          <t>確認事項・潜在バグ</t>
        </is>
      </c>
    </row>
    <row r="23" ht="30" customHeight="1">
      <c r="A23" s="18" t="inlineStr">
        <is>
          <t>・疑い 1：C01 は、解除の後にフォローし直した相手への返信も、最後の解除から 3 巡以内なら候補にする（TC-UT_CON-020）。2026-10-26 に Kouhei Tajima さんが、フォローし直した相手は「解除した相手」に当たらず矛盾としないと決めた。</t>
        </is>
      </c>
    </row>
    <row r="24" ht="30" customHeight="1">
      <c r="A24" s="18" t="inlineStr">
        <is>
          <t>・確認事項 2：C04 の @ハンドルの取り出しは前の字を見ないため、「abc@example」のようなメールアドレスの形も @example として拾う。</t>
        </is>
      </c>
    </row>
    <row r="25" ht="30" customHeight="1">
      <c r="A25" s="18" t="inlineStr">
        <is>
          <t>・確認事項 3：C02 は、非表示にされた自分の過去の投稿とも比べる（9章は「自分の過去の投稿」とだけある）。</t>
        </is>
      </c>
    </row>
    <row r="26" ht="30" customHeight="1">
      <c r="A26" s="18" t="inlineStr">
        <is>
          <t>・確認事項 4：C03 の「うち」は「そのうち」「うちに」にも当たる。NOUS-62 で Jane Doe さんが挙げた点で、候補を記録するだけなので表のとおりを期待値にした（TC-UT_CON-013）。</t>
        </is>
      </c>
    </row>
    <row r="27" ht="30" customHeight="1">
      <c r="A27" s="18" t="inlineStr">
        <is>
          <t>・確認事項 5：checkC01 の row.ended_cycle === null は、JOIN で解除のイベントが必ずあるため通らない。</t>
        </is>
      </c>
    </row>
  </sheetData>
  <mergeCells count="5">
    <mergeCell ref="A25:C25"/>
    <mergeCell ref="A23:C23"/>
    <mergeCell ref="A27:C27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2026-10-26T05:51:00Z</dcterms:created>
  <dcterms:modified xsi:type="dcterms:W3CDTF">2026-10-26T05:51:00Z</dcterms:modified>
</cp:coreProperties>
</file>