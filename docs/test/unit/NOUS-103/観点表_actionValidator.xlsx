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'観点表'!$A$4:$Q$34</definedName>
    <definedName name="_xlnm.Print_Titles" localSheetId="0">'観点表'!$4:$4</definedName>
    <definedName name="_xlnm._FilterDatabase" localSheetId="2" hidden="1">'テストデータ'!$A$4:$F$34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意味の検証と本文の切り詰め（generation/actionValidator.ts）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TC-NOUS62_DEV-11</t>
        </is>
      </c>
      <c r="C5" s="5" t="inlineStr">
        <is>
          <t>validateAction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合格した行動を P 番号・ハンドルから ID にする</t>
        </is>
      </c>
      <c r="G5" s="5" t="inlineStr">
        <is>
          <t>前提：文脈：P1（haruka）・P2（自分）・P3（zen）、いいねできるのは POST_1、フォローできるのは zen、フォロー中は haruka
入力：reply P1・like P1・follow @zen・unfollow @haruka・post</t>
        </is>
      </c>
      <c r="H5" s="5" t="inlineStr">
        <is>
          <t>P 番号・ハンドルを投稿 ID・エージェント ID にした ValidAction</t>
        </is>
      </c>
      <c r="I5" s="5" t="inlineStr">
        <is>
          <t>B1-F, B2-F, B3-F, B4-F, B5-F, B6-F, B7-F, B8-T, B12-T, B13-T, B14-T, B15-T, B16-T, B11-F</t>
        </is>
      </c>
      <c r="J5" s="5" t="inlineStr">
        <is>
          <t>なし</t>
        </is>
      </c>
      <c r="K5" s="5" t="inlineStr"/>
      <c r="L5" s="5" t="inlineStr"/>
      <c r="M5" s="5" t="inlineStr">
        <is>
          <t>TC-NOUS62_DEV-11 合格した行動を P 番号・ハンドルから ID にする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既存テスト：実装時のテスト（NOUS-62）</t>
        </is>
      </c>
    </row>
    <row r="6">
      <c r="A6" s="4" t="n">
        <v>2</v>
      </c>
      <c r="B6" s="4" t="inlineStr">
        <is>
          <t>TC-NOUS62_DEV-12</t>
        </is>
      </c>
      <c r="C6" s="5" t="inlineStr">
        <is>
          <t>validateAction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none は候補になくてもいつも選べる</t>
        </is>
      </c>
      <c r="G6" s="5" t="inlineStr">
        <is>
          <t>前提：DEV-11 と同じ文脈
入力：none、候補は post・reply</t>
        </is>
      </c>
      <c r="H6" s="5" t="inlineStr">
        <is>
          <t>{ action: none }</t>
        </is>
      </c>
      <c r="I6" s="5" t="inlineStr">
        <is>
          <t>B1-F, B11-T, B12-F, B13-F, B14-F, B15-F, B16-F</t>
        </is>
      </c>
      <c r="J6" s="5" t="inlineStr">
        <is>
          <t>なし</t>
        </is>
      </c>
      <c r="K6" s="5" t="inlineStr"/>
      <c r="L6" s="5" t="inlineStr"/>
      <c r="M6" s="5" t="inlineStr">
        <is>
          <t>TC-NOUS62_DEV-12 none は候補になくてもいつも選べる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既存テスト：実装時のテスト（NOUS-62）</t>
        </is>
      </c>
    </row>
    <row r="7">
      <c r="A7" s="4" t="n">
        <v>3</v>
      </c>
      <c r="B7" s="4" t="inlineStr">
        <is>
          <t>TC-NOUS62_DEV-13</t>
        </is>
      </c>
      <c r="C7" s="5" t="inlineStr">
        <is>
          <t>validateAction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各入力 は InvalidFormatError</t>
        </is>
      </c>
      <c r="G7" s="5" t="inlineStr">
        <is>
          <t>前提：DEV-11 と同じ文脈
入力：候補外・存在しない P 番号・自分の投稿へのいいねなど 9 種</t>
        </is>
      </c>
      <c r="H7" s="5" t="inlineStr">
        <is>
          <t>InvalidFormatError</t>
        </is>
      </c>
      <c r="I7" s="5" t="inlineStr">
        <is>
          <t>B1-T, B2-T, B3-T, B4-T, B5-T, B7-T</t>
        </is>
      </c>
      <c r="J7" s="5" t="inlineStr">
        <is>
          <t>なし</t>
        </is>
      </c>
      <c r="K7" s="5" t="inlineStr"/>
      <c r="L7" s="5" t="inlineStr"/>
      <c r="M7" s="5" t="inlineStr">
        <is>
          <t>TC-NOUS62_DEV-13 %s は InvalidFormatError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既存テスト：実装時のテスト（NOUS-62）
detail は UT_VAL-001〜011 で 1 件ずつ確かめる</t>
        </is>
      </c>
    </row>
    <row r="8">
      <c r="A8" s="4" t="n">
        <v>4</v>
      </c>
      <c r="B8" s="4" t="inlineStr">
        <is>
          <t>TC-NOUS62_DEV-14</t>
        </is>
      </c>
      <c r="C8" s="5" t="inlineStr">
        <is>
          <t>validateAction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自分を相手にしたフォローは、followTargets に自分が混ざっていても拒否する</t>
        </is>
      </c>
      <c r="G8" s="5" t="inlineStr">
        <is>
          <t>前提：followTargets に自分（minato）が混ざっている
入力：follow @minato</t>
        </is>
      </c>
      <c r="H8" s="5" t="inlineStr">
        <is>
          <t>InvalidFormatError</t>
        </is>
      </c>
      <c r="I8" s="5" t="inlineStr">
        <is>
          <t>B5-F, B6-T</t>
        </is>
      </c>
      <c r="J8" s="5" t="inlineStr">
        <is>
          <t>なし</t>
        </is>
      </c>
      <c r="K8" s="5" t="inlineStr"/>
      <c r="L8" s="5" t="inlineStr"/>
      <c r="M8" s="5" t="inlineStr">
        <is>
          <t>TC-NOUS62_DEV-14 自分を相手にしたフォローは、followTargets に自分が混ざっていても拒否する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既存テスト：実装時のテスト（NOUS-62）</t>
        </is>
      </c>
    </row>
    <row r="9">
      <c r="A9" s="4" t="n">
        <v>5</v>
      </c>
      <c r="B9" s="4" t="inlineStr">
        <is>
          <t>TC-NOUS62_DEV-15</t>
        </is>
      </c>
      <c r="C9" s="5" t="inlineStr">
        <is>
          <t>truncateText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140 字ちょうどはそのまま</t>
        </is>
      </c>
      <c r="G9" s="5" t="inlineStr">
        <is>
          <t>前提：なし
入力：あ×140</t>
        </is>
      </c>
      <c r="H9" s="5" t="inlineStr">
        <is>
          <t>そのまま</t>
        </is>
      </c>
      <c r="I9" s="5" t="inlineStr">
        <is>
          <t>B7-F, B8-T</t>
        </is>
      </c>
      <c r="J9" s="5" t="inlineStr">
        <is>
          <t>なし</t>
        </is>
      </c>
      <c r="K9" s="5" t="inlineStr"/>
      <c r="L9" s="5" t="inlineStr"/>
      <c r="M9" s="5" t="inlineStr">
        <is>
          <t>TC-NOUS62_DEV-15 140 字ちょうどはそのまま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既存テスト：実装時のテスト（NOUS-62）</t>
        </is>
      </c>
    </row>
    <row r="10">
      <c r="A10" s="4" t="n">
        <v>6</v>
      </c>
      <c r="B10" s="4" t="inlineStr">
        <is>
          <t>TC-NOUS62_DEV-16</t>
        </is>
      </c>
      <c r="C10" s="5" t="inlineStr">
        <is>
          <t>truncateText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141 字以上は 140 字以内の最後の「。！？」で切る</t>
        </is>
      </c>
      <c r="G10" s="5" t="inlineStr">
        <is>
          <t>前提：なし
入力：あ×50。い×60！う×40（152 字）</t>
        </is>
      </c>
      <c r="H10" s="5" t="inlineStr">
        <is>
          <t>あ×50。い×60！</t>
        </is>
      </c>
      <c r="I10" s="5" t="inlineStr">
        <is>
          <t>B8-F, B9-T, B10-F</t>
        </is>
      </c>
      <c r="J10" s="5" t="inlineStr">
        <is>
          <t>なし</t>
        </is>
      </c>
      <c r="K10" s="5" t="inlineStr"/>
      <c r="L10" s="5" t="inlineStr"/>
      <c r="M10" s="5" t="inlineStr">
        <is>
          <t>TC-NOUS62_DEV-16 141 字以上は 140 字以内の最後の「。！？」で切る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既存テスト：実装時のテスト（NOUS-62）</t>
        </is>
      </c>
    </row>
    <row r="11">
      <c r="A11" s="4" t="n">
        <v>7</v>
      </c>
      <c r="B11" s="4" t="inlineStr">
        <is>
          <t>TC-NOUS62_DEV-17</t>
        </is>
      </c>
      <c r="C11" s="5" t="inlineStr">
        <is>
          <t>truncateText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切った結果が 20 字未満なら InvalidFormatError</t>
        </is>
      </c>
      <c r="G11" s="5" t="inlineStr">
        <is>
          <t>前提：なし
入力：あ×10。い×140</t>
        </is>
      </c>
      <c r="H11" s="5" t="inlineStr">
        <is>
          <t>InvalidFormatError</t>
        </is>
      </c>
      <c r="I11" s="5" t="inlineStr">
        <is>
          <t>B9-T, B10-T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TC-NOUS62_DEV-17 切った結果が 20 字未満なら InvalidFormatError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既存テスト：実装時のテスト（NOUS-62）</t>
        </is>
      </c>
    </row>
    <row r="12">
      <c r="A12" s="4" t="n">
        <v>8</v>
      </c>
      <c r="B12" s="4" t="inlineStr">
        <is>
          <t>TC-NOUS62_DEV-18</t>
        </is>
      </c>
      <c r="C12" s="5" t="inlineStr">
        <is>
          <t>truncateText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140 字以内に句点がなければ InvalidFormatError</t>
        </is>
      </c>
      <c r="G12" s="5" t="inlineStr">
        <is>
          <t>前提：なし
入力：あ×141</t>
        </is>
      </c>
      <c r="H12" s="5" t="inlineStr">
        <is>
          <t>InvalidFormatError</t>
        </is>
      </c>
      <c r="I12" s="5" t="inlineStr">
        <is>
          <t>B9-F, B10-T</t>
        </is>
      </c>
      <c r="J12" s="5" t="inlineStr">
        <is>
          <t>なし</t>
        </is>
      </c>
      <c r="K12" s="5" t="inlineStr"/>
      <c r="L12" s="5" t="inlineStr"/>
      <c r="M12" s="5" t="inlineStr">
        <is>
          <t>TC-NOUS62_DEV-18 140 字以内に句点がなければ InvalidFormatError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既存テスト：実装時のテスト（NOUS-62）</t>
        </is>
      </c>
    </row>
    <row r="13">
      <c r="A13" s="4" t="n">
        <v>9</v>
      </c>
      <c r="B13" s="4" t="inlineStr">
        <is>
          <t>TC-NOUS62_DEV-19</t>
        </is>
      </c>
      <c r="C13" s="5" t="inlineStr">
        <is>
          <t>truncateText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字数はコードポイントで数える（絵文字 1 つを 1 字）</t>
        </is>
      </c>
      <c r="G13" s="5" t="inlineStr">
        <is>
          <t>前提：なし
入力：😀×140</t>
        </is>
      </c>
      <c r="H13" s="5" t="inlineStr">
        <is>
          <t>そのまま（コードポイントで 140 字）</t>
        </is>
      </c>
      <c r="I13" s="5" t="inlineStr">
        <is>
          <t>B8-T</t>
        </is>
      </c>
      <c r="J13" s="5" t="inlineStr">
        <is>
          <t>なし</t>
        </is>
      </c>
      <c r="K13" s="5" t="inlineStr"/>
      <c r="L13" s="5" t="inlineStr"/>
      <c r="M13" s="5" t="inlineStr">
        <is>
          <t>TC-NOUS62_DEV-19 字数はコードポイントで数える（絵文字 1 つを 1 字）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既存テスト：実装時のテスト（NOUS-62）</t>
        </is>
      </c>
    </row>
    <row r="14">
      <c r="A14" s="4" t="n">
        <v>10</v>
      </c>
      <c r="B14" s="4" t="inlineStr">
        <is>
          <t>TC-UT_VAL-001</t>
        </is>
      </c>
      <c r="C14" s="5" t="inlineStr">
        <is>
          <t>validateAction</t>
        </is>
      </c>
      <c r="D14" s="4" t="inlineStr">
        <is>
          <t>異常系</t>
        </is>
      </c>
      <c r="E14" s="4" t="inlineStr">
        <is>
          <t>分岐網羅</t>
        </is>
      </c>
      <c r="F14" s="5" t="inlineStr">
        <is>
          <t>候補にない post は not_candidate:post</t>
        </is>
      </c>
      <c r="G14" s="5" t="inlineStr">
        <is>
          <t>前提：DEV-11 と同じ文脈
入力：post、候補は like だけ</t>
        </is>
      </c>
      <c r="H14" s="5" t="inlineStr">
        <is>
          <t>InvalidFormatError、kind=invalid_format、detail=not_candidate:post</t>
        </is>
      </c>
      <c r="I14" s="5" t="inlineStr">
        <is>
          <t>B1-T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TC-UT_VAL-001 候補にない post は not_candidate:post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TC-NOUS62_DEV-13（like の候補外を、型だけ）</t>
        </is>
      </c>
    </row>
    <row r="15">
      <c r="A15" s="4" t="n">
        <v>11</v>
      </c>
      <c r="B15" s="4" t="inlineStr">
        <is>
          <t>TC-UT_VAL-002</t>
        </is>
      </c>
      <c r="C15" s="5" t="inlineStr">
        <is>
          <t>validateAction</t>
        </is>
      </c>
      <c r="D15" s="4" t="inlineStr">
        <is>
          <t>異常系</t>
        </is>
      </c>
      <c r="E15" s="4" t="inlineStr">
        <is>
          <t>分岐網羅</t>
        </is>
      </c>
      <c r="F15" s="5" t="inlineStr">
        <is>
          <t>候補にない reply は、P 番号が正しくても not_candidate:reply</t>
        </is>
      </c>
      <c r="G15" s="5" t="inlineStr">
        <is>
          <t>前提：DEV-11 と同じ文脈
入力：reply P1、候補は post・like</t>
        </is>
      </c>
      <c r="H15" s="5" t="inlineStr">
        <is>
          <t>detail=not_candidate:reply（P 番号が正しくても候補外を先に見る）</t>
        </is>
      </c>
      <c r="I15" s="5" t="inlineStr">
        <is>
          <t>B1-T</t>
        </is>
      </c>
      <c r="J15" s="5" t="inlineStr">
        <is>
          <t>なし</t>
        </is>
      </c>
      <c r="K15" s="5" t="inlineStr"/>
      <c r="L15" s="5" t="inlineStr"/>
      <c r="M15" s="5" t="inlineStr">
        <is>
          <t>TC-UT_VAL-002 候補にない reply は、P 番号が正しくても not_candidate:reply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</t>
        </is>
      </c>
    </row>
    <row r="16">
      <c r="A16" s="4" t="n">
        <v>12</v>
      </c>
      <c r="B16" s="4" t="inlineStr">
        <is>
          <t>TC-UT_VAL-003</t>
        </is>
      </c>
      <c r="C16" s="5" t="inlineStr">
        <is>
          <t>validateAction</t>
        </is>
      </c>
      <c r="D16" s="4" t="inlineStr">
        <is>
          <t>異常系</t>
        </is>
      </c>
      <c r="E16" s="4" t="inlineStr">
        <is>
          <t>エラー処理</t>
        </is>
      </c>
      <c r="F16" s="5" t="inlineStr">
        <is>
          <t>参照する投稿にない P 番号は unknown_ref</t>
        </is>
      </c>
      <c r="G16" s="5" t="inlineStr">
        <is>
          <t>前提：DEV-11 と同じ文脈
入力：reply P9</t>
        </is>
      </c>
      <c r="H16" s="5" t="inlineStr">
        <is>
          <t>detail=unknown_ref:P9</t>
        </is>
      </c>
      <c r="I16" s="5" t="inlineStr">
        <is>
          <t>B1-F, B2-T, B13-T, B11-F, B12-F, B14-F, B15-F, B16-F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TC-UT_VAL-003 参照する投稿にない P 番号は unknown_ref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TC-NOUS62_DEV-13（型だけ）</t>
        </is>
      </c>
    </row>
    <row r="17">
      <c r="A17" s="4" t="n">
        <v>13</v>
      </c>
      <c r="B17" s="4" t="inlineStr">
        <is>
          <t>TC-UT_VAL-004</t>
        </is>
      </c>
      <c r="C17" s="5" t="inlineStr">
        <is>
          <t>validateAction</t>
        </is>
      </c>
      <c r="D17" s="4" t="inlineStr">
        <is>
          <t>異常系</t>
        </is>
      </c>
      <c r="E17" s="4" t="inlineStr">
        <is>
          <t>エラー処理</t>
        </is>
      </c>
      <c r="F17" s="5" t="inlineStr">
        <is>
          <t>自分の投稿へのいいねは like_own_post</t>
        </is>
      </c>
      <c r="G17" s="5" t="inlineStr">
        <is>
          <t>前提：DEV-11 と同じ文脈
入力：like P2</t>
        </is>
      </c>
      <c r="H17" s="5" t="inlineStr">
        <is>
          <t>detail=like_own_post:P2</t>
        </is>
      </c>
      <c r="I17" s="5" t="inlineStr">
        <is>
          <t>B2-F, B3-T, B14-T, B11-F, B12-F, B13-F, B15-F, B16-F</t>
        </is>
      </c>
      <c r="J17" s="5" t="inlineStr">
        <is>
          <t>なし</t>
        </is>
      </c>
      <c r="K17" s="5" t="inlineStr"/>
      <c r="L17" s="5" t="inlineStr"/>
      <c r="M17" s="5" t="inlineStr">
        <is>
          <t>TC-UT_VAL-004 自分の投稿へのいいねは like_own_post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TC-NOUS62_DEV-13（型だけ）</t>
        </is>
      </c>
    </row>
    <row r="18">
      <c r="A18" s="4" t="n">
        <v>14</v>
      </c>
      <c r="B18" s="4" t="inlineStr">
        <is>
          <t>TC-UT_VAL-005</t>
        </is>
      </c>
      <c r="C18" s="5" t="inlineStr">
        <is>
          <t>validateAction</t>
        </is>
      </c>
      <c r="D18" s="4" t="inlineStr">
        <is>
          <t>異常系</t>
        </is>
      </c>
      <c r="E18" s="4" t="inlineStr">
        <is>
          <t>エラー処理</t>
        </is>
      </c>
      <c r="F18" s="5" t="inlineStr">
        <is>
          <t>いいね済みの投稿へのいいねは already_liked</t>
        </is>
      </c>
      <c r="G18" s="5" t="inlineStr">
        <is>
          <t>前提：DEV-11 と同じ文脈
入力：like P3</t>
        </is>
      </c>
      <c r="H18" s="5" t="inlineStr">
        <is>
          <t>detail=already_liked:P3</t>
        </is>
      </c>
      <c r="I18" s="5" t="inlineStr">
        <is>
          <t>B3-F, B4-T</t>
        </is>
      </c>
      <c r="J18" s="5" t="inlineStr">
        <is>
          <t>なし</t>
        </is>
      </c>
      <c r="K18" s="5" t="inlineStr"/>
      <c r="L18" s="5" t="inlineStr"/>
      <c r="M18" s="5" t="inlineStr">
        <is>
          <t>TC-UT_VAL-005 いいね済みの投稿へのいいねは already_liked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TC-NOUS62_DEV-13（型だけ）</t>
        </is>
      </c>
    </row>
    <row r="19">
      <c r="A19" s="4" t="n">
        <v>15</v>
      </c>
      <c r="B19" s="4" t="inlineStr">
        <is>
          <t>TC-UT_VAL-006</t>
        </is>
      </c>
      <c r="C19" s="5" t="inlineStr">
        <is>
          <t>validateAction</t>
        </is>
      </c>
      <c r="D19" s="4" t="inlineStr">
        <is>
          <t>異常系</t>
        </is>
      </c>
      <c r="E19" s="4" t="inlineStr">
        <is>
          <t>エラー処理</t>
        </is>
      </c>
      <c r="F19" s="5" t="inlineStr">
        <is>
          <t>フォローできる住人にない相手のフォローは not_followable</t>
        </is>
      </c>
      <c r="G19" s="5" t="inlineStr">
        <is>
          <t>前提：DEV-11 と同じ文脈
入力：follow @haruka</t>
        </is>
      </c>
      <c r="H19" s="5" t="inlineStr">
        <is>
          <t>detail=not_followable:@haruka</t>
        </is>
      </c>
      <c r="I19" s="5" t="inlineStr">
        <is>
          <t>B5-T, B15-T, B11-F, B12-F, B13-F, B14-F, B16-F</t>
        </is>
      </c>
      <c r="J19" s="5" t="inlineStr">
        <is>
          <t>なし</t>
        </is>
      </c>
      <c r="K19" s="5" t="inlineStr"/>
      <c r="L19" s="5" t="inlineStr"/>
      <c r="M19" s="5" t="inlineStr">
        <is>
          <t>TC-UT_VAL-006 フォローできる住人にない相手のフォローは not_followable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TC-NOUS62_DEV-13（型だけ）</t>
        </is>
      </c>
    </row>
    <row r="20">
      <c r="A20" s="4" t="n">
        <v>16</v>
      </c>
      <c r="B20" s="4" t="inlineStr">
        <is>
          <t>TC-UT_VAL-007</t>
        </is>
      </c>
      <c r="C20" s="5" t="inlineStr">
        <is>
          <t>validateAction</t>
        </is>
      </c>
      <c r="D20" s="4" t="inlineStr">
        <is>
          <t>異常系</t>
        </is>
      </c>
      <c r="E20" s="4" t="inlineStr">
        <is>
          <t>エラー処理</t>
        </is>
      </c>
      <c r="F20" s="5" t="inlineStr">
        <is>
          <t>フォロー中でない相手の解除は not_following</t>
        </is>
      </c>
      <c r="G20" s="5" t="inlineStr">
        <is>
          <t>前提：DEV-11 と同じ文脈
入力：unfollow @zen</t>
        </is>
      </c>
      <c r="H20" s="5" t="inlineStr">
        <is>
          <t>detail=not_following:@zen</t>
        </is>
      </c>
      <c r="I20" s="5" t="inlineStr">
        <is>
          <t>B5-T, B16-T, B11-F, B12-F, B13-F, B14-F, B15-F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TC-UT_VAL-007 フォロー中でない相手の解除は not_following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TC-NOUS62_DEV-13（型だけ）</t>
        </is>
      </c>
    </row>
    <row r="21">
      <c r="A21" s="4" t="n">
        <v>17</v>
      </c>
      <c r="B21" s="4" t="inlineStr">
        <is>
          <t>TC-UT_VAL-008</t>
        </is>
      </c>
      <c r="C21" s="5" t="inlineStr">
        <is>
          <t>validateAction</t>
        </is>
      </c>
      <c r="D21" s="4" t="inlineStr">
        <is>
          <t>異常系</t>
        </is>
      </c>
      <c r="E21" s="4" t="inlineStr">
        <is>
          <t>エラー処理</t>
        </is>
      </c>
      <c r="F21" s="5" t="inlineStr">
        <is>
          <t>自分へのフォローは follow_self</t>
        </is>
      </c>
      <c r="G21" s="5" t="inlineStr">
        <is>
          <t>前提：followTargets に自分（minato）だけ
入力：follow @minato</t>
        </is>
      </c>
      <c r="H21" s="5" t="inlineStr">
        <is>
          <t>detail=follow_self:@minato</t>
        </is>
      </c>
      <c r="I21" s="5" t="inlineStr">
        <is>
          <t>B5-F, B6-T</t>
        </is>
      </c>
      <c r="J21" s="5" t="inlineStr">
        <is>
          <t>なし</t>
        </is>
      </c>
      <c r="K21" s="5" t="inlineStr"/>
      <c r="L21" s="5" t="inlineStr"/>
      <c r="M21" s="5" t="inlineStr">
        <is>
          <t>TC-UT_VAL-008 自分へのフォローは follow_self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TC-NOUS62_DEV-14（型だけ）</t>
        </is>
      </c>
    </row>
    <row r="22">
      <c r="A22" s="4" t="n">
        <v>18</v>
      </c>
      <c r="B22" s="4" t="inlineStr">
        <is>
          <t>TC-UT_VAL-009</t>
        </is>
      </c>
      <c r="C22" s="5" t="inlineStr">
        <is>
          <t>validateAction</t>
        </is>
      </c>
      <c r="D22" s="4" t="inlineStr">
        <is>
          <t>異常系</t>
        </is>
      </c>
      <c r="E22" s="4" t="inlineStr">
        <is>
          <t>境界値</t>
        </is>
      </c>
      <c r="F22" s="5" t="inlineStr">
        <is>
          <t>参照する投稿が 0 件の文脈での reply は unknown_ref</t>
        </is>
      </c>
      <c r="G22" s="5" t="inlineStr">
        <is>
          <t>前提：refs と likeablePostIds が空
入力：reply P1</t>
        </is>
      </c>
      <c r="H22" s="5" t="inlineStr">
        <is>
          <t>detail=unknown_ref:P1</t>
        </is>
      </c>
      <c r="I22" s="5" t="inlineStr">
        <is>
          <t>B2-T, B13-T, B11-F, B12-F, B14-F, B15-F, B16-F</t>
        </is>
      </c>
      <c r="J22" s="5" t="inlineStr">
        <is>
          <t>なし</t>
        </is>
      </c>
      <c r="K22" s="5" t="inlineStr"/>
      <c r="L22" s="5" t="inlineStr"/>
      <c r="M22" s="5" t="inlineStr">
        <is>
          <t>TC-UT_VAL-009 参照する投稿が 0 件の文脈での reply は unknown_ref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NOUS-102 の TC-UT_PRM-031（参照する投稿をすべて外しても候補に reply・like が残る）のときの動き</t>
        </is>
      </c>
    </row>
    <row r="23">
      <c r="A23" s="4" t="n">
        <v>19</v>
      </c>
      <c r="B23" s="4" t="inlineStr">
        <is>
          <t>TC-UT_VAL-021</t>
        </is>
      </c>
      <c r="C23" s="5" t="inlineStr">
        <is>
          <t>validateAction</t>
        </is>
      </c>
      <c r="D23" s="4" t="inlineStr">
        <is>
          <t>異常系</t>
        </is>
      </c>
      <c r="E23" s="4" t="inlineStr">
        <is>
          <t>境界値</t>
        </is>
      </c>
      <c r="F23" s="5" t="inlineStr">
        <is>
          <t>参照する投稿が 0 件の文脈での like も unknown_ref</t>
        </is>
      </c>
      <c r="G23" s="5" t="inlineStr">
        <is>
          <t>前提：refs と likeablePostIds が空
入力：like P1</t>
        </is>
      </c>
      <c r="H23" s="5" t="inlineStr">
        <is>
          <t>detail=unknown_ref:P1</t>
        </is>
      </c>
      <c r="I23" s="5" t="inlineStr">
        <is>
          <t>B2-T, B14-T, B11-F, B12-F, B13-F, B15-F, B16-F</t>
        </is>
      </c>
      <c r="J23" s="5" t="inlineStr">
        <is>
          <t>なし</t>
        </is>
      </c>
      <c r="K23" s="5" t="inlineStr"/>
      <c r="L23" s="5" t="inlineStr"/>
      <c r="M23" s="5" t="inlineStr">
        <is>
          <t>TC-UT_VAL-021 参照する投稿が 0 件の文脈での like も unknown_ref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TC-UT_VAL-009 と同じく、NOUS-102 の TC-UT_PRM-031 のときの動き。再生成になり、2 回目も選べば invalid_format で閉じる（試行が無駄になる）</t>
        </is>
      </c>
    </row>
    <row r="24">
      <c r="A24" s="4" t="n">
        <v>20</v>
      </c>
      <c r="B24" s="4" t="inlineStr">
        <is>
          <t>TC-UT_VAL-010</t>
        </is>
      </c>
      <c r="C24" s="5" t="inlineStr">
        <is>
          <t>validateAction</t>
        </is>
      </c>
      <c r="D24" s="4" t="inlineStr">
        <is>
          <t>正常系</t>
        </is>
      </c>
      <c r="E24" s="4" t="inlineStr">
        <is>
          <t>分岐網羅</t>
        </is>
      </c>
      <c r="F24" s="5" t="inlineStr">
        <is>
          <t>reply の本文も 140 字を超えれば、140 字以内の最後の句点で切る</t>
        </is>
      </c>
      <c r="G24" s="5" t="inlineStr">
        <is>
          <t>前提：DEV-11 と同じ文脈
入力：reply P1、text = あ×100。い×60（161 字）</t>
        </is>
      </c>
      <c r="H24" s="5" t="inlineStr">
        <is>
          <t>text = あ×100。（101 字）、targetPostId = POST_1</t>
        </is>
      </c>
      <c r="I24" s="5" t="inlineStr">
        <is>
          <t>B8-F, B9-T, B10-F, B13-T, B11-F, B12-F, B14-F, B15-F, B16-F</t>
        </is>
      </c>
      <c r="J24" s="5" t="inlineStr">
        <is>
          <t>なし</t>
        </is>
      </c>
      <c r="K24" s="5" t="inlineStr"/>
      <c r="L24" s="5" t="inlineStr"/>
      <c r="M24" s="5" t="inlineStr">
        <is>
          <t>TC-UT_VAL-010 reply の本文も 140 字を超えれば、140 字以内の最後の句点で切る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既存テスト：なし（DEV の切り詰めは truncateText を直に呼ぶだけ）</t>
        </is>
      </c>
    </row>
    <row r="25">
      <c r="A25" s="4" t="n">
        <v>21</v>
      </c>
      <c r="B25" s="4" t="inlineStr">
        <is>
          <t>TC-UT_VAL-011</t>
        </is>
      </c>
      <c r="C25" s="5" t="inlineStr">
        <is>
          <t>validateAction</t>
        </is>
      </c>
      <c r="D25" s="4" t="inlineStr">
        <is>
          <t>異常系</t>
        </is>
      </c>
      <c r="E25" s="4" t="inlineStr">
        <is>
          <t>分岐網羅</t>
        </is>
      </c>
      <c r="F25" s="5" t="inlineStr">
        <is>
          <t>reply の本文が空白だけなら text_blank</t>
        </is>
      </c>
      <c r="G25" s="5" t="inlineStr">
        <is>
          <t>前提：DEV-11 と同じ文脈
入力：reply P1、text = " \n "</t>
        </is>
      </c>
      <c r="H25" s="5" t="inlineStr">
        <is>
          <t>detail=text_blank</t>
        </is>
      </c>
      <c r="I25" s="5" t="inlineStr">
        <is>
          <t>B7-T, B13-T, B11-F, B12-F, B14-F, B15-F, B16-F</t>
        </is>
      </c>
      <c r="J25" s="5" t="inlineStr">
        <is>
          <t>なし</t>
        </is>
      </c>
      <c r="K25" s="5" t="inlineStr"/>
      <c r="L25" s="5" t="inlineStr"/>
      <c r="M25" s="5" t="inlineStr">
        <is>
          <t>TC-UT_VAL-011 reply の本文が空白だけなら text_blank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既存テスト：一部 TC-NOUS62_DEV-13（post の空白だけ）</t>
        </is>
      </c>
    </row>
    <row r="26">
      <c r="A26" s="4" t="n">
        <v>22</v>
      </c>
      <c r="B26" s="4" t="inlineStr">
        <is>
          <t>TC-UT_VAL-012</t>
        </is>
      </c>
      <c r="C26" s="5" t="inlineStr">
        <is>
          <t>truncateText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1 字の本文はそのまま合格する</t>
        </is>
      </c>
      <c r="G26" s="5" t="inlineStr">
        <is>
          <t>前提：なし
入力：あ（1 字）</t>
        </is>
      </c>
      <c r="H26" s="5" t="inlineStr">
        <is>
          <t>そのまま</t>
        </is>
      </c>
      <c r="I26" s="5" t="inlineStr">
        <is>
          <t>B7-F, B8-T</t>
        </is>
      </c>
      <c r="J26" s="5" t="inlineStr">
        <is>
          <t>なし</t>
        </is>
      </c>
      <c r="K26" s="5" t="inlineStr"/>
      <c r="L26" s="5" t="inlineStr"/>
      <c r="M26" s="5" t="inlineStr">
        <is>
          <t>TC-UT_VAL-012 1 字の本文はそのまま合格する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TC-UT_VAL-013</t>
        </is>
      </c>
      <c r="C27" s="5" t="inlineStr">
        <is>
          <t>truncateText</t>
        </is>
      </c>
      <c r="D27" s="4" t="inlineStr">
        <is>
          <t>異常系</t>
        </is>
      </c>
      <c r="E27" s="4" t="inlineStr">
        <is>
          <t>同値分割</t>
        </is>
      </c>
      <c r="F27" s="5" t="inlineStr">
        <is>
          <t>全角スペースだけの本文は text_blank</t>
        </is>
      </c>
      <c r="G27" s="5" t="inlineStr">
        <is>
          <t>前提：なし
入力：全角スペース×2</t>
        </is>
      </c>
      <c r="H27" s="5" t="inlineStr">
        <is>
          <t>detail=text_blank</t>
        </is>
      </c>
      <c r="I27" s="5" t="inlineStr">
        <is>
          <t>B7-T</t>
        </is>
      </c>
      <c r="J27" s="5" t="inlineStr">
        <is>
          <t>なし</t>
        </is>
      </c>
      <c r="K27" s="5" t="inlineStr"/>
      <c r="L27" s="5" t="inlineStr"/>
      <c r="M27" s="5" t="inlineStr">
        <is>
          <t>TC-UT_VAL-013 全角スペースだけの本文は text_blank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既存テスト：なし（DEV は半角の空白だけ）</t>
        </is>
      </c>
    </row>
    <row r="28">
      <c r="A28" s="4" t="n">
        <v>24</v>
      </c>
      <c r="B28" s="4" t="inlineStr">
        <is>
          <t>TC-UT_VAL-014</t>
        </is>
      </c>
      <c r="C28" s="5" t="inlineStr">
        <is>
          <t>truncateText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前後の空白は字数を数える前に除く（中身が 140 字ならそのまま）</t>
        </is>
      </c>
      <c r="G28" s="5" t="inlineStr">
        <is>
          <t>前提：なし
入力：前に半角スペース 2 つ、後ろに改行を付けた あ×140</t>
        </is>
      </c>
      <c r="H28" s="5" t="inlineStr">
        <is>
          <t>あ×140（空白を除いてから数える）</t>
        </is>
      </c>
      <c r="I28" s="5" t="inlineStr">
        <is>
          <t>B7-F, B8-T</t>
        </is>
      </c>
      <c r="J28" s="5" t="inlineStr">
        <is>
          <t>なし</t>
        </is>
      </c>
      <c r="K28" s="5" t="inlineStr"/>
      <c r="L28" s="5" t="inlineStr"/>
      <c r="M28" s="5" t="inlineStr">
        <is>
          <t>TC-UT_VAL-014 前後の空白は字数を数える前に除く（中身が 140 字ならそのまま）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TC-UT_VAL-015</t>
        </is>
      </c>
      <c r="C29" s="5" t="inlineStr">
        <is>
          <t>truncateText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141 字（1 字だけ超え）は句点で切る</t>
        </is>
      </c>
      <c r="G29" s="5" t="inlineStr">
        <is>
          <t>前提：なし
入力：あ×100。い×40（141 字）</t>
        </is>
      </c>
      <c r="H29" s="5" t="inlineStr">
        <is>
          <t>あ×100。</t>
        </is>
      </c>
      <c r="I29" s="5" t="inlineStr">
        <is>
          <t>B8-F, B9-T, B10-F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TC-UT_VAL-015 141 字（1 字だけ超え）は句点で切る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 は 152 字）</t>
        </is>
      </c>
    </row>
    <row r="30">
      <c r="A30" s="4" t="n">
        <v>26</v>
      </c>
      <c r="B30" s="4" t="inlineStr">
        <is>
          <t>TC-UT_VAL-016</t>
        </is>
      </c>
      <c r="C30" s="5" t="inlineStr">
        <is>
          <t>truncateText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140 字目が句点なら 140 字で切る</t>
        </is>
      </c>
      <c r="G30" s="5" t="inlineStr">
        <is>
          <t>前提：なし
入力：あ×139。い×5</t>
        </is>
      </c>
      <c r="H30" s="5" t="inlineStr">
        <is>
          <t>あ×139。（140 字）</t>
        </is>
      </c>
      <c r="I30" s="5" t="inlineStr">
        <is>
          <t>B8-F, B9-T, B10-F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TC-UT_VAL-016 140 字目が句点なら 140 字で切る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TC-UT_VAL-017</t>
        </is>
      </c>
      <c r="C31" s="5" t="inlineStr">
        <is>
          <t>truncateText</t>
        </is>
      </c>
      <c r="D31" s="4" t="inlineStr">
        <is>
          <t>正常系</t>
        </is>
      </c>
      <c r="E31" s="4" t="inlineStr">
        <is>
          <t>境界値</t>
        </is>
      </c>
      <c r="F31" s="5" t="inlineStr">
        <is>
          <t>141 字目の句点は使わず、140 字以内の最後の句点で切る</t>
        </is>
      </c>
      <c r="G31" s="5" t="inlineStr">
        <is>
          <t>前提：なし
入力：あ×50。い×89。う（141 字目が句点）</t>
        </is>
      </c>
      <c r="H31" s="5" t="inlineStr">
        <is>
          <t>あ×50。</t>
        </is>
      </c>
      <c r="I31" s="5" t="inlineStr">
        <is>
          <t>B8-F, B9-T, B10-F</t>
        </is>
      </c>
      <c r="J31" s="5" t="inlineStr">
        <is>
          <t>なし</t>
        </is>
      </c>
      <c r="K31" s="5" t="inlineStr"/>
      <c r="L31" s="5" t="inlineStr"/>
      <c r="M31" s="5" t="inlineStr">
        <is>
          <t>TC-UT_VAL-017 141 字目の句点は使わず、140 字以内の最後の句点で切る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TC-UT_VAL-018</t>
        </is>
      </c>
      <c r="C32" s="5" t="inlineStr">
        <is>
          <t>truncateText</t>
        </is>
      </c>
      <c r="D32" s="4" t="inlineStr">
        <is>
          <t>正常系</t>
        </is>
      </c>
      <c r="E32" s="4" t="inlineStr">
        <is>
          <t>境界値</t>
        </is>
      </c>
      <c r="F32" s="5" t="inlineStr">
        <is>
          <t>切った結果がちょうど 20 字なら合格する</t>
        </is>
      </c>
      <c r="G32" s="5" t="inlineStr">
        <is>
          <t>前提：なし
入力：あ×19！い×130</t>
        </is>
      </c>
      <c r="H32" s="5" t="inlineStr">
        <is>
          <t>あ×19！（20 字）</t>
        </is>
      </c>
      <c r="I32" s="5" t="inlineStr">
        <is>
          <t>B9-T, B10-F</t>
        </is>
      </c>
      <c r="J32" s="5" t="inlineStr">
        <is>
          <t>なし</t>
        </is>
      </c>
      <c r="K32" s="5" t="inlineStr"/>
      <c r="L32" s="5" t="inlineStr"/>
      <c r="M32" s="5" t="inlineStr">
        <is>
          <t>TC-UT_VAL-018 切った結果がちょうど 20 字なら合格する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既存テスト：なし（DEV-17 は 11 字）</t>
        </is>
      </c>
    </row>
    <row r="33">
      <c r="A33" s="4" t="n">
        <v>29</v>
      </c>
      <c r="B33" s="4" t="inlineStr">
        <is>
          <t>TC-UT_VAL-019</t>
        </is>
      </c>
      <c r="C33" s="5" t="inlineStr">
        <is>
          <t>truncateText</t>
        </is>
      </c>
      <c r="D33" s="4" t="inlineStr">
        <is>
          <t>異常系</t>
        </is>
      </c>
      <c r="E33" s="4" t="inlineStr">
        <is>
          <t>境界値</t>
        </is>
      </c>
      <c r="F33" s="5" t="inlineStr">
        <is>
          <t>切った結果が 19 字なら text_too_long</t>
        </is>
      </c>
      <c r="G33" s="5" t="inlineStr">
        <is>
          <t>前提：なし
入力：あ×18？い×130</t>
        </is>
      </c>
      <c r="H33" s="5" t="inlineStr">
        <is>
          <t>detail=text_too_long</t>
        </is>
      </c>
      <c r="I33" s="5" t="inlineStr">
        <is>
          <t>B9-T, B10-T</t>
        </is>
      </c>
      <c r="J33" s="5" t="inlineStr">
        <is>
          <t>なし</t>
        </is>
      </c>
      <c r="K33" s="5" t="inlineStr"/>
      <c r="L33" s="5" t="inlineStr"/>
      <c r="M33" s="5" t="inlineStr">
        <is>
          <t>TC-UT_VAL-019 切った結果が 19 字なら text_too_long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TC-NOUS62_DEV-17（11 字、型だけ）</t>
        </is>
      </c>
    </row>
    <row r="34">
      <c r="A34" s="4" t="n">
        <v>30</v>
      </c>
      <c r="B34" s="4" t="inlineStr">
        <is>
          <t>TC-UT_VAL-020</t>
        </is>
      </c>
      <c r="C34" s="5" t="inlineStr">
        <is>
          <t>truncateText</t>
        </is>
      </c>
      <c r="D34" s="4" t="inlineStr">
        <is>
          <t>異常系</t>
        </is>
      </c>
      <c r="E34" s="4" t="inlineStr">
        <is>
          <t>同値分割</t>
        </is>
      </c>
      <c r="F34" s="5" t="inlineStr">
        <is>
          <t>半角の ! ? では切らない（140 字以内に全角の句点がなければ text_too_long）</t>
        </is>
      </c>
      <c r="G34" s="5" t="inlineStr">
        <is>
          <t>前提：なし
入力：あ×30!い×30?う×90（半角の ! ?）</t>
        </is>
      </c>
      <c r="H34" s="5" t="inlineStr">
        <is>
          <t>detail=text_too_long</t>
        </is>
      </c>
      <c r="I34" s="5" t="inlineStr">
        <is>
          <t>B9-F, B10-T</t>
        </is>
      </c>
      <c r="J34" s="5" t="inlineStr">
        <is>
          <t>なし</t>
        </is>
      </c>
      <c r="K34" s="5" t="inlineStr"/>
      <c r="L34" s="5" t="inlineStr"/>
      <c r="M34" s="5" t="inlineStr">
        <is>
          <t>TC-UT_VAL-020 半角の ! ? では切らない（140 字以内に全角の句点がなければ text_too_long）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確認事項 1 を参照</t>
        </is>
      </c>
    </row>
  </sheetData>
  <autoFilter ref="A4:Q34"/>
  <conditionalFormatting sqref="A5:Q84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4" showDropDown="0" showInputMessage="0" showErrorMessage="0" allowBlank="1" type="list">
      <formula1>"未実施,OK,NG,保留,対象外"</formula1>
    </dataValidation>
    <dataValidation sqref="D5:D84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COUNTA(観点表!$B$5:$B$84)</f>
        <v/>
      </c>
    </row>
    <row r="6">
      <c r="A6" s="10" t="inlineStr">
        <is>
          <t>正常系</t>
        </is>
      </c>
      <c r="B6" s="10">
        <f>COUNTIF(観点表!$D$5:$D$84,"正常系")</f>
        <v/>
      </c>
    </row>
    <row r="7">
      <c r="A7" s="10" t="inlineStr">
        <is>
          <t>異常系</t>
        </is>
      </c>
      <c r="B7" s="10">
        <f>COUNTIF(観点表!$D$5:$D$84,"異常系")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COUNTIF(観点表!$E$5:$E$84,"エラー処理")</f>
        <v/>
      </c>
    </row>
    <row r="11">
      <c r="A11" s="10" t="inlineStr">
        <is>
          <t>分岐網羅</t>
        </is>
      </c>
      <c r="B11" s="10">
        <f>COUNTIF(観点表!$E$5:$E$84,"分岐網羅")</f>
        <v/>
      </c>
    </row>
    <row r="12">
      <c r="A12" s="10" t="inlineStr">
        <is>
          <t>同値分割</t>
        </is>
      </c>
      <c r="B12" s="10">
        <f>COUNTIF(観点表!$E$5:$E$84,"同値分割")</f>
        <v/>
      </c>
    </row>
    <row r="13">
      <c r="A13" s="10" t="inlineStr">
        <is>
          <t>境界値</t>
        </is>
      </c>
      <c r="B13" s="10">
        <f>COUNTIF(観点表!$E$5:$E$84,"境界値")</f>
        <v/>
      </c>
    </row>
    <row r="14">
      <c r="A14" s="10" t="inlineStr">
        <is>
          <t>開発者テスト</t>
        </is>
      </c>
      <c r="B14" s="10">
        <f>COUNTIF(観点表!$E$5:$E$84,"開発者テスト")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COUNTIF(観点表!$K$5:$K$84,"?*")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COUNTIF(観点表!$N$5:$N$84,"未実施")</f>
        <v/>
      </c>
    </row>
    <row r="22">
      <c r="A22" s="10" t="inlineStr">
        <is>
          <t>OK</t>
        </is>
      </c>
      <c r="B22" s="10">
        <f>COUNTIF(観点表!$N$5:$N$84,"OK")</f>
        <v/>
      </c>
    </row>
    <row r="23">
      <c r="A23" s="10" t="inlineStr">
        <is>
          <t>NG</t>
        </is>
      </c>
      <c r="B23" s="10">
        <f>COUNTIF(観点表!$N$5:$N$84,"NG")</f>
        <v/>
      </c>
    </row>
    <row r="24">
      <c r="A24" s="10" t="inlineStr">
        <is>
          <t>保留</t>
        </is>
      </c>
      <c r="B24" s="10">
        <f>COUNTIF(観点表!$N$5:$N$84,"保留")</f>
        <v/>
      </c>
    </row>
    <row r="25">
      <c r="A25" s="10" t="inlineStr">
        <is>
          <t>対象外</t>
        </is>
      </c>
      <c r="B25" s="10">
        <f>COUNTIF(観点表!$N$5:$N$84,"対象外")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TC-NOUS62_DEV-11</t>
        </is>
      </c>
      <c r="B5" s="13" t="inlineStr">
        <is>
          <t>合格した行動を P 番号・ハンドルから ID にする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TC-NOUS62_DEV-12</t>
        </is>
      </c>
      <c r="B6" s="13" t="inlineStr">
        <is>
          <t>none は候補になくてもいつも選べる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TC-NOUS62_DEV-13</t>
        </is>
      </c>
      <c r="B7" s="13" t="inlineStr">
        <is>
          <t>各入力 は InvalidFormatError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TC-NOUS62_DEV-14</t>
        </is>
      </c>
      <c r="B8" s="13" t="inlineStr">
        <is>
          <t>自分を相手にしたフォローは、followTargets に自分が混ざっていても拒否する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TC-NOUS62_DEV-15</t>
        </is>
      </c>
      <c r="B9" s="13" t="inlineStr">
        <is>
          <t>140 字ちょうどはそのまま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TC-NOUS62_DEV-16</t>
        </is>
      </c>
      <c r="B10" s="13" t="inlineStr">
        <is>
          <t>141 字以上は 140 字以内の最後の「。！？」で切る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TC-NOUS62_DEV-17</t>
        </is>
      </c>
      <c r="B11" s="13" t="inlineStr">
        <is>
          <t>切った結果が 20 字未満なら InvalidFormatError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TC-NOUS62_DEV-18</t>
        </is>
      </c>
      <c r="B12" s="13" t="inlineStr">
        <is>
          <t>140 字以内に句点がなければ InvalidFormatError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TC-NOUS62_DEV-19</t>
        </is>
      </c>
      <c r="B13" s="13" t="inlineStr">
        <is>
          <t>字数はコードポイントで数える（絵文字 1 つを 1 字）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TC-UT_VAL-001</t>
        </is>
      </c>
      <c r="B14" s="13" t="inlineStr">
        <is>
          <t>候補にない post は not_candidate:post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TC-UT_VAL-002</t>
        </is>
      </c>
      <c r="B15" s="13" t="inlineStr">
        <is>
          <t>候補にない reply は、P 番号が正しくても not_candidate:reply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TC-UT_VAL-003</t>
        </is>
      </c>
      <c r="B16" s="13" t="inlineStr">
        <is>
          <t>参照する投稿にない P 番号は unknown_ref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TC-UT_VAL-004</t>
        </is>
      </c>
      <c r="B17" s="13" t="inlineStr">
        <is>
          <t>自分の投稿へのいいねは like_own_post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TC-UT_VAL-005</t>
        </is>
      </c>
      <c r="B18" s="13" t="inlineStr">
        <is>
          <t>いいね済みの投稿へのいいねは already_liked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TC-UT_VAL-006</t>
        </is>
      </c>
      <c r="B19" s="13" t="inlineStr">
        <is>
          <t>フォローできる住人にない相手のフォローは not_followable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TC-UT_VAL-007</t>
        </is>
      </c>
      <c r="B20" s="13" t="inlineStr">
        <is>
          <t>フォロー中でない相手の解除は not_following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TC-UT_VAL-008</t>
        </is>
      </c>
      <c r="B21" s="13" t="inlineStr">
        <is>
          <t>自分へのフォローは follow_self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TC-UT_VAL-009</t>
        </is>
      </c>
      <c r="B22" s="13" t="inlineStr">
        <is>
          <t>参照する投稿が 0 件の文脈での reply は unknown_ref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TC-UT_VAL-021</t>
        </is>
      </c>
      <c r="B23" s="13" t="inlineStr">
        <is>
          <t>参照する投稿が 0 件の文脈での like も unknown_ref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TC-UT_VAL-010</t>
        </is>
      </c>
      <c r="B24" s="13" t="inlineStr">
        <is>
          <t>reply の本文も 140 字を超えれば、140 字以内の最後の句点で切る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TC-UT_VAL-011</t>
        </is>
      </c>
      <c r="B25" s="13" t="inlineStr">
        <is>
          <t>reply の本文が空白だけなら text_blank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TC-UT_VAL-012</t>
        </is>
      </c>
      <c r="B26" s="13" t="inlineStr">
        <is>
          <t>1 字の本文はそのまま合格する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TC-UT_VAL-013</t>
        </is>
      </c>
      <c r="B27" s="13" t="inlineStr">
        <is>
          <t>全角スペースだけの本文は text_blank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TC-UT_VAL-014</t>
        </is>
      </c>
      <c r="B28" s="13" t="inlineStr">
        <is>
          <t>前後の空白は字数を数える前に除く（中身が 140 字ならそのまま）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TC-UT_VAL-015</t>
        </is>
      </c>
      <c r="B29" s="13" t="inlineStr">
        <is>
          <t>141 字（1 字だけ超え）は句点で切る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TC-UT_VAL-016</t>
        </is>
      </c>
      <c r="B30" s="13" t="inlineStr">
        <is>
          <t>140 字目が句点なら 140 字で切る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TC-UT_VAL-017</t>
        </is>
      </c>
      <c r="B31" s="13" t="inlineStr">
        <is>
          <t>141 字目の句点は使わず、140 字以内の最後の句点で切る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TC-UT_VAL-018</t>
        </is>
      </c>
      <c r="B32" s="13" t="inlineStr">
        <is>
          <t>切った結果がちょうど 20 字なら合格する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TC-UT_VAL-019</t>
        </is>
      </c>
      <c r="B33" s="13" t="inlineStr">
        <is>
          <t>切った結果が 19 字なら text_too_long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TC-UT_VAL-020</t>
        </is>
      </c>
      <c r="B34" s="13" t="inlineStr">
        <is>
          <t>半角の ! ? では切らない（140 字以内に全角の句点がなければ text_too_long）</t>
        </is>
      </c>
      <c r="C34" s="13" t="inlineStr">
        <is>
          <t>未作成</t>
        </is>
      </c>
      <c r="D34" s="13" t="inlineStr"/>
      <c r="E34" s="13" t="inlineStr"/>
      <c r="F34" s="13" t="inlineStr"/>
    </row>
  </sheetData>
  <autoFilter ref="A4:F3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意味の検証と本文の切り詰め（generation/actionValidator.ts）</t>
        </is>
      </c>
    </row>
    <row r="4">
      <c r="A4" s="14" t="inlineStr">
        <is>
          <t>対象ファイル</t>
        </is>
      </c>
      <c r="B4" s="15" t="inlineStr">
        <is>
          <t>apps/server/src/generation/actionValidator.ts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apps/server/src/generation/actionValidator.test.ts（実装時、NOUS-62）, apps/server/src/generation/actionValidator.ut.test.ts（単体テストで追加）</t>
        </is>
      </c>
    </row>
    <row r="7">
      <c r="A7" s="14" t="inlineStr">
        <is>
          <t>外部依存</t>
        </is>
      </c>
      <c r="B7" s="15" t="inlineStr">
        <is>
          <t>なし（引数の ValidationContext だけを見る純粋関数）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action が none でなく、candidates に含まれない</t>
        </is>
      </c>
      <c r="C11" s="17" t="inlineStr">
        <is>
          <t>actionValidator.ts:108</t>
        </is>
      </c>
    </row>
    <row r="12">
      <c r="A12" s="17" t="inlineStr">
        <is>
          <t>B2</t>
        </is>
      </c>
      <c r="B12" s="17" t="inlineStr">
        <is>
          <t>findRef：refs に P 番号がない</t>
        </is>
      </c>
      <c r="C12" s="17" t="inlineStr">
        <is>
          <t>actionValidator.ts:86</t>
        </is>
      </c>
    </row>
    <row r="13">
      <c r="A13" s="17" t="inlineStr">
        <is>
          <t>B3</t>
        </is>
      </c>
      <c r="B13" s="17" t="inlineStr">
        <is>
          <t>like：対象の投稿が自分のもの（ref.agentId === context.agentId）</t>
        </is>
      </c>
      <c r="C13" s="17" t="inlineStr">
        <is>
          <t>actionValidator.ts:124</t>
        </is>
      </c>
    </row>
    <row r="14">
      <c r="A14" s="17" t="inlineStr">
        <is>
          <t>B4</t>
        </is>
      </c>
      <c r="B14" s="17" t="inlineStr">
        <is>
          <t>like：likeablePostIds に含まれない</t>
        </is>
      </c>
      <c r="C14" s="17" t="inlineStr">
        <is>
          <t>actionValidator.ts:127</t>
        </is>
      </c>
    </row>
    <row r="15">
      <c r="A15" s="17" t="inlineStr">
        <is>
          <t>B5</t>
        </is>
      </c>
      <c r="B15" s="17" t="inlineStr">
        <is>
          <t>findAgent：一覧にハンドルがない</t>
        </is>
      </c>
      <c r="C15" s="17" t="inlineStr">
        <is>
          <t>actionValidator.ts:95</t>
        </is>
      </c>
    </row>
    <row r="16">
      <c r="A16" s="17" t="inlineStr">
        <is>
          <t>B6</t>
        </is>
      </c>
      <c r="B16" s="17" t="inlineStr">
        <is>
          <t>follow：相手が自分（target.agentId === context.agentId）</t>
        </is>
      </c>
      <c r="C16" s="17" t="inlineStr">
        <is>
          <t>actionValidator.ts:135</t>
        </is>
      </c>
    </row>
    <row r="17">
      <c r="A17" s="17" t="inlineStr">
        <is>
          <t>B7</t>
        </is>
      </c>
      <c r="B17" s="17" t="inlineStr">
        <is>
          <t>truncateText：前後の空白を除くと空</t>
        </is>
      </c>
      <c r="C17" s="17" t="inlineStr">
        <is>
          <t>actionValidator.ts:62</t>
        </is>
      </c>
    </row>
    <row r="18">
      <c r="A18" s="17" t="inlineStr">
        <is>
          <t>B8</t>
        </is>
      </c>
      <c r="B18" s="17" t="inlineStr">
        <is>
          <t>truncateText：140 字以内</t>
        </is>
      </c>
      <c r="C18" s="17" t="inlineStr">
        <is>
          <t>actionValidator.ts:66</t>
        </is>
      </c>
    </row>
    <row r="19">
      <c r="A19" s="17" t="inlineStr">
        <is>
          <t>B9</t>
        </is>
      </c>
      <c r="B19" s="17" t="inlineStr">
        <is>
          <t>truncateText：140 字以内に「。！？」がある（cut &gt;= 0）</t>
        </is>
      </c>
      <c r="C19" s="17" t="inlineStr">
        <is>
          <t>actionValidator.ts:71-77</t>
        </is>
      </c>
    </row>
    <row r="20">
      <c r="A20" s="17" t="inlineStr">
        <is>
          <t>B10</t>
        </is>
      </c>
      <c r="B20" s="17" t="inlineStr">
        <is>
          <t>truncateText：切った結果が 20 字未満</t>
        </is>
      </c>
      <c r="C20" s="17" t="inlineStr">
        <is>
          <t>actionValidator.ts:78</t>
        </is>
      </c>
    </row>
    <row r="21">
      <c r="A21" s="17" t="inlineStr">
        <is>
          <t>B11</t>
        </is>
      </c>
      <c r="B21" s="17" t="inlineStr">
        <is>
          <t>switch：none</t>
        </is>
      </c>
      <c r="C21" s="17" t="inlineStr">
        <is>
          <t>actionValidator.ts:112</t>
        </is>
      </c>
    </row>
    <row r="22">
      <c r="A22" s="17" t="inlineStr">
        <is>
          <t>B12</t>
        </is>
      </c>
      <c r="B22" s="17" t="inlineStr">
        <is>
          <t>switch：post</t>
        </is>
      </c>
      <c r="C22" s="17" t="inlineStr">
        <is>
          <t>actionValidator.ts:114</t>
        </is>
      </c>
    </row>
    <row r="23">
      <c r="A23" s="17" t="inlineStr">
        <is>
          <t>B13</t>
        </is>
      </c>
      <c r="B23" s="17" t="inlineStr">
        <is>
          <t>switch：reply</t>
        </is>
      </c>
      <c r="C23" s="17" t="inlineStr">
        <is>
          <t>actionValidator.ts:116</t>
        </is>
      </c>
    </row>
    <row r="24">
      <c r="A24" s="17" t="inlineStr">
        <is>
          <t>B14</t>
        </is>
      </c>
      <c r="B24" s="17" t="inlineStr">
        <is>
          <t>switch：like</t>
        </is>
      </c>
      <c r="C24" s="17" t="inlineStr">
        <is>
          <t>actionValidator.ts:121</t>
        </is>
      </c>
    </row>
    <row r="25">
      <c r="A25" s="17" t="inlineStr">
        <is>
          <t>B15</t>
        </is>
      </c>
      <c r="B25" s="17" t="inlineStr">
        <is>
          <t>switch：follow</t>
        </is>
      </c>
      <c r="C25" s="17" t="inlineStr">
        <is>
          <t>actionValidator.ts:132</t>
        </is>
      </c>
    </row>
    <row r="26">
      <c r="A26" s="17" t="inlineStr">
        <is>
          <t>B16</t>
        </is>
      </c>
      <c r="B26" s="17" t="inlineStr">
        <is>
          <t>switch：unfollow</t>
        </is>
      </c>
      <c r="C26" s="17" t="inlineStr">
        <is>
          <t>actionValidator.ts:140</t>
        </is>
      </c>
    </row>
    <row r="28">
      <c r="A28" s="14" t="inlineStr">
        <is>
          <t>確認事項・潜在バグ</t>
        </is>
      </c>
    </row>
    <row r="29" ht="30" customHeight="1">
      <c r="A29" s="18" t="inlineStr">
        <is>
          <t>・確認事項 1：truncateText は 6.3 のとおり全角の「。！？」だけで切る。一方、consistencyChecker の splitSentences は半角の「!?」でも文を分ける。どちらも設計書どおりだが、文の区切りの扱いがそろっていない。</t>
        </is>
      </c>
    </row>
  </sheetData>
  <mergeCells count="1"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2026-10-23T07:23:33Z</dcterms:created>
  <dcterms:modified xsi:type="dcterms:W3CDTF">2026-10-23T07:23:33Z</dcterms:modified>
</cp:coreProperties>
</file>