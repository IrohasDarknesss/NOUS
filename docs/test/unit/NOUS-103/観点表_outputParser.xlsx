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'観点表'!$A$4:$Q$25</definedName>
    <definedName name="_xlnm.Print_Titles" localSheetId="0">'観点表'!$4:$4</definedName>
    <definedName name="_xlnm._FilterDatabase" localSheetId="2" hidden="1">'テストデータ'!$A$4:$F$25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出力の取り出しと形の検証（generation/outputParser.ts）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TC-NOUS62_DEV-01</t>
        </is>
      </c>
      <c r="C5" s="5" t="inlineStr">
        <is>
          <t>parseOutput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素の JSON を取り出す</t>
        </is>
      </c>
      <c r="G5" s="5" t="inlineStr">
        <is>
          <t>前提：なし
入力：{"action":"post","target":null,"text":"こんにちは"}</t>
        </is>
      </c>
      <c r="H5" s="5" t="inlineStr">
        <is>
          <t>{ action: post, target: null, text: こんにちは }</t>
        </is>
      </c>
      <c r="I5" s="5" t="inlineStr">
        <is>
          <t>B1-F, B2-F, B3-F, B4-F, B5-F</t>
        </is>
      </c>
      <c r="J5" s="5" t="inlineStr">
        <is>
          <t>なし</t>
        </is>
      </c>
      <c r="K5" s="5" t="inlineStr"/>
      <c r="L5" s="5" t="inlineStr"/>
      <c r="M5" s="5" t="inlineStr">
        <is>
          <t>TC-NOUS62_DEV-01 素の JSON を取り出す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既存テスト：実装時のテスト（NOUS-62）</t>
        </is>
      </c>
    </row>
    <row r="6">
      <c r="A6" s="4" t="n">
        <v>2</v>
      </c>
      <c r="B6" s="4" t="inlineStr">
        <is>
          <t>TC-NOUS62_DEV-02</t>
        </is>
      </c>
      <c r="C6" s="5" t="inlineStr">
        <is>
          <t>parseOutput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各入力 も取り出す</t>
        </is>
      </c>
      <c r="G6" s="5" t="inlineStr">
        <is>
          <t>前提：なし
入力：```json の囲み、``` の囲み、前後の空白と文、&lt;/think&gt; の後ろ</t>
        </is>
      </c>
      <c r="H6" s="5" t="inlineStr">
        <is>
          <t>どれも { action: reply, target: P3, text: なるほど }</t>
        </is>
      </c>
      <c r="I6" s="5" t="inlineStr">
        <is>
          <t>B1-T, B1-F, B5-F</t>
        </is>
      </c>
      <c r="J6" s="5" t="inlineStr">
        <is>
          <t>なし</t>
        </is>
      </c>
      <c r="K6" s="5" t="inlineStr"/>
      <c r="L6" s="5" t="inlineStr"/>
      <c r="M6" s="5" t="inlineStr">
        <is>
          <t>TC-NOUS62_DEV-02 %s も取り出す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既存テスト：実装時のテスト（NOUS-62）
it.each の 4 行を 1 件として数える</t>
        </is>
      </c>
    </row>
    <row r="7">
      <c r="A7" s="4" t="n">
        <v>3</v>
      </c>
      <c r="B7" s="4" t="inlineStr">
        <is>
          <t>TC-NOUS62_DEV-03</t>
        </is>
      </c>
      <c r="C7" s="5" t="inlineStr">
        <is>
          <t>parseOutput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null の項目が省略されていても null とみなす</t>
        </is>
      </c>
      <c r="G7" s="5" t="inlineStr">
        <is>
          <t>前提：なし
入力：{"action":"none"}、{"action":"like","target":"P1"}、follow の text: null</t>
        </is>
      </c>
      <c r="H7" s="5" t="inlineStr">
        <is>
          <t>省略された項目は null になる</t>
        </is>
      </c>
      <c r="I7" s="5" t="inlineStr">
        <is>
          <t>B5-F</t>
        </is>
      </c>
      <c r="J7" s="5" t="inlineStr">
        <is>
          <t>なし</t>
        </is>
      </c>
      <c r="K7" s="5" t="inlineStr"/>
      <c r="L7" s="5" t="inlineStr"/>
      <c r="M7" s="5" t="inlineStr">
        <is>
          <t>TC-NOUS62_DEV-03 null の項目が省略されていても null とみなす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既存テスト：実装時のテスト（NOUS-62）</t>
        </is>
      </c>
    </row>
    <row r="8">
      <c r="A8" s="4" t="n">
        <v>4</v>
      </c>
      <c r="B8" s="4" t="inlineStr">
        <is>
          <t>TC-NOUS62_DEV-04</t>
        </is>
      </c>
      <c r="C8" s="5" t="inlineStr">
        <is>
          <t>parseOutput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各入力 は InvalidFormatError</t>
        </is>
      </c>
      <c r="G8" s="5" t="inlineStr">
        <is>
          <t>前提：なし
入力：JSON がない・壊れている・未知の action・組み合わせの違反など 12 種</t>
        </is>
      </c>
      <c r="H8" s="5" t="inlineStr">
        <is>
          <t>InvalidFormatError</t>
        </is>
      </c>
      <c r="I8" s="5" t="inlineStr">
        <is>
          <t>B2-T, B4-T, B5-T</t>
        </is>
      </c>
      <c r="J8" s="5" t="inlineStr">
        <is>
          <t>なし</t>
        </is>
      </c>
      <c r="K8" s="5" t="inlineStr"/>
      <c r="L8" s="5" t="inlineStr"/>
      <c r="M8" s="5" t="inlineStr">
        <is>
          <t>TC-NOUS62_DEV-04 %s は InvalidFormatError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既存テスト：実装時のテスト（NOUS-62）
複数の無効クラスを 1 件にまとめているため、detail は UT_OUT-002〜005 で 1 件ずつ確かめる</t>
        </is>
      </c>
    </row>
    <row r="9">
      <c r="A9" s="4" t="n">
        <v>5</v>
      </c>
      <c r="B9" s="4" t="inlineStr">
        <is>
          <t>TC-NOUS62_DEV-05</t>
        </is>
      </c>
      <c r="C9" s="5" t="inlineStr">
        <is>
          <t>parseOutput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InvalidFormatError の kind は invalid_format で、理由を detail に残す</t>
        </is>
      </c>
      <c r="G9" s="5" t="inlineStr">
        <is>
          <t>前提：なし
入力："JSON なし"</t>
        </is>
      </c>
      <c r="H9" s="5" t="inlineStr">
        <is>
          <t>kind=invalid_format、retryable=false、detail=no_json_object</t>
        </is>
      </c>
      <c r="I9" s="5" t="inlineStr">
        <is>
          <t>B2-T</t>
        </is>
      </c>
      <c r="J9" s="5" t="inlineStr">
        <is>
          <t>なし</t>
        </is>
      </c>
      <c r="K9" s="5" t="inlineStr"/>
      <c r="L9" s="5" t="inlineStr"/>
      <c r="M9" s="5" t="inlineStr">
        <is>
          <t>TC-NOUS62_DEV-05 InvalidFormatError の kind は invalid_format で、理由を detail に残す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既存テスト：実装時のテスト（NOUS-62）</t>
        </is>
      </c>
    </row>
    <row r="10">
      <c r="A10" s="4" t="n">
        <v>6</v>
      </c>
      <c r="B10" s="4" t="inlineStr">
        <is>
          <t>TC-UT_OUT-001</t>
        </is>
      </c>
      <c r="C10" s="5" t="inlineStr">
        <is>
          <t>parseOutput</t>
        </is>
      </c>
      <c r="D10" s="4" t="inlineStr">
        <is>
          <t>正常系</t>
        </is>
      </c>
      <c r="E10" s="4" t="inlineStr">
        <is>
          <t>分岐網羅</t>
        </is>
      </c>
      <c r="F10" s="5" t="inlineStr">
        <is>
          <t>&lt;/think&gt; が 2 つあるときは、最後の &lt;/think&gt; の後ろだけを使う</t>
        </is>
      </c>
      <c r="G10" s="5" t="inlineStr">
        <is>
          <t>前提：なし
入力：&lt;think&gt;a&lt;/think&gt;{"action":"post",...}&lt;/think&gt;{"action":"none"}</t>
        </is>
      </c>
      <c r="H10" s="5" t="inlineStr">
        <is>
          <t>{ action: none, target: null, text: null }（最後の &lt;/think&gt; の後ろ）</t>
        </is>
      </c>
      <c r="I10" s="5" t="inlineStr">
        <is>
          <t>B1-T, B5-F</t>
        </is>
      </c>
      <c r="J10" s="5" t="inlineStr">
        <is>
          <t>なし</t>
        </is>
      </c>
      <c r="K10" s="5" t="inlineStr"/>
      <c r="L10" s="5" t="inlineStr"/>
      <c r="M10" s="5" t="inlineStr">
        <is>
          <t>TC-UT_OUT-001 &lt;/think&gt; が 2 つあるときは、最後の &lt;/think&gt; の後ろだけを使う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既存テスト：一部 TC-NOUS62_DEV-02（&lt;/think&gt; が 1 つのときだけ）</t>
        </is>
      </c>
    </row>
    <row r="11">
      <c r="A11" s="4" t="n">
        <v>7</v>
      </c>
      <c r="B11" s="4" t="inlineStr">
        <is>
          <t>TC-UT_OUT-002</t>
        </is>
      </c>
      <c r="C11" s="5" t="inlineStr">
        <is>
          <t>parseOutput</t>
        </is>
      </c>
      <c r="D11" s="4" t="inlineStr">
        <is>
          <t>異常系</t>
        </is>
      </c>
      <c r="E11" s="4" t="inlineStr">
        <is>
          <t>分岐網羅</t>
        </is>
      </c>
      <c r="F11" s="5" t="inlineStr">
        <is>
          <t>&lt;/think&gt; の後ろに JSON がなければ、思考の中の JSON は使わず no_json_object</t>
        </is>
      </c>
      <c r="G11" s="5" t="inlineStr">
        <is>
          <t>前提：なし
入力：&lt;think&gt;{"action":"none"}&lt;/think&gt;今日はやめておきます</t>
        </is>
      </c>
      <c r="H11" s="5" t="inlineStr">
        <is>
          <t>InvalidFormatError、detail=no_json_object</t>
        </is>
      </c>
      <c r="I11" s="5" t="inlineStr">
        <is>
          <t>B1-T, B2-T</t>
        </is>
      </c>
      <c r="J11" s="5" t="inlineStr">
        <is>
          <t>なし</t>
        </is>
      </c>
      <c r="K11" s="5" t="inlineStr"/>
      <c r="L11" s="5" t="inlineStr"/>
      <c r="M11" s="5" t="inlineStr">
        <is>
          <t>TC-UT_OUT-002 &lt;/think&gt; の後ろに JSON がなければ、思考の中の JSON は使わず no_json_object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既存テスト：なし（思考の中の JSON を使わないことは見ていない）</t>
        </is>
      </c>
    </row>
    <row r="12">
      <c r="A12" s="4" t="n">
        <v>8</v>
      </c>
      <c r="B12" s="4" t="inlineStr">
        <is>
          <t>TC-UT_OUT-003</t>
        </is>
      </c>
      <c r="C12" s="5" t="inlineStr">
        <is>
          <t>parseOutput</t>
        </is>
      </c>
      <c r="D12" s="4" t="inlineStr">
        <is>
          <t>異常系</t>
        </is>
      </c>
      <c r="E12" s="4" t="inlineStr">
        <is>
          <t>分岐網羅</t>
        </is>
      </c>
      <c r="F12" s="5" t="inlineStr">
        <is>
          <t>} が { より前にしかないときは no_json_object</t>
        </is>
      </c>
      <c r="G12" s="5" t="inlineStr">
        <is>
          <t>前提：なし
入力："} 投稿しません {"</t>
        </is>
      </c>
      <c r="H12" s="5" t="inlineStr">
        <is>
          <t>InvalidFormatError、detail=no_json_object</t>
        </is>
      </c>
      <c r="I12" s="5" t="inlineStr">
        <is>
          <t>B1-F, B2-F, B3-T</t>
        </is>
      </c>
      <c r="J12" s="5" t="inlineStr">
        <is>
          <t>なし</t>
        </is>
      </c>
      <c r="K12" s="5" t="inlineStr"/>
      <c r="L12" s="5" t="inlineStr"/>
      <c r="M12" s="5" t="inlineStr">
        <is>
          <t>TC-UT_OUT-003 } が { より前にしかないときは no_json_object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既存テスト：なし（DEV は { がない場合だけ）</t>
        </is>
      </c>
    </row>
    <row r="13">
      <c r="A13" s="4" t="n">
        <v>9</v>
      </c>
      <c r="B13" s="4" t="inlineStr">
        <is>
          <t>TC-UT_OUT-004</t>
        </is>
      </c>
      <c r="C13" s="5" t="inlineStr">
        <is>
          <t>parseOutput</t>
        </is>
      </c>
      <c r="D13" s="4" t="inlineStr">
        <is>
          <t>異常系</t>
        </is>
      </c>
      <c r="E13" s="4" t="inlineStr">
        <is>
          <t>エラー処理</t>
        </is>
      </c>
      <c r="F13" s="5" t="inlineStr">
        <is>
          <t>JSON として読めなければ json_parse_error</t>
        </is>
      </c>
      <c r="G13" s="5" t="inlineStr">
        <is>
          <t>前提：なし
入力：{"action":"post",}</t>
        </is>
      </c>
      <c r="H13" s="5" t="inlineStr">
        <is>
          <t>InvalidFormatError、kind=invalid_format、detail=json_parse_error</t>
        </is>
      </c>
      <c r="I13" s="5" t="inlineStr">
        <is>
          <t>B3-F, B4-T</t>
        </is>
      </c>
      <c r="J13" s="5" t="inlineStr">
        <is>
          <t>なし</t>
        </is>
      </c>
      <c r="K13" s="5" t="inlineStr"/>
      <c r="L13" s="5" t="inlineStr"/>
      <c r="M13" s="5" t="inlineStr">
        <is>
          <t>TC-UT_OUT-004 JSON として読めなければ json_parse_error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既存テスト：一部 TC-NOUS62_DEV-04（例外の型だけ）</t>
        </is>
      </c>
    </row>
    <row r="14">
      <c r="A14" s="4" t="n">
        <v>10</v>
      </c>
      <c r="B14" s="4" t="inlineStr">
        <is>
          <t>TC-UT_OUT-005</t>
        </is>
      </c>
      <c r="C14" s="5" t="inlineStr">
        <is>
          <t>parseOutput</t>
        </is>
      </c>
      <c r="D14" s="4" t="inlineStr">
        <is>
          <t>異常系</t>
        </is>
      </c>
      <c r="E14" s="4" t="inlineStr">
        <is>
          <t>エラー処理</t>
        </is>
      </c>
      <c r="F14" s="5" t="inlineStr">
        <is>
          <t>スキーマに合わなければ detail が schema: で始まり、項目の名前を含む</t>
        </is>
      </c>
      <c r="G14" s="5" t="inlineStr">
        <is>
          <t>前提：なし
入力：{"action":"share","target":null,"text":null}</t>
        </is>
      </c>
      <c r="H14" s="5" t="inlineStr">
        <is>
          <t>InvalidFormatError、detail が「schema: 」で始まり action を含む</t>
        </is>
      </c>
      <c r="I14" s="5" t="inlineStr">
        <is>
          <t>B4-F, B5-T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TC-UT_OUT-005 スキーマに合わなければ detail が schema: で始まり、項目の名前を含む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TC-NOUS62_DEV-04（例外の型だけ）</t>
        </is>
      </c>
    </row>
    <row r="15">
      <c r="A15" s="4" t="n">
        <v>11</v>
      </c>
      <c r="B15" s="4" t="inlineStr">
        <is>
          <t>TC-UT_OUT-006</t>
        </is>
      </c>
      <c r="C15" s="5" t="inlineStr">
        <is>
          <t>parseOutput</t>
        </is>
      </c>
      <c r="D15" s="4" t="inlineStr">
        <is>
          <t>正常系</t>
        </is>
      </c>
      <c r="E15" s="4" t="inlineStr">
        <is>
          <t>境界値</t>
        </is>
      </c>
      <c r="F15" s="5" t="inlineStr">
        <is>
          <t>P 番号の桁の下限と上限は合格する</t>
        </is>
      </c>
      <c r="G15" s="5" t="inlineStr">
        <is>
          <t>前提：なし
入力：like の target = P1、P99</t>
        </is>
      </c>
      <c r="H15" s="5" t="inlineStr">
        <is>
          <t>そのまま取り出す</t>
        </is>
      </c>
      <c r="I15" s="5" t="inlineStr">
        <is>
          <t>B5-F</t>
        </is>
      </c>
      <c r="J15" s="5" t="inlineStr">
        <is>
          <t>なし</t>
        </is>
      </c>
      <c r="K15" s="5" t="inlineStr"/>
      <c r="L15" s="5" t="inlineStr"/>
      <c r="M15" s="5" t="inlineStr">
        <is>
          <t>TC-UT_OUT-006 P 番号の桁の下限と上限は合格する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既存テスト：なし（DEV は P3・P1 と、不合格の P100 だけ）
it.each の 2 行を 1 件として数える</t>
        </is>
      </c>
    </row>
    <row r="16">
      <c r="A16" s="4" t="n">
        <v>12</v>
      </c>
      <c r="B16" s="4" t="inlineStr">
        <is>
          <t>TC-UT_OUT-007</t>
        </is>
      </c>
      <c r="C16" s="5" t="inlineStr">
        <is>
          <t>parseOutput</t>
        </is>
      </c>
      <c r="D16" s="4" t="inlineStr">
        <is>
          <t>正常系</t>
        </is>
      </c>
      <c r="E16" s="4" t="inlineStr">
        <is>
          <t>境界値</t>
        </is>
      </c>
      <c r="F16" s="5" t="inlineStr">
        <is>
          <t>ハンドルの 3 字と 20 字は合格する</t>
        </is>
      </c>
      <c r="G16" s="5" t="inlineStr">
        <is>
          <t>前提：なし
入力：follow の target = @abc、@ + a×20</t>
        </is>
      </c>
      <c r="H16" s="5" t="inlineStr">
        <is>
          <t>そのまま取り出す</t>
        </is>
      </c>
      <c r="I16" s="5" t="inlineStr">
        <is>
          <t>B5-F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TC-UT_OUT-007 ハンドルの 3 字と 20 字は合格する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既存テスト：なし（DEV は不合格の 2 字だけ）
it.each の 2 行を 1 件として数える</t>
        </is>
      </c>
    </row>
    <row r="17">
      <c r="A17" s="4" t="n">
        <v>13</v>
      </c>
      <c r="B17" s="4" t="inlineStr">
        <is>
          <t>TC-UT_OUT-008</t>
        </is>
      </c>
      <c r="C17" s="5" t="inlineStr">
        <is>
          <t>parseOutput</t>
        </is>
      </c>
      <c r="D17" s="4" t="inlineStr">
        <is>
          <t>異常系</t>
        </is>
      </c>
      <c r="E17" s="4" t="inlineStr">
        <is>
          <t>境界値</t>
        </is>
      </c>
      <c r="F17" s="5" t="inlineStr">
        <is>
          <t>ハンドルが 21 字なら InvalidFormatError</t>
        </is>
      </c>
      <c r="G17" s="5" t="inlineStr">
        <is>
          <t>前提：なし
入力：follow の target = @ + a×21</t>
        </is>
      </c>
      <c r="H17" s="5" t="inlineStr">
        <is>
          <t>InvalidFormatError（schema）</t>
        </is>
      </c>
      <c r="I17" s="5" t="inlineStr">
        <is>
          <t>B5-T</t>
        </is>
      </c>
      <c r="J17" s="5" t="inlineStr">
        <is>
          <t>なし</t>
        </is>
      </c>
      <c r="K17" s="5" t="inlineStr"/>
      <c r="L17" s="5" t="inlineStr"/>
      <c r="M17" s="5" t="inlineStr">
        <is>
          <t>TC-UT_OUT-008 ハンドルが 21 字なら InvalidFormatError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</t>
        </is>
      </c>
    </row>
    <row r="18">
      <c r="A18" s="4" t="n">
        <v>14</v>
      </c>
      <c r="B18" s="4" t="inlineStr">
        <is>
          <t>TC-UT_OUT-009</t>
        </is>
      </c>
      <c r="C18" s="5" t="inlineStr">
        <is>
          <t>parseOutput</t>
        </is>
      </c>
      <c r="D18" s="4" t="inlineStr">
        <is>
          <t>異常系</t>
        </is>
      </c>
      <c r="E18" s="4" t="inlineStr">
        <is>
          <t>同値分割</t>
        </is>
      </c>
      <c r="F18" s="5" t="inlineStr">
        <is>
          <t>ハンドルに英数字と _ 以外の字があれば InvalidFormatError</t>
        </is>
      </c>
      <c r="G18" s="5" t="inlineStr">
        <is>
          <t>前提：なし
入力：unfollow の target = @ha-ru</t>
        </is>
      </c>
      <c r="H18" s="5" t="inlineStr">
        <is>
          <t>InvalidFormatError（schema）</t>
        </is>
      </c>
      <c r="I18" s="5" t="inlineStr">
        <is>
          <t>B5-T</t>
        </is>
      </c>
      <c r="J18" s="5" t="inlineStr">
        <is>
          <t>なし</t>
        </is>
      </c>
      <c r="K18" s="5" t="inlineStr"/>
      <c r="L18" s="5" t="inlineStr"/>
      <c r="M18" s="5" t="inlineStr">
        <is>
          <t>TC-UT_OUT-009 ハンドルに英数字と _ 以外の字があれば InvalidFormatError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既存テスト：なし</t>
        </is>
      </c>
    </row>
    <row r="19">
      <c r="A19" s="4" t="n">
        <v>15</v>
      </c>
      <c r="B19" s="4" t="inlineStr">
        <is>
          <t>TC-UT_OUT-010</t>
        </is>
      </c>
      <c r="C19" s="5" t="inlineStr">
        <is>
          <t>parseOutput</t>
        </is>
      </c>
      <c r="D19" s="4" t="inlineStr">
        <is>
          <t>異常系</t>
        </is>
      </c>
      <c r="E19" s="4" t="inlineStr">
        <is>
          <t>境界値</t>
        </is>
      </c>
      <c r="F19" s="5" t="inlineStr">
        <is>
          <t>P 番号に数字がなければ InvalidFormatError</t>
        </is>
      </c>
      <c r="G19" s="5" t="inlineStr">
        <is>
          <t>前提：なし
入力：reply の target = P</t>
        </is>
      </c>
      <c r="H19" s="5" t="inlineStr">
        <is>
          <t>InvalidFormatError（schema）</t>
        </is>
      </c>
      <c r="I19" s="5" t="inlineStr">
        <is>
          <t>B5-T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TC-UT_OUT-010 P 番号に数字がなければ InvalidFormatError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既存テスト：なし（DEV は 3 桁と数字だけ）</t>
        </is>
      </c>
    </row>
    <row r="20">
      <c r="A20" s="4" t="n">
        <v>16</v>
      </c>
      <c r="B20" s="4" t="inlineStr">
        <is>
          <t>TC-UT_OUT-011</t>
        </is>
      </c>
      <c r="C20" s="5" t="inlineStr">
        <is>
          <t>parseOutput</t>
        </is>
      </c>
      <c r="D20" s="4" t="inlineStr">
        <is>
          <t>正常系</t>
        </is>
      </c>
      <c r="E20" s="4" t="inlineStr">
        <is>
          <t>同値分割</t>
        </is>
      </c>
      <c r="F20" s="5" t="inlineStr">
        <is>
          <t>表にない余分なキーは捨てて取り出す</t>
        </is>
      </c>
      <c r="G20" s="5" t="inlineStr">
        <is>
          <t>前提：なし
入力：like に "reason":"好きな話題" を足した JSON</t>
        </is>
      </c>
      <c r="H20" s="5" t="inlineStr">
        <is>
          <t>reason を捨てた { action: like, target: P2, text: null }</t>
        </is>
      </c>
      <c r="I20" s="5" t="inlineStr">
        <is>
          <t>B5-F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TC-UT_OUT-011 表にない余分なキーは捨てて取り出す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既存テスト：なし
設計書に記載なし。Zod の z.object の既定（余分なキーを捨てる）の値</t>
        </is>
      </c>
    </row>
    <row r="21">
      <c r="A21" s="4" t="n">
        <v>17</v>
      </c>
      <c r="B21" s="4" t="inlineStr">
        <is>
          <t>TC-UT_OUT-012</t>
        </is>
      </c>
      <c r="C21" s="5" t="inlineStr">
        <is>
          <t>parseOutput</t>
        </is>
      </c>
      <c r="D21" s="4" t="inlineStr">
        <is>
          <t>異常系</t>
        </is>
      </c>
      <c r="E21" s="4" t="inlineStr">
        <is>
          <t>同値分割</t>
        </is>
      </c>
      <c r="F21" s="5" t="inlineStr">
        <is>
          <t>action が大文字まじり（Post）なら InvalidFormatError</t>
        </is>
      </c>
      <c r="G21" s="5" t="inlineStr">
        <is>
          <t>前提：なし
入力：action = "Post"</t>
        </is>
      </c>
      <c r="H21" s="5" t="inlineStr">
        <is>
          <t>InvalidFormatError（schema）</t>
        </is>
      </c>
      <c r="I21" s="5" t="inlineStr">
        <is>
          <t>B5-T</t>
        </is>
      </c>
      <c r="J21" s="5" t="inlineStr">
        <is>
          <t>なし</t>
        </is>
      </c>
      <c r="K21" s="5" t="inlineStr"/>
      <c r="L21" s="5" t="inlineStr"/>
      <c r="M21" s="5" t="inlineStr">
        <is>
          <t>TC-UT_OUT-012 action が大文字まじり（Post）なら InvalidFormatError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既存テスト：なし（DEV は未知の語 share だけ）</t>
        </is>
      </c>
    </row>
    <row r="22">
      <c r="A22" s="4" t="n">
        <v>18</v>
      </c>
      <c r="B22" s="4" t="inlineStr">
        <is>
          <t>TC-UT_OUT-013</t>
        </is>
      </c>
      <c r="C22" s="5" t="inlineStr">
        <is>
          <t>parseOutput</t>
        </is>
      </c>
      <c r="D22" s="4" t="inlineStr">
        <is>
          <t>異常系</t>
        </is>
      </c>
      <c r="E22" s="4" t="inlineStr">
        <is>
          <t>同値分割</t>
        </is>
      </c>
      <c r="F22" s="5" t="inlineStr">
        <is>
          <t>text が文字列でなく数値なら InvalidFormatError</t>
        </is>
      </c>
      <c r="G22" s="5" t="inlineStr">
        <is>
          <t>前提：なし
入力：post の text = 140（数値）</t>
        </is>
      </c>
      <c r="H22" s="5" t="inlineStr">
        <is>
          <t>InvalidFormatError（schema）</t>
        </is>
      </c>
      <c r="I22" s="5" t="inlineStr">
        <is>
          <t>B5-T</t>
        </is>
      </c>
      <c r="J22" s="5" t="inlineStr">
        <is>
          <t>なし</t>
        </is>
      </c>
      <c r="K22" s="5" t="inlineStr"/>
      <c r="L22" s="5" t="inlineStr"/>
      <c r="M22" s="5" t="inlineStr">
        <is>
          <t>TC-UT_OUT-013 text が文字列でなく数値なら InvalidFormatError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既存テスト：なし</t>
        </is>
      </c>
    </row>
    <row r="23">
      <c r="A23" s="4" t="n">
        <v>19</v>
      </c>
      <c r="B23" s="4" t="inlineStr">
        <is>
          <t>TC-UT_OUT-014</t>
        </is>
      </c>
      <c r="C23" s="5" t="inlineStr">
        <is>
          <t>parseOutput</t>
        </is>
      </c>
      <c r="D23" s="4" t="inlineStr">
        <is>
          <t>異常系</t>
        </is>
      </c>
      <c r="E23" s="4" t="inlineStr">
        <is>
          <t>同値分割</t>
        </is>
      </c>
      <c r="F23" s="5" t="inlineStr">
        <is>
          <t>reply の target が null なら InvalidFormatError</t>
        </is>
      </c>
      <c r="G23" s="5" t="inlineStr">
        <is>
          <t>前提：なし
入力：reply の target = null</t>
        </is>
      </c>
      <c r="H23" s="5" t="inlineStr">
        <is>
          <t>InvalidFormatError（schema）</t>
        </is>
      </c>
      <c r="I23" s="5" t="inlineStr">
        <is>
          <t>B5-T</t>
        </is>
      </c>
      <c r="J23" s="5" t="inlineStr">
        <is>
          <t>なし</t>
        </is>
      </c>
      <c r="K23" s="5" t="inlineStr"/>
      <c r="L23" s="5" t="inlineStr"/>
      <c r="M23" s="5" t="inlineStr">
        <is>
          <t>TC-UT_OUT-014 reply の target が null なら InvalidFormatError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</t>
        </is>
      </c>
    </row>
    <row r="24">
      <c r="A24" s="4" t="n">
        <v>20</v>
      </c>
      <c r="B24" s="4" t="inlineStr">
        <is>
          <t>TC-UT_OUT-015</t>
        </is>
      </c>
      <c r="C24" s="5" t="inlineStr">
        <is>
          <t>parseOutput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大文字の言語名（```JSON）と CRLF の囲みも外して取り出す</t>
        </is>
      </c>
      <c r="G24" s="5" t="inlineStr">
        <is>
          <t>前提：なし
入力：```JSON\r\n{...}\r\n```</t>
        </is>
      </c>
      <c r="H24" s="5" t="inlineStr">
        <is>
          <t>{ action: none, target: null, text: null }</t>
        </is>
      </c>
      <c r="I24" s="5" t="inlineStr">
        <is>
          <t>B1-F, B5-F</t>
        </is>
      </c>
      <c r="J24" s="5" t="inlineStr">
        <is>
          <t>なし</t>
        </is>
      </c>
      <c r="K24" s="5" t="inlineStr"/>
      <c r="L24" s="5" t="inlineStr"/>
      <c r="M24" s="5" t="inlineStr">
        <is>
          <t>TC-UT_OUT-015 大文字の言語名（```JSON）と CRLF の囲みも外して取り出す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TC-NOUS62_DEV-02（小文字と LF だけ）</t>
        </is>
      </c>
    </row>
    <row r="25">
      <c r="A25" s="4" t="n">
        <v>21</v>
      </c>
      <c r="B25" s="4" t="inlineStr">
        <is>
          <t>TC-UT_OUT-016</t>
        </is>
      </c>
      <c r="C25" s="5" t="inlineStr">
        <is>
          <t>parseOutput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post の text が空文字でも形としては通す（空白の拒否は validateAction）</t>
        </is>
      </c>
      <c r="G25" s="5" t="inlineStr">
        <is>
          <t>前提：なし
入力：post の text = ""</t>
        </is>
      </c>
      <c r="H25" s="5" t="inlineStr">
        <is>
          <t>{ action: post, target: null, text: "" }（空白の拒否は validateAction で行う）</t>
        </is>
      </c>
      <c r="I25" s="5" t="inlineStr">
        <is>
          <t>B5-F</t>
        </is>
      </c>
      <c r="J25" s="5" t="inlineStr">
        <is>
          <t>なし</t>
        </is>
      </c>
      <c r="K25" s="5" t="inlineStr"/>
      <c r="L25" s="5" t="inlineStr"/>
      <c r="M25" s="5" t="inlineStr">
        <is>
          <t>TC-UT_OUT-016 post の text が空文字でも形としては通す（空白の拒否は validateAction）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
確認事項 1 を参照</t>
        </is>
      </c>
    </row>
  </sheetData>
  <autoFilter ref="A4:Q25"/>
  <conditionalFormatting sqref="A5:Q75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5" showDropDown="0" showInputMessage="0" showErrorMessage="0" allowBlank="1" type="list">
      <formula1>"未実施,OK,NG,保留,対象外"</formula1>
    </dataValidation>
    <dataValidation sqref="D5:D75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COUNTA(観点表!$B$5:$B$75)</f>
        <v/>
      </c>
    </row>
    <row r="6">
      <c r="A6" s="10" t="inlineStr">
        <is>
          <t>正常系</t>
        </is>
      </c>
      <c r="B6" s="10">
        <f>COUNTIF(観点表!$D$5:$D$75,"正常系")</f>
        <v/>
      </c>
    </row>
    <row r="7">
      <c r="A7" s="10" t="inlineStr">
        <is>
          <t>異常系</t>
        </is>
      </c>
      <c r="B7" s="10">
        <f>COUNTIF(観点表!$D$5:$D$75,"異常系")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COUNTIF(観点表!$E$5:$E$75,"エラー処理")</f>
        <v/>
      </c>
    </row>
    <row r="11">
      <c r="A11" s="10" t="inlineStr">
        <is>
          <t>分岐網羅</t>
        </is>
      </c>
      <c r="B11" s="10">
        <f>COUNTIF(観点表!$E$5:$E$75,"分岐網羅")</f>
        <v/>
      </c>
    </row>
    <row r="12">
      <c r="A12" s="10" t="inlineStr">
        <is>
          <t>同値分割</t>
        </is>
      </c>
      <c r="B12" s="10">
        <f>COUNTIF(観点表!$E$5:$E$75,"同値分割")</f>
        <v/>
      </c>
    </row>
    <row r="13">
      <c r="A13" s="10" t="inlineStr">
        <is>
          <t>境界値</t>
        </is>
      </c>
      <c r="B13" s="10">
        <f>COUNTIF(観点表!$E$5:$E$75,"境界値")</f>
        <v/>
      </c>
    </row>
    <row r="14">
      <c r="A14" s="10" t="inlineStr">
        <is>
          <t>開発者テスト</t>
        </is>
      </c>
      <c r="B14" s="10">
        <f>COUNTIF(観点表!$E$5:$E$75,"開発者テスト")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COUNTIF(観点表!$K$5:$K$75,"?*")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COUNTIF(観点表!$N$5:$N$75,"未実施")</f>
        <v/>
      </c>
    </row>
    <row r="22">
      <c r="A22" s="10" t="inlineStr">
        <is>
          <t>OK</t>
        </is>
      </c>
      <c r="B22" s="10">
        <f>COUNTIF(観点表!$N$5:$N$75,"OK")</f>
        <v/>
      </c>
    </row>
    <row r="23">
      <c r="A23" s="10" t="inlineStr">
        <is>
          <t>NG</t>
        </is>
      </c>
      <c r="B23" s="10">
        <f>COUNTIF(観点表!$N$5:$N$75,"NG")</f>
        <v/>
      </c>
    </row>
    <row r="24">
      <c r="A24" s="10" t="inlineStr">
        <is>
          <t>保留</t>
        </is>
      </c>
      <c r="B24" s="10">
        <f>COUNTIF(観点表!$N$5:$N$75,"保留")</f>
        <v/>
      </c>
    </row>
    <row r="25">
      <c r="A25" s="10" t="inlineStr">
        <is>
          <t>対象外</t>
        </is>
      </c>
      <c r="B25" s="10">
        <f>COUNTIF(観点表!$N$5:$N$75,"対象外")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TC-NOUS62_DEV-01</t>
        </is>
      </c>
      <c r="B5" s="13" t="inlineStr">
        <is>
          <t>素の JSON を取り出す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TC-NOUS62_DEV-02</t>
        </is>
      </c>
      <c r="B6" s="13" t="inlineStr">
        <is>
          <t>各入力 も取り出す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TC-NOUS62_DEV-03</t>
        </is>
      </c>
      <c r="B7" s="13" t="inlineStr">
        <is>
          <t>null の項目が省略されていても null とみなす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TC-NOUS62_DEV-04</t>
        </is>
      </c>
      <c r="B8" s="13" t="inlineStr">
        <is>
          <t>各入力 は InvalidFormatError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TC-NOUS62_DEV-05</t>
        </is>
      </c>
      <c r="B9" s="13" t="inlineStr">
        <is>
          <t>InvalidFormatError の kind は invalid_format で、理由を detail に残す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TC-UT_OUT-001</t>
        </is>
      </c>
      <c r="B10" s="13" t="inlineStr">
        <is>
          <t>&lt;/think&gt; が 2 つあるときは、最後の &lt;/think&gt; の後ろだけを使う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TC-UT_OUT-002</t>
        </is>
      </c>
      <c r="B11" s="13" t="inlineStr">
        <is>
          <t>&lt;/think&gt; の後ろに JSON がなければ、思考の中の JSON は使わず no_json_object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TC-UT_OUT-003</t>
        </is>
      </c>
      <c r="B12" s="13" t="inlineStr">
        <is>
          <t>} が { より前にしかないときは no_json_object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TC-UT_OUT-004</t>
        </is>
      </c>
      <c r="B13" s="13" t="inlineStr">
        <is>
          <t>JSON として読めなければ json_parse_error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TC-UT_OUT-005</t>
        </is>
      </c>
      <c r="B14" s="13" t="inlineStr">
        <is>
          <t>スキーマに合わなければ detail が schema: で始まり、項目の名前を含む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TC-UT_OUT-006</t>
        </is>
      </c>
      <c r="B15" s="13" t="inlineStr">
        <is>
          <t>P 番号の桁の下限と上限は合格する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TC-UT_OUT-007</t>
        </is>
      </c>
      <c r="B16" s="13" t="inlineStr">
        <is>
          <t>ハンドルの 3 字と 20 字は合格する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TC-UT_OUT-008</t>
        </is>
      </c>
      <c r="B17" s="13" t="inlineStr">
        <is>
          <t>ハンドルが 21 字なら InvalidFormatError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TC-UT_OUT-009</t>
        </is>
      </c>
      <c r="B18" s="13" t="inlineStr">
        <is>
          <t>ハンドルに英数字と _ 以外の字があれば InvalidFormatError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TC-UT_OUT-010</t>
        </is>
      </c>
      <c r="B19" s="13" t="inlineStr">
        <is>
          <t>P 番号に数字がなければ InvalidFormatError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TC-UT_OUT-011</t>
        </is>
      </c>
      <c r="B20" s="13" t="inlineStr">
        <is>
          <t>表にない余分なキーは捨てて取り出す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TC-UT_OUT-012</t>
        </is>
      </c>
      <c r="B21" s="13" t="inlineStr">
        <is>
          <t>action が大文字まじり（Post）なら InvalidFormatError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TC-UT_OUT-013</t>
        </is>
      </c>
      <c r="B22" s="13" t="inlineStr">
        <is>
          <t>text が文字列でなく数値なら InvalidFormatError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TC-UT_OUT-014</t>
        </is>
      </c>
      <c r="B23" s="13" t="inlineStr">
        <is>
          <t>reply の target が null なら InvalidFormatError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TC-UT_OUT-015</t>
        </is>
      </c>
      <c r="B24" s="13" t="inlineStr">
        <is>
          <t>大文字の言語名（```JSON）と CRLF の囲みも外して取り出す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TC-UT_OUT-016</t>
        </is>
      </c>
      <c r="B25" s="13" t="inlineStr">
        <is>
          <t>post の text が空文字でも形としては通す（空白の拒否は validateAction）</t>
        </is>
      </c>
      <c r="C25" s="13" t="inlineStr">
        <is>
          <t>未作成</t>
        </is>
      </c>
      <c r="D25" s="13" t="inlineStr"/>
      <c r="E25" s="13" t="inlineStr"/>
      <c r="F25" s="13" t="inlineStr"/>
    </row>
  </sheetData>
  <autoFilter ref="A4:F25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出力の取り出しと形の検証（generation/outputParser.ts）</t>
        </is>
      </c>
    </row>
    <row r="4">
      <c r="A4" s="14" t="inlineStr">
        <is>
          <t>対象ファイル</t>
        </is>
      </c>
      <c r="B4" s="15" t="inlineStr">
        <is>
          <t>apps/server/src/generation/outputParser.ts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apps/server/src/generation/outputParser.test.ts（実装時、NOUS-62）, apps/server/src/generation/outputParser.ut.test.ts（単体テストで追加）</t>
        </is>
      </c>
    </row>
    <row r="7">
      <c r="A7" s="14" t="inlineStr">
        <is>
          <t>外部依存</t>
        </is>
      </c>
      <c r="B7" s="15" t="inlineStr">
        <is>
          <t>なし（文字列と JSON と Zod だけを使う純粋関数）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thinkEnd &gt;= 0（&lt;/think&gt; がある）</t>
        </is>
      </c>
      <c r="C11" s="17" t="inlineStr">
        <is>
          <t>outputParser.ts:50</t>
        </is>
      </c>
    </row>
    <row r="12">
      <c r="A12" s="17" t="inlineStr">
        <is>
          <t>B2</t>
        </is>
      </c>
      <c r="B12" s="17" t="inlineStr">
        <is>
          <t>start &lt; 0（{ がない）</t>
        </is>
      </c>
      <c r="C12" s="17" t="inlineStr">
        <is>
          <t>outputParser.ts:56</t>
        </is>
      </c>
    </row>
    <row r="13">
      <c r="A13" s="17" t="inlineStr">
        <is>
          <t>B3</t>
        </is>
      </c>
      <c r="B13" s="17" t="inlineStr">
        <is>
          <t>end &lt; start（} が { より前にしかない）</t>
        </is>
      </c>
      <c r="C13" s="17" t="inlineStr">
        <is>
          <t>outputParser.ts:56</t>
        </is>
      </c>
    </row>
    <row r="14">
      <c r="A14" s="17" t="inlineStr">
        <is>
          <t>B4</t>
        </is>
      </c>
      <c r="B14" s="17" t="inlineStr">
        <is>
          <t>JSON.parse で例外</t>
        </is>
      </c>
      <c r="C14" s="17" t="inlineStr">
        <is>
          <t>outputParser.ts:60-64</t>
        </is>
      </c>
    </row>
    <row r="15">
      <c r="A15" s="17" t="inlineStr">
        <is>
          <t>B5</t>
        </is>
      </c>
      <c r="B15" s="17" t="inlineStr">
        <is>
          <t>!parsed.success（ActionSchema に合わない）</t>
        </is>
      </c>
      <c r="C15" s="17" t="inlineStr">
        <is>
          <t>outputParser.ts:67</t>
        </is>
      </c>
    </row>
    <row r="17">
      <c r="A17" s="14" t="inlineStr">
        <is>
          <t>確認事項・潜在バグ</t>
        </is>
      </c>
    </row>
    <row r="18" ht="30" customHeight="1">
      <c r="A18" s="18" t="inlineStr">
        <is>
          <t>・確認事項 1：6.1 は post・reply の text を「必須、1〜140 字」とするが、parseOutput は空文字や 141 字以上も通し、validateAction の truncateText で拒否・切り詰めを行う（実装のコメントのとおり）。結果の invalid_format は同じなので、設計書の 6.2 の手順 4 に「字数は 6.3 で見る」と書き足すことを提案する。</t>
        </is>
      </c>
    </row>
  </sheetData>
  <mergeCells count="1"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2026-10-26T05:51:00Z</dcterms:created>
  <dcterms:modified xsi:type="dcterms:W3CDTF">2026-10-26T05:51:00Z</dcterms:modified>
</cp:coreProperties>
</file>