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観点表" sheetId="1" state="visible" r:id="rId1"/>
    <sheet name="サマリ" sheetId="2" state="visible" r:id="rId2"/>
    <sheet name="テストデータ" sheetId="3" state="visible" r:id="rId3"/>
    <sheet name="対象概要" sheetId="4" state="visible" r:id="rId4"/>
  </sheets>
  <definedNames>
    <definedName name="_xlnm._FilterDatabase" localSheetId="0" hidden="1">'観点表'!$A$4:$Q$25</definedName>
    <definedName name="_xlnm.Print_Titles" localSheetId="0">'観点表'!$4:$4</definedName>
    <definedName name="_xlnm._FilterDatabase" localSheetId="2" hidden="1">'テストデータ'!$A$4:$F$25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i val="1"/>
      <color rgb="00595959"/>
      <sz val="9"/>
    </font>
    <font>
      <name val="Meiryo UI"/>
      <b val="1"/>
      <color rgb="00FFFFFF"/>
      <sz val="10"/>
    </font>
    <font>
      <name val="Meiryo UI"/>
      <sz val="10"/>
    </font>
    <font>
      <name val="Meiryo UI"/>
      <b val="1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3" fillId="2" borderId="1" applyAlignment="1" pivotButton="0" quotePrefix="0" xfId="0">
      <alignment horizontal="center"/>
    </xf>
    <xf numFmtId="0" fontId="4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9" customWidth="1" min="4" max="4"/>
    <col width="11" customWidth="1" min="5" max="5"/>
    <col width="30" customWidth="1" min="6" max="6"/>
    <col width="32" customWidth="1" min="7" max="7"/>
    <col width="32" customWidth="1" min="8" max="8"/>
    <col width="13" customWidth="1" min="9" max="9"/>
    <col width="22" customWidth="1" min="10" max="10"/>
    <col width="30" customWidth="1" min="11" max="11"/>
    <col width="26" customWidth="1" min="12" max="12"/>
    <col width="30" customWidth="1" min="13" max="13"/>
    <col width="10" customWidth="1" min="14" max="14"/>
    <col width="11" customWidth="1" min="15" max="15"/>
    <col width="10" customWidth="1" min="16" max="16"/>
    <col width="30" customWidth="1" min="17" max="17"/>
  </cols>
  <sheetData>
    <row r="1">
      <c r="A1" s="1" t="inlineStr">
        <is>
          <t>テスト観点表: 出力の取り出しと形の検証（generation/outputParser.ts）</t>
        </is>
      </c>
    </row>
    <row r="2">
      <c r="A2" s="2" t="inlineStr">
        <is>
          <t>黄色の列（実施結果・実施日・確認者・備考）を記入してください。観点やテストデータを修正した場合は import_test_matrix.py で JSON に取り込めます。</t>
        </is>
      </c>
    </row>
    <row r="4" ht="28" customHeight="1">
      <c r="A4" s="3" t="inlineStr">
        <is>
          <t>No</t>
        </is>
      </c>
      <c r="B4" s="3" t="inlineStr">
        <is>
          <t>ID</t>
        </is>
      </c>
      <c r="C4" s="3" t="inlineStr">
        <is>
          <t>対象</t>
        </is>
      </c>
      <c r="D4" s="3" t="inlineStr">
        <is>
          <t>分類</t>
        </is>
      </c>
      <c r="E4" s="3" t="inlineStr">
        <is>
          <t>技法</t>
        </is>
      </c>
      <c r="F4" s="3" t="inlineStr">
        <is>
          <t>観点</t>
        </is>
      </c>
      <c r="G4" s="3" t="inlineStr">
        <is>
          <t>入力・前提条件</t>
        </is>
      </c>
      <c r="H4" s="3" t="inlineStr">
        <is>
          <t>期待結果</t>
        </is>
      </c>
      <c r="I4" s="3" t="inlineStr">
        <is>
          <t>網羅する分岐</t>
        </is>
      </c>
      <c r="J4" s="3" t="inlineStr">
        <is>
          <t>モック</t>
        </is>
      </c>
      <c r="K4" s="3" t="inlineStr">
        <is>
          <t>テストデータ（具体値）</t>
        </is>
      </c>
      <c r="L4" s="3" t="inlineStr">
        <is>
          <t>データ参照</t>
        </is>
      </c>
      <c r="M4" s="3" t="inlineStr">
        <is>
          <t>テスト関数名</t>
        </is>
      </c>
      <c r="N4" s="3" t="inlineStr">
        <is>
          <t>実施結果</t>
        </is>
      </c>
      <c r="O4" s="3" t="inlineStr">
        <is>
          <t>実施日</t>
        </is>
      </c>
      <c r="P4" s="3" t="inlineStr">
        <is>
          <t>確認者</t>
        </is>
      </c>
      <c r="Q4" s="3" t="inlineStr">
        <is>
          <t>備考</t>
        </is>
      </c>
    </row>
    <row r="5">
      <c r="A5" s="4" t="n">
        <v>1</v>
      </c>
      <c r="B5" s="4" t="inlineStr">
        <is>
          <t>TC-NOUS62_DEV-01</t>
        </is>
      </c>
      <c r="C5" s="5" t="inlineStr">
        <is>
          <t>parseOutput</t>
        </is>
      </c>
      <c r="D5" s="4" t="inlineStr">
        <is>
          <t>正常系</t>
        </is>
      </c>
      <c r="E5" s="4" t="inlineStr">
        <is>
          <t>開発者テスト</t>
        </is>
      </c>
      <c r="F5" s="5" t="inlineStr">
        <is>
          <t>素の JSON を取り出す</t>
        </is>
      </c>
      <c r="G5" s="5" t="inlineStr">
        <is>
          <t>前提：なし
入力：{"action":"post","target":null,"text":"こんにちは"}</t>
        </is>
      </c>
      <c r="H5" s="5" t="inlineStr">
        <is>
          <t>{ action: post, target: null, text: こんにちは }</t>
        </is>
      </c>
      <c r="I5" s="5" t="inlineStr">
        <is>
          <t>B1-F, B2-F, B3-F, B4-F, B5-F</t>
        </is>
      </c>
      <c r="J5" s="5" t="inlineStr">
        <is>
          <t>なし</t>
        </is>
      </c>
      <c r="K5" s="5" t="inlineStr"/>
      <c r="L5" s="5" t="inlineStr"/>
      <c r="M5" s="5" t="inlineStr">
        <is>
          <t>TC-NOUS62_DEV-01 素の JSON を取り出す</t>
        </is>
      </c>
      <c r="N5" s="6" t="inlineStr">
        <is>
          <t>未実施</t>
        </is>
      </c>
      <c r="O5" s="6" t="inlineStr"/>
      <c r="P5" s="6" t="inlineStr"/>
      <c r="Q5" s="7" t="inlineStr">
        <is>
          <t>既存テスト：実装時のテスト（NOUS-62）</t>
        </is>
      </c>
    </row>
    <row r="6">
      <c r="A6" s="4" t="n">
        <v>2</v>
      </c>
      <c r="B6" s="4" t="inlineStr">
        <is>
          <t>TC-NOUS62_DEV-02</t>
        </is>
      </c>
      <c r="C6" s="5" t="inlineStr">
        <is>
          <t>parseOutput</t>
        </is>
      </c>
      <c r="D6" s="4" t="inlineStr">
        <is>
          <t>正常系</t>
        </is>
      </c>
      <c r="E6" s="4" t="inlineStr">
        <is>
          <t>開発者テスト</t>
        </is>
      </c>
      <c r="F6" s="5" t="inlineStr">
        <is>
          <t>各入力 も取り出す</t>
        </is>
      </c>
      <c r="G6" s="5" t="inlineStr">
        <is>
          <t>前提：なし
入力：```json の囲み、``` の囲み、前後の空白と文、&lt;/think&gt; の後ろ</t>
        </is>
      </c>
      <c r="H6" s="5" t="inlineStr">
        <is>
          <t>どれも { action: reply, target: P3, text: なるほど }</t>
        </is>
      </c>
      <c r="I6" s="5" t="inlineStr">
        <is>
          <t>B1-T, B1-F, B5-F</t>
        </is>
      </c>
      <c r="J6" s="5" t="inlineStr">
        <is>
          <t>なし</t>
        </is>
      </c>
      <c r="K6" s="5" t="inlineStr"/>
      <c r="L6" s="5" t="inlineStr"/>
      <c r="M6" s="5" t="inlineStr">
        <is>
          <t>TC-NOUS62_DEV-02 %s も取り出す</t>
        </is>
      </c>
      <c r="N6" s="6" t="inlineStr">
        <is>
          <t>未実施</t>
        </is>
      </c>
      <c r="O6" s="6" t="inlineStr"/>
      <c r="P6" s="6" t="inlineStr"/>
      <c r="Q6" s="7" t="inlineStr">
        <is>
          <t>既存テスト：実装時のテスト（NOUS-62）
it.each の 4 行を 1 件として数える</t>
        </is>
      </c>
    </row>
    <row r="7">
      <c r="A7" s="4" t="n">
        <v>3</v>
      </c>
      <c r="B7" s="4" t="inlineStr">
        <is>
          <t>TC-NOUS62_DEV-03</t>
        </is>
      </c>
      <c r="C7" s="5" t="inlineStr">
        <is>
          <t>parseOutput</t>
        </is>
      </c>
      <c r="D7" s="4" t="inlineStr">
        <is>
          <t>正常系</t>
        </is>
      </c>
      <c r="E7" s="4" t="inlineStr">
        <is>
          <t>開発者テスト</t>
        </is>
      </c>
      <c r="F7" s="5" t="inlineStr">
        <is>
          <t>null の項目が省略されていても null とみなす</t>
        </is>
      </c>
      <c r="G7" s="5" t="inlineStr">
        <is>
          <t>前提：なし
入力：{"action":"none"}、{"action":"like","target":"P1"}、follow の text: null</t>
        </is>
      </c>
      <c r="H7" s="5" t="inlineStr">
        <is>
          <t>省略された項目は null になる</t>
        </is>
      </c>
      <c r="I7" s="5" t="inlineStr">
        <is>
          <t>B5-F</t>
        </is>
      </c>
      <c r="J7" s="5" t="inlineStr">
        <is>
          <t>なし</t>
        </is>
      </c>
      <c r="K7" s="5" t="inlineStr"/>
      <c r="L7" s="5" t="inlineStr"/>
      <c r="M7" s="5" t="inlineStr">
        <is>
          <t>TC-NOUS62_DEV-03 null の項目が省略されていても null とみなす</t>
        </is>
      </c>
      <c r="N7" s="6" t="inlineStr">
        <is>
          <t>未実施</t>
        </is>
      </c>
      <c r="O7" s="6" t="inlineStr"/>
      <c r="P7" s="6" t="inlineStr"/>
      <c r="Q7" s="7" t="inlineStr">
        <is>
          <t>既存テスト：実装時のテスト（NOUS-62）</t>
        </is>
      </c>
    </row>
    <row r="8">
      <c r="A8" s="4" t="n">
        <v>4</v>
      </c>
      <c r="B8" s="4" t="inlineStr">
        <is>
          <t>TC-NOUS62_DEV-04</t>
        </is>
      </c>
      <c r="C8" s="5" t="inlineStr">
        <is>
          <t>parseOutput</t>
        </is>
      </c>
      <c r="D8" s="4" t="inlineStr">
        <is>
          <t>異常系</t>
        </is>
      </c>
      <c r="E8" s="4" t="inlineStr">
        <is>
          <t>開発者テスト</t>
        </is>
      </c>
      <c r="F8" s="5" t="inlineStr">
        <is>
          <t>各入力 は InvalidFormatError</t>
        </is>
      </c>
      <c r="G8" s="5" t="inlineStr">
        <is>
          <t>前提：なし
入力：JSON がない・壊れている・未知の action・組み合わせの違反など 12 種</t>
        </is>
      </c>
      <c r="H8" s="5" t="inlineStr">
        <is>
          <t>InvalidFormatError</t>
        </is>
      </c>
      <c r="I8" s="5" t="inlineStr">
        <is>
          <t>B2-T, B4-T, B5-T</t>
        </is>
      </c>
      <c r="J8" s="5" t="inlineStr">
        <is>
          <t>なし</t>
        </is>
      </c>
      <c r="K8" s="5" t="inlineStr"/>
      <c r="L8" s="5" t="inlineStr"/>
      <c r="M8" s="5" t="inlineStr">
        <is>
          <t>TC-NOUS62_DEV-04 %s は InvalidFormatError</t>
        </is>
      </c>
      <c r="N8" s="6" t="inlineStr">
        <is>
          <t>未実施</t>
        </is>
      </c>
      <c r="O8" s="6" t="inlineStr"/>
      <c r="P8" s="6" t="inlineStr"/>
      <c r="Q8" s="7" t="inlineStr">
        <is>
          <t>既存テスト：実装時のテスト（NOUS-62）
複数の無効クラスを 1 件にまとめているため、detail は UT_OUT-002〜005 で 1 件ずつ確かめる</t>
        </is>
      </c>
    </row>
    <row r="9">
      <c r="A9" s="4" t="n">
        <v>5</v>
      </c>
      <c r="B9" s="4" t="inlineStr">
        <is>
          <t>TC-NOUS62_DEV-05</t>
        </is>
      </c>
      <c r="C9" s="5" t="inlineStr">
        <is>
          <t>parseOutput</t>
        </is>
      </c>
      <c r="D9" s="4" t="inlineStr">
        <is>
          <t>異常系</t>
        </is>
      </c>
      <c r="E9" s="4" t="inlineStr">
        <is>
          <t>開発者テスト</t>
        </is>
      </c>
      <c r="F9" s="5" t="inlineStr">
        <is>
          <t>InvalidFormatError の kind は invalid_format で、理由を detail に残す</t>
        </is>
      </c>
      <c r="G9" s="5" t="inlineStr">
        <is>
          <t>前提：なし
入力："JSON なし"</t>
        </is>
      </c>
      <c r="H9" s="5" t="inlineStr">
        <is>
          <t>kind=invalid_format、retryable=false、detail=no_json_object</t>
        </is>
      </c>
      <c r="I9" s="5" t="inlineStr">
        <is>
          <t>B2-T</t>
        </is>
      </c>
      <c r="J9" s="5" t="inlineStr">
        <is>
          <t>なし</t>
        </is>
      </c>
      <c r="K9" s="5" t="inlineStr"/>
      <c r="L9" s="5" t="inlineStr"/>
      <c r="M9" s="5" t="inlineStr">
        <is>
          <t>TC-NOUS62_DEV-05 InvalidFormatError の kind は invalid_format で、理由を detail に残す</t>
        </is>
      </c>
      <c r="N9" s="6" t="inlineStr">
        <is>
          <t>未実施</t>
        </is>
      </c>
      <c r="O9" s="6" t="inlineStr"/>
      <c r="P9" s="6" t="inlineStr"/>
      <c r="Q9" s="7" t="inlineStr">
        <is>
          <t>既存テスト：実装時のテスト（NOUS-62）</t>
        </is>
      </c>
    </row>
    <row r="10">
      <c r="A10" s="4" t="n">
        <v>6</v>
      </c>
      <c r="B10" s="4" t="inlineStr">
        <is>
          <t>TC-UT_OUT-001</t>
        </is>
      </c>
      <c r="C10" s="5" t="inlineStr">
        <is>
          <t>parseOutput</t>
        </is>
      </c>
      <c r="D10" s="4" t="inlineStr">
        <is>
          <t>正常系</t>
        </is>
      </c>
      <c r="E10" s="4" t="inlineStr">
        <is>
          <t>分岐網羅</t>
        </is>
      </c>
      <c r="F10" s="5" t="inlineStr">
        <is>
          <t>&lt;/think&gt; が 2 つあるときは、最後の &lt;/think&gt; の後ろだけを使う</t>
        </is>
      </c>
      <c r="G10" s="5" t="inlineStr">
        <is>
          <t>前提：なし
入力：&lt;think&gt;a&lt;/think&gt;{"action":"post",...}&lt;/think&gt;{"action":"none"}</t>
        </is>
      </c>
      <c r="H10" s="5" t="inlineStr">
        <is>
          <t>{ action: none, target: null, text: null }（最後の &lt;/think&gt; の後ろ）</t>
        </is>
      </c>
      <c r="I10" s="5" t="inlineStr">
        <is>
          <t>B1-T, B5-F</t>
        </is>
      </c>
      <c r="J10" s="5" t="inlineStr">
        <is>
          <t>なし</t>
        </is>
      </c>
      <c r="K10" s="5" t="inlineStr"/>
      <c r="L10" s="5" t="inlineStr"/>
      <c r="M10" s="5" t="inlineStr">
        <is>
          <t>TC-UT_OUT-001 &lt;/think&gt; が 2 つあるときは、最後の &lt;/think&gt; の後ろだけを使う</t>
        </is>
      </c>
      <c r="N10" s="6" t="inlineStr">
        <is>
          <t>未実施</t>
        </is>
      </c>
      <c r="O10" s="6" t="inlineStr"/>
      <c r="P10" s="6" t="inlineStr"/>
      <c r="Q10" s="7" t="inlineStr">
        <is>
          <t>既存テスト：一部 TC-NOUS62_DEV-02（&lt;/think&gt; が 1 つのときだけ）</t>
        </is>
      </c>
    </row>
    <row r="11">
      <c r="A11" s="4" t="n">
        <v>7</v>
      </c>
      <c r="B11" s="4" t="inlineStr">
        <is>
          <t>TC-UT_OUT-002</t>
        </is>
      </c>
      <c r="C11" s="5" t="inlineStr">
        <is>
          <t>parseOutput</t>
        </is>
      </c>
      <c r="D11" s="4" t="inlineStr">
        <is>
          <t>異常系</t>
        </is>
      </c>
      <c r="E11" s="4" t="inlineStr">
        <is>
          <t>分岐網羅</t>
        </is>
      </c>
      <c r="F11" s="5" t="inlineStr">
        <is>
          <t>&lt;/think&gt; の後ろに JSON がなければ、思考の中の JSON は使わず no_json_object</t>
        </is>
      </c>
      <c r="G11" s="5" t="inlineStr">
        <is>
          <t>前提：なし
入力：&lt;think&gt;{"action":"none"}&lt;/think&gt;今日はやめておきます</t>
        </is>
      </c>
      <c r="H11" s="5" t="inlineStr">
        <is>
          <t>InvalidFormatError、detail=no_json_object</t>
        </is>
      </c>
      <c r="I11" s="5" t="inlineStr">
        <is>
          <t>B1-T, B2-T</t>
        </is>
      </c>
      <c r="J11" s="5" t="inlineStr">
        <is>
          <t>なし</t>
        </is>
      </c>
      <c r="K11" s="5" t="inlineStr"/>
      <c r="L11" s="5" t="inlineStr"/>
      <c r="M11" s="5" t="inlineStr">
        <is>
          <t>TC-UT_OUT-002 &lt;/think&gt; の後ろに JSON がなければ、思考の中の JSON は使わず no_json_object</t>
        </is>
      </c>
      <c r="N11" s="6" t="inlineStr">
        <is>
          <t>未実施</t>
        </is>
      </c>
      <c r="O11" s="6" t="inlineStr"/>
      <c r="P11" s="6" t="inlineStr"/>
      <c r="Q11" s="7" t="inlineStr">
        <is>
          <t>既存テスト：なし（思考の中の JSON を使わないことは見ていない）</t>
        </is>
      </c>
    </row>
    <row r="12">
      <c r="A12" s="4" t="n">
        <v>8</v>
      </c>
      <c r="B12" s="4" t="inlineStr">
        <is>
          <t>TC-UT_OUT-003</t>
        </is>
      </c>
      <c r="C12" s="5" t="inlineStr">
        <is>
          <t>parseOutput</t>
        </is>
      </c>
      <c r="D12" s="4" t="inlineStr">
        <is>
          <t>異常系</t>
        </is>
      </c>
      <c r="E12" s="4" t="inlineStr">
        <is>
          <t>分岐網羅</t>
        </is>
      </c>
      <c r="F12" s="5" t="inlineStr">
        <is>
          <t>} が { より前にしかないときは no_json_object</t>
        </is>
      </c>
      <c r="G12" s="5" t="inlineStr">
        <is>
          <t>前提：なし
入力："} 投稿しません {"</t>
        </is>
      </c>
      <c r="H12" s="5" t="inlineStr">
        <is>
          <t>InvalidFormatError、detail=no_json_object</t>
        </is>
      </c>
      <c r="I12" s="5" t="inlineStr">
        <is>
          <t>B1-F, B2-F, B3-T</t>
        </is>
      </c>
      <c r="J12" s="5" t="inlineStr">
        <is>
          <t>なし</t>
        </is>
      </c>
      <c r="K12" s="5" t="inlineStr"/>
      <c r="L12" s="5" t="inlineStr"/>
      <c r="M12" s="5" t="inlineStr">
        <is>
          <t>TC-UT_OUT-003 } が { より前にしかないときは no_json_object</t>
        </is>
      </c>
      <c r="N12" s="6" t="inlineStr">
        <is>
          <t>未実施</t>
        </is>
      </c>
      <c r="O12" s="6" t="inlineStr"/>
      <c r="P12" s="6" t="inlineStr"/>
      <c r="Q12" s="7" t="inlineStr">
        <is>
          <t>既存テスト：なし（DEV は { がない場合だけ）</t>
        </is>
      </c>
    </row>
    <row r="13">
      <c r="A13" s="4" t="n">
        <v>9</v>
      </c>
      <c r="B13" s="4" t="inlineStr">
        <is>
          <t>TC-UT_OUT-004</t>
        </is>
      </c>
      <c r="C13" s="5" t="inlineStr">
        <is>
          <t>parseOutput</t>
        </is>
      </c>
      <c r="D13" s="4" t="inlineStr">
        <is>
          <t>異常系</t>
        </is>
      </c>
      <c r="E13" s="4" t="inlineStr">
        <is>
          <t>エラー処理</t>
        </is>
      </c>
      <c r="F13" s="5" t="inlineStr">
        <is>
          <t>JSON として読めなければ json_parse_error</t>
        </is>
      </c>
      <c r="G13" s="5" t="inlineStr">
        <is>
          <t>前提：なし
入力：{"action":"post",}</t>
        </is>
      </c>
      <c r="H13" s="5" t="inlineStr">
        <is>
          <t>InvalidFormatError、kind=invalid_format、detail=json_parse_error</t>
        </is>
      </c>
      <c r="I13" s="5" t="inlineStr">
        <is>
          <t>B3-F, B4-T</t>
        </is>
      </c>
      <c r="J13" s="5" t="inlineStr">
        <is>
          <t>なし</t>
        </is>
      </c>
      <c r="K13" s="5" t="inlineStr"/>
      <c r="L13" s="5" t="inlineStr"/>
      <c r="M13" s="5" t="inlineStr">
        <is>
          <t>TC-UT_OUT-004 JSON として読めなければ json_parse_error</t>
        </is>
      </c>
      <c r="N13" s="6" t="inlineStr">
        <is>
          <t>未実施</t>
        </is>
      </c>
      <c r="O13" s="6" t="inlineStr"/>
      <c r="P13" s="6" t="inlineStr"/>
      <c r="Q13" s="7" t="inlineStr">
        <is>
          <t>既存テスト：一部 TC-NOUS62_DEV-04（例外の型だけ）</t>
        </is>
      </c>
    </row>
    <row r="14">
      <c r="A14" s="4" t="n">
        <v>10</v>
      </c>
      <c r="B14" s="4" t="inlineStr">
        <is>
          <t>TC-UT_OUT-005</t>
        </is>
      </c>
      <c r="C14" s="5" t="inlineStr">
        <is>
          <t>parseOutput</t>
        </is>
      </c>
      <c r="D14" s="4" t="inlineStr">
        <is>
          <t>異常系</t>
        </is>
      </c>
      <c r="E14" s="4" t="inlineStr">
        <is>
          <t>エラー処理</t>
        </is>
      </c>
      <c r="F14" s="5" t="inlineStr">
        <is>
          <t>スキーマに合わなければ detail が schema: で始まり、項目の名前を含む</t>
        </is>
      </c>
      <c r="G14" s="5" t="inlineStr">
        <is>
          <t>前提：なし
入力：{"action":"share","target":null,"text":null}</t>
        </is>
      </c>
      <c r="H14" s="5" t="inlineStr">
        <is>
          <t>InvalidFormatError、detail が「schema: 」で始まり action を含む</t>
        </is>
      </c>
      <c r="I14" s="5" t="inlineStr">
        <is>
          <t>B4-F, B5-T</t>
        </is>
      </c>
      <c r="J14" s="5" t="inlineStr">
        <is>
          <t>なし</t>
        </is>
      </c>
      <c r="K14" s="5" t="inlineStr"/>
      <c r="L14" s="5" t="inlineStr"/>
      <c r="M14" s="5" t="inlineStr">
        <is>
          <t>TC-UT_OUT-005 スキーマに合わなければ detail が schema: で始まり、項目の名前を含む</t>
        </is>
      </c>
      <c r="N14" s="6" t="inlineStr">
        <is>
          <t>未実施</t>
        </is>
      </c>
      <c r="O14" s="6" t="inlineStr"/>
      <c r="P14" s="6" t="inlineStr"/>
      <c r="Q14" s="7" t="inlineStr">
        <is>
          <t>既存テスト：一部 TC-NOUS62_DEV-04（例外の型だけ）</t>
        </is>
      </c>
    </row>
    <row r="15">
      <c r="A15" s="4" t="n">
        <v>11</v>
      </c>
      <c r="B15" s="4" t="inlineStr">
        <is>
          <t>TC-UT_OUT-006</t>
        </is>
      </c>
      <c r="C15" s="5" t="inlineStr">
        <is>
          <t>parseOutput</t>
        </is>
      </c>
      <c r="D15" s="4" t="inlineStr">
        <is>
          <t>正常系</t>
        </is>
      </c>
      <c r="E15" s="4" t="inlineStr">
        <is>
          <t>境界値</t>
        </is>
      </c>
      <c r="F15" s="5" t="inlineStr">
        <is>
          <t>P 番号の桁の下限と上限は合格する</t>
        </is>
      </c>
      <c r="G15" s="5" t="inlineStr">
        <is>
          <t>前提：なし
入力：like の target = P1、P99</t>
        </is>
      </c>
      <c r="H15" s="5" t="inlineStr">
        <is>
          <t>そのまま取り出す</t>
        </is>
      </c>
      <c r="I15" s="5" t="inlineStr">
        <is>
          <t>B5-F</t>
        </is>
      </c>
      <c r="J15" s="5" t="inlineStr">
        <is>
          <t>なし</t>
        </is>
      </c>
      <c r="K15" s="5" t="inlineStr"/>
      <c r="L15" s="5" t="inlineStr"/>
      <c r="M15" s="5" t="inlineStr">
        <is>
          <t>TC-UT_OUT-006 P 番号の桁の下限と上限は合格する</t>
        </is>
      </c>
      <c r="N15" s="6" t="inlineStr">
        <is>
          <t>未実施</t>
        </is>
      </c>
      <c r="O15" s="6" t="inlineStr"/>
      <c r="P15" s="6" t="inlineStr"/>
      <c r="Q15" s="7" t="inlineStr">
        <is>
          <t>既存テスト：なし（DEV は P3・P1 と、不合格の P100 だけ）
it.each の 2 行を 1 件として数える</t>
        </is>
      </c>
    </row>
    <row r="16">
      <c r="A16" s="4" t="n">
        <v>12</v>
      </c>
      <c r="B16" s="4" t="inlineStr">
        <is>
          <t>TC-UT_OUT-007</t>
        </is>
      </c>
      <c r="C16" s="5" t="inlineStr">
        <is>
          <t>parseOutput</t>
        </is>
      </c>
      <c r="D16" s="4" t="inlineStr">
        <is>
          <t>正常系</t>
        </is>
      </c>
      <c r="E16" s="4" t="inlineStr">
        <is>
          <t>境界値</t>
        </is>
      </c>
      <c r="F16" s="5" t="inlineStr">
        <is>
          <t>ハンドルの 3 字と 20 字は合格する</t>
        </is>
      </c>
      <c r="G16" s="5" t="inlineStr">
        <is>
          <t>前提：なし
入力：follow の target = @abc、@ + a×20</t>
        </is>
      </c>
      <c r="H16" s="5" t="inlineStr">
        <is>
          <t>そのまま取り出す</t>
        </is>
      </c>
      <c r="I16" s="5" t="inlineStr">
        <is>
          <t>B5-F</t>
        </is>
      </c>
      <c r="J16" s="5" t="inlineStr">
        <is>
          <t>なし</t>
        </is>
      </c>
      <c r="K16" s="5" t="inlineStr"/>
      <c r="L16" s="5" t="inlineStr"/>
      <c r="M16" s="5" t="inlineStr">
        <is>
          <t>TC-UT_OUT-007 ハンドルの 3 字と 20 字は合格する</t>
        </is>
      </c>
      <c r="N16" s="6" t="inlineStr">
        <is>
          <t>未実施</t>
        </is>
      </c>
      <c r="O16" s="6" t="inlineStr"/>
      <c r="P16" s="6" t="inlineStr"/>
      <c r="Q16" s="7" t="inlineStr">
        <is>
          <t>既存テスト：なし（DEV は不合格の 2 字だけ）
it.each の 2 行を 1 件として数える</t>
        </is>
      </c>
    </row>
    <row r="17">
      <c r="A17" s="4" t="n">
        <v>13</v>
      </c>
      <c r="B17" s="4" t="inlineStr">
        <is>
          <t>TC-UT_OUT-008</t>
        </is>
      </c>
      <c r="C17" s="5" t="inlineStr">
        <is>
          <t>parseOutput</t>
        </is>
      </c>
      <c r="D17" s="4" t="inlineStr">
        <is>
          <t>異常系</t>
        </is>
      </c>
      <c r="E17" s="4" t="inlineStr">
        <is>
          <t>境界値</t>
        </is>
      </c>
      <c r="F17" s="5" t="inlineStr">
        <is>
          <t>ハンドルが 21 字なら InvalidFormatError</t>
        </is>
      </c>
      <c r="G17" s="5" t="inlineStr">
        <is>
          <t>前提：なし
入力：follow の target = @ + a×21</t>
        </is>
      </c>
      <c r="H17" s="5" t="inlineStr">
        <is>
          <t>InvalidFormatError（schema）</t>
        </is>
      </c>
      <c r="I17" s="5" t="inlineStr">
        <is>
          <t>B5-T</t>
        </is>
      </c>
      <c r="J17" s="5" t="inlineStr">
        <is>
          <t>なし</t>
        </is>
      </c>
      <c r="K17" s="5" t="inlineStr"/>
      <c r="L17" s="5" t="inlineStr"/>
      <c r="M17" s="5" t="inlineStr">
        <is>
          <t>TC-UT_OUT-008 ハンドルが 21 字なら InvalidFormatError</t>
        </is>
      </c>
      <c r="N17" s="6" t="inlineStr">
        <is>
          <t>未実施</t>
        </is>
      </c>
      <c r="O17" s="6" t="inlineStr"/>
      <c r="P17" s="6" t="inlineStr"/>
      <c r="Q17" s="7" t="inlineStr">
        <is>
          <t>既存テスト：なし</t>
        </is>
      </c>
    </row>
    <row r="18">
      <c r="A18" s="4" t="n">
        <v>14</v>
      </c>
      <c r="B18" s="4" t="inlineStr">
        <is>
          <t>TC-UT_OUT-009</t>
        </is>
      </c>
      <c r="C18" s="5" t="inlineStr">
        <is>
          <t>parseOutput</t>
        </is>
      </c>
      <c r="D18" s="4" t="inlineStr">
        <is>
          <t>異常系</t>
        </is>
      </c>
      <c r="E18" s="4" t="inlineStr">
        <is>
          <t>同値分割</t>
        </is>
      </c>
      <c r="F18" s="5" t="inlineStr">
        <is>
          <t>ハンドルに英数字と _ 以外の字があれば InvalidFormatError</t>
        </is>
      </c>
      <c r="G18" s="5" t="inlineStr">
        <is>
          <t>前提：なし
入力：unfollow の target = @ha-ru</t>
        </is>
      </c>
      <c r="H18" s="5" t="inlineStr">
        <is>
          <t>InvalidFormatError（schema）</t>
        </is>
      </c>
      <c r="I18" s="5" t="inlineStr">
        <is>
          <t>B5-T</t>
        </is>
      </c>
      <c r="J18" s="5" t="inlineStr">
        <is>
          <t>なし</t>
        </is>
      </c>
      <c r="K18" s="5" t="inlineStr"/>
      <c r="L18" s="5" t="inlineStr"/>
      <c r="M18" s="5" t="inlineStr">
        <is>
          <t>TC-UT_OUT-009 ハンドルに英数字と _ 以外の字があれば InvalidFormatError</t>
        </is>
      </c>
      <c r="N18" s="6" t="inlineStr">
        <is>
          <t>未実施</t>
        </is>
      </c>
      <c r="O18" s="6" t="inlineStr"/>
      <c r="P18" s="6" t="inlineStr"/>
      <c r="Q18" s="7" t="inlineStr">
        <is>
          <t>既存テスト：なし</t>
        </is>
      </c>
    </row>
    <row r="19">
      <c r="A19" s="4" t="n">
        <v>15</v>
      </c>
      <c r="B19" s="4" t="inlineStr">
        <is>
          <t>TC-UT_OUT-010</t>
        </is>
      </c>
      <c r="C19" s="5" t="inlineStr">
        <is>
          <t>parseOutput</t>
        </is>
      </c>
      <c r="D19" s="4" t="inlineStr">
        <is>
          <t>異常系</t>
        </is>
      </c>
      <c r="E19" s="4" t="inlineStr">
        <is>
          <t>境界値</t>
        </is>
      </c>
      <c r="F19" s="5" t="inlineStr">
        <is>
          <t>P 番号に数字がなければ InvalidFormatError</t>
        </is>
      </c>
      <c r="G19" s="5" t="inlineStr">
        <is>
          <t>前提：なし
入力：reply の target = P</t>
        </is>
      </c>
      <c r="H19" s="5" t="inlineStr">
        <is>
          <t>InvalidFormatError（schema）</t>
        </is>
      </c>
      <c r="I19" s="5" t="inlineStr">
        <is>
          <t>B5-T</t>
        </is>
      </c>
      <c r="J19" s="5" t="inlineStr">
        <is>
          <t>なし</t>
        </is>
      </c>
      <c r="K19" s="5" t="inlineStr"/>
      <c r="L19" s="5" t="inlineStr"/>
      <c r="M19" s="5" t="inlineStr">
        <is>
          <t>TC-UT_OUT-010 P 番号に数字がなければ InvalidFormatError</t>
        </is>
      </c>
      <c r="N19" s="6" t="inlineStr">
        <is>
          <t>未実施</t>
        </is>
      </c>
      <c r="O19" s="6" t="inlineStr"/>
      <c r="P19" s="6" t="inlineStr"/>
      <c r="Q19" s="7" t="inlineStr">
        <is>
          <t>既存テスト：なし（DEV は 3 桁と数字だけ）</t>
        </is>
      </c>
    </row>
    <row r="20">
      <c r="A20" s="4" t="n">
        <v>16</v>
      </c>
      <c r="B20" s="4" t="inlineStr">
        <is>
          <t>TC-UT_OUT-011</t>
        </is>
      </c>
      <c r="C20" s="5" t="inlineStr">
        <is>
          <t>parseOutput</t>
        </is>
      </c>
      <c r="D20" s="4" t="inlineStr">
        <is>
          <t>正常系</t>
        </is>
      </c>
      <c r="E20" s="4" t="inlineStr">
        <is>
          <t>同値分割</t>
        </is>
      </c>
      <c r="F20" s="5" t="inlineStr">
        <is>
          <t>表にない余分なキーは捨てて取り出す</t>
        </is>
      </c>
      <c r="G20" s="5" t="inlineStr">
        <is>
          <t>前提：なし
入力：like に "reason":"好きな話題" を足した JSON</t>
        </is>
      </c>
      <c r="H20" s="5" t="inlineStr">
        <is>
          <t>reason を捨てた { action: like, target: P2, text: null }</t>
        </is>
      </c>
      <c r="I20" s="5" t="inlineStr">
        <is>
          <t>B5-F</t>
        </is>
      </c>
      <c r="J20" s="5" t="inlineStr">
        <is>
          <t>なし</t>
        </is>
      </c>
      <c r="K20" s="5" t="inlineStr"/>
      <c r="L20" s="5" t="inlineStr"/>
      <c r="M20" s="5" t="inlineStr">
        <is>
          <t>TC-UT_OUT-011 表にない余分なキーは捨てて取り出す</t>
        </is>
      </c>
      <c r="N20" s="6" t="inlineStr">
        <is>
          <t>未実施</t>
        </is>
      </c>
      <c r="O20" s="6" t="inlineStr"/>
      <c r="P20" s="6" t="inlineStr"/>
      <c r="Q20" s="7" t="inlineStr">
        <is>
          <t>既存テスト：なし
設計書に記載なし。Zod の z.object の既定（余分なキーを捨てる）の値</t>
        </is>
      </c>
    </row>
    <row r="21">
      <c r="A21" s="4" t="n">
        <v>17</v>
      </c>
      <c r="B21" s="4" t="inlineStr">
        <is>
          <t>TC-UT_OUT-012</t>
        </is>
      </c>
      <c r="C21" s="5" t="inlineStr">
        <is>
          <t>parseOutput</t>
        </is>
      </c>
      <c r="D21" s="4" t="inlineStr">
        <is>
          <t>異常系</t>
        </is>
      </c>
      <c r="E21" s="4" t="inlineStr">
        <is>
          <t>同値分割</t>
        </is>
      </c>
      <c r="F21" s="5" t="inlineStr">
        <is>
          <t>action が大文字まじり（Post）なら InvalidFormatError</t>
        </is>
      </c>
      <c r="G21" s="5" t="inlineStr">
        <is>
          <t>前提：なし
入力：action = "Post"</t>
        </is>
      </c>
      <c r="H21" s="5" t="inlineStr">
        <is>
          <t>InvalidFormatError（schema）</t>
        </is>
      </c>
      <c r="I21" s="5" t="inlineStr">
        <is>
          <t>B5-T</t>
        </is>
      </c>
      <c r="J21" s="5" t="inlineStr">
        <is>
          <t>なし</t>
        </is>
      </c>
      <c r="K21" s="5" t="inlineStr"/>
      <c r="L21" s="5" t="inlineStr"/>
      <c r="M21" s="5" t="inlineStr">
        <is>
          <t>TC-UT_OUT-012 action が大文字まじり（Post）なら InvalidFormatError</t>
        </is>
      </c>
      <c r="N21" s="6" t="inlineStr">
        <is>
          <t>未実施</t>
        </is>
      </c>
      <c r="O21" s="6" t="inlineStr"/>
      <c r="P21" s="6" t="inlineStr"/>
      <c r="Q21" s="7" t="inlineStr">
        <is>
          <t>既存テスト：なし（DEV は未知の語 share だけ）</t>
        </is>
      </c>
    </row>
    <row r="22">
      <c r="A22" s="4" t="n">
        <v>18</v>
      </c>
      <c r="B22" s="4" t="inlineStr">
        <is>
          <t>TC-UT_OUT-013</t>
        </is>
      </c>
      <c r="C22" s="5" t="inlineStr">
        <is>
          <t>parseOutput</t>
        </is>
      </c>
      <c r="D22" s="4" t="inlineStr">
        <is>
          <t>異常系</t>
        </is>
      </c>
      <c r="E22" s="4" t="inlineStr">
        <is>
          <t>同値分割</t>
        </is>
      </c>
      <c r="F22" s="5" t="inlineStr">
        <is>
          <t>text が文字列でなく数値なら InvalidFormatError</t>
        </is>
      </c>
      <c r="G22" s="5" t="inlineStr">
        <is>
          <t>前提：なし
入力：post の text = 140（数値）</t>
        </is>
      </c>
      <c r="H22" s="5" t="inlineStr">
        <is>
          <t>InvalidFormatError（schema）</t>
        </is>
      </c>
      <c r="I22" s="5" t="inlineStr">
        <is>
          <t>B5-T</t>
        </is>
      </c>
      <c r="J22" s="5" t="inlineStr">
        <is>
          <t>なし</t>
        </is>
      </c>
      <c r="K22" s="5" t="inlineStr"/>
      <c r="L22" s="5" t="inlineStr"/>
      <c r="M22" s="5" t="inlineStr">
        <is>
          <t>TC-UT_OUT-013 text が文字列でなく数値なら InvalidFormatError</t>
        </is>
      </c>
      <c r="N22" s="6" t="inlineStr">
        <is>
          <t>未実施</t>
        </is>
      </c>
      <c r="O22" s="6" t="inlineStr"/>
      <c r="P22" s="6" t="inlineStr"/>
      <c r="Q22" s="7" t="inlineStr">
        <is>
          <t>既存テスト：なし</t>
        </is>
      </c>
    </row>
    <row r="23">
      <c r="A23" s="4" t="n">
        <v>19</v>
      </c>
      <c r="B23" s="4" t="inlineStr">
        <is>
          <t>TC-UT_OUT-014</t>
        </is>
      </c>
      <c r="C23" s="5" t="inlineStr">
        <is>
          <t>parseOutput</t>
        </is>
      </c>
      <c r="D23" s="4" t="inlineStr">
        <is>
          <t>異常系</t>
        </is>
      </c>
      <c r="E23" s="4" t="inlineStr">
        <is>
          <t>同値分割</t>
        </is>
      </c>
      <c r="F23" s="5" t="inlineStr">
        <is>
          <t>reply の target が null なら InvalidFormatError</t>
        </is>
      </c>
      <c r="G23" s="5" t="inlineStr">
        <is>
          <t>前提：なし
入力：reply の target = null</t>
        </is>
      </c>
      <c r="H23" s="5" t="inlineStr">
        <is>
          <t>InvalidFormatError（schema）</t>
        </is>
      </c>
      <c r="I23" s="5" t="inlineStr">
        <is>
          <t>B5-T</t>
        </is>
      </c>
      <c r="J23" s="5" t="inlineStr">
        <is>
          <t>なし</t>
        </is>
      </c>
      <c r="K23" s="5" t="inlineStr"/>
      <c r="L23" s="5" t="inlineStr"/>
      <c r="M23" s="5" t="inlineStr">
        <is>
          <t>TC-UT_OUT-014 reply の target が null なら InvalidFormatError</t>
        </is>
      </c>
      <c r="N23" s="6" t="inlineStr">
        <is>
          <t>未実施</t>
        </is>
      </c>
      <c r="O23" s="6" t="inlineStr"/>
      <c r="P23" s="6" t="inlineStr"/>
      <c r="Q23" s="7" t="inlineStr">
        <is>
          <t>既存テスト：なし</t>
        </is>
      </c>
    </row>
    <row r="24">
      <c r="A24" s="4" t="n">
        <v>20</v>
      </c>
      <c r="B24" s="4" t="inlineStr">
        <is>
          <t>TC-UT_OUT-015</t>
        </is>
      </c>
      <c r="C24" s="5" t="inlineStr">
        <is>
          <t>parseOutput</t>
        </is>
      </c>
      <c r="D24" s="4" t="inlineStr">
        <is>
          <t>正常系</t>
        </is>
      </c>
      <c r="E24" s="4" t="inlineStr">
        <is>
          <t>同値分割</t>
        </is>
      </c>
      <c r="F24" s="5" t="inlineStr">
        <is>
          <t>大文字の言語名（```JSON）と CRLF の囲みも外して取り出す</t>
        </is>
      </c>
      <c r="G24" s="5" t="inlineStr">
        <is>
          <t>前提：なし
入力：```JSON\r\n{...}\r\n```</t>
        </is>
      </c>
      <c r="H24" s="5" t="inlineStr">
        <is>
          <t>{ action: none, target: null, text: null }</t>
        </is>
      </c>
      <c r="I24" s="5" t="inlineStr">
        <is>
          <t>B1-F, B5-F</t>
        </is>
      </c>
      <c r="J24" s="5" t="inlineStr">
        <is>
          <t>なし</t>
        </is>
      </c>
      <c r="K24" s="5" t="inlineStr"/>
      <c r="L24" s="5" t="inlineStr"/>
      <c r="M24" s="5" t="inlineStr">
        <is>
          <t>TC-UT_OUT-015 大文字の言語名（```JSON）と CRLF の囲みも外して取り出す</t>
        </is>
      </c>
      <c r="N24" s="6" t="inlineStr">
        <is>
          <t>未実施</t>
        </is>
      </c>
      <c r="O24" s="6" t="inlineStr"/>
      <c r="P24" s="6" t="inlineStr"/>
      <c r="Q24" s="7" t="inlineStr">
        <is>
          <t>既存テスト：一部 TC-NOUS62_DEV-02（小文字と LF だけ）</t>
        </is>
      </c>
    </row>
    <row r="25">
      <c r="A25" s="4" t="n">
        <v>21</v>
      </c>
      <c r="B25" s="4" t="inlineStr">
        <is>
          <t>TC-UT_OUT-016</t>
        </is>
      </c>
      <c r="C25" s="5" t="inlineStr">
        <is>
          <t>parseOutput</t>
        </is>
      </c>
      <c r="D25" s="4" t="inlineStr">
        <is>
          <t>正常系</t>
        </is>
      </c>
      <c r="E25" s="4" t="inlineStr">
        <is>
          <t>境界値</t>
        </is>
      </c>
      <c r="F25" s="5" t="inlineStr">
        <is>
          <t>post の text が空文字でも形としては通す（空白の拒否は validateAction）</t>
        </is>
      </c>
      <c r="G25" s="5" t="inlineStr">
        <is>
          <t>前提：なし
入力：post の text = ""</t>
        </is>
      </c>
      <c r="H25" s="5" t="inlineStr">
        <is>
          <t>{ action: post, target: null, text: "" }（空白の拒否は validateAction で行う）</t>
        </is>
      </c>
      <c r="I25" s="5" t="inlineStr">
        <is>
          <t>B5-F</t>
        </is>
      </c>
      <c r="J25" s="5" t="inlineStr">
        <is>
          <t>なし</t>
        </is>
      </c>
      <c r="K25" s="5" t="inlineStr"/>
      <c r="L25" s="5" t="inlineStr"/>
      <c r="M25" s="5" t="inlineStr">
        <is>
          <t>TC-UT_OUT-016 post の text が空文字でも形としては通す（空白の拒否は validateAction）</t>
        </is>
      </c>
      <c r="N25" s="6" t="inlineStr">
        <is>
          <t>未実施</t>
        </is>
      </c>
      <c r="O25" s="6" t="inlineStr"/>
      <c r="P25" s="6" t="inlineStr"/>
      <c r="Q25" s="7" t="inlineStr">
        <is>
          <t>既存テスト：なし
確認事項 1 を参照</t>
        </is>
      </c>
    </row>
  </sheetData>
  <autoFilter ref="A4:Q25"/>
  <conditionalFormatting sqref="A5:Q75">
    <cfRule type="expression" priority="1" dxfId="0">
      <formula>$N5="NG"</formula>
    </cfRule>
    <cfRule type="expression" priority="2" dxfId="1">
      <formula>$N5="OK"</formula>
    </cfRule>
    <cfRule type="expression" priority="3" dxfId="2">
      <formula>$N5="保留"</formula>
    </cfRule>
  </conditionalFormatting>
  <dataValidations count="2">
    <dataValidation sqref="N5:N75" showDropDown="0" showInputMessage="0" showErrorMessage="0" allowBlank="1" type="list">
      <formula1>"未実施,OK,NG,保留,対象外"</formula1>
    </dataValidation>
    <dataValidation sqref="D5:D75" showDropDown="0" showInputMessage="0" showErrorMessage="0" allowBlank="1" type="list">
      <formula1>"正常系,異常系"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集計サマリ</t>
        </is>
      </c>
    </row>
    <row r="2">
      <c r="A2" s="2" t="inlineStr">
        <is>
          <t>観点表シートの内容から自動集計されます（手入力不要）。</t>
        </is>
      </c>
    </row>
    <row r="4">
      <c r="A4" s="8" t="inlineStr">
        <is>
          <t>ケース数</t>
        </is>
      </c>
      <c r="B4" s="9" t="n"/>
      <c r="C4" s="9" t="n"/>
    </row>
    <row r="5">
      <c r="A5" s="10" t="inlineStr">
        <is>
          <t>総ケース数</t>
        </is>
      </c>
      <c r="B5" s="10">
        <f>COUNTA(観点表!$B$5:$B$75)</f>
        <v/>
      </c>
    </row>
    <row r="6">
      <c r="A6" s="10" t="inlineStr">
        <is>
          <t>正常系</t>
        </is>
      </c>
      <c r="B6" s="10">
        <f>COUNTIF(観点表!$D$5:$D$75,"正常系")</f>
        <v/>
      </c>
    </row>
    <row r="7">
      <c r="A7" s="10" t="inlineStr">
        <is>
          <t>異常系</t>
        </is>
      </c>
      <c r="B7" s="10">
        <f>COUNTIF(観点表!$D$5:$D$75,"異常系")</f>
        <v/>
      </c>
    </row>
    <row r="9">
      <c r="A9" s="8" t="inlineStr">
        <is>
          <t>技法別</t>
        </is>
      </c>
      <c r="B9" s="9" t="n"/>
      <c r="C9" s="9" t="n"/>
    </row>
    <row r="10">
      <c r="A10" s="10" t="inlineStr">
        <is>
          <t>エラー処理</t>
        </is>
      </c>
      <c r="B10" s="10">
        <f>COUNTIF(観点表!$E$5:$E$75,"エラー処理")</f>
        <v/>
      </c>
    </row>
    <row r="11">
      <c r="A11" s="10" t="inlineStr">
        <is>
          <t>分岐網羅</t>
        </is>
      </c>
      <c r="B11" s="10">
        <f>COUNTIF(観点表!$E$5:$E$75,"分岐網羅")</f>
        <v/>
      </c>
    </row>
    <row r="12">
      <c r="A12" s="10" t="inlineStr">
        <is>
          <t>同値分割</t>
        </is>
      </c>
      <c r="B12" s="10">
        <f>COUNTIF(観点表!$E$5:$E$75,"同値分割")</f>
        <v/>
      </c>
    </row>
    <row r="13">
      <c r="A13" s="10" t="inlineStr">
        <is>
          <t>境界値</t>
        </is>
      </c>
      <c r="B13" s="10">
        <f>COUNTIF(観点表!$E$5:$E$75,"境界値")</f>
        <v/>
      </c>
    </row>
    <row r="14">
      <c r="A14" s="10" t="inlineStr">
        <is>
          <t>開発者テスト</t>
        </is>
      </c>
      <c r="B14" s="10">
        <f>COUNTIF(観点表!$E$5:$E$75,"開発者テスト")</f>
        <v/>
      </c>
    </row>
    <row r="16">
      <c r="A16" s="8" t="inlineStr">
        <is>
          <t>テストデータ</t>
        </is>
      </c>
      <c r="B16" s="9" t="n"/>
      <c r="C16" s="9" t="n"/>
    </row>
    <row r="17">
      <c r="A17" s="10" t="inlineStr">
        <is>
          <t>作成済み</t>
        </is>
      </c>
      <c r="B17" s="10">
        <f>COUNTIF(観点表!$K$5:$K$75,"?*")</f>
        <v/>
      </c>
    </row>
    <row r="18">
      <c r="A18" s="10" t="inlineStr">
        <is>
          <t>未作成</t>
        </is>
      </c>
      <c r="B18" s="10">
        <f>B5-B17</f>
        <v/>
      </c>
    </row>
    <row r="20">
      <c r="A20" s="8" t="inlineStr">
        <is>
          <t>実施状況</t>
        </is>
      </c>
      <c r="B20" s="9" t="n"/>
      <c r="C20" s="9" t="n"/>
    </row>
    <row r="21">
      <c r="A21" s="10" t="inlineStr">
        <is>
          <t>未実施</t>
        </is>
      </c>
      <c r="B21" s="10">
        <f>COUNTIF(観点表!$N$5:$N$75,"未実施")</f>
        <v/>
      </c>
    </row>
    <row r="22">
      <c r="A22" s="10" t="inlineStr">
        <is>
          <t>OK</t>
        </is>
      </c>
      <c r="B22" s="10">
        <f>COUNTIF(観点表!$N$5:$N$75,"OK")</f>
        <v/>
      </c>
    </row>
    <row r="23">
      <c r="A23" s="10" t="inlineStr">
        <is>
          <t>NG</t>
        </is>
      </c>
      <c r="B23" s="10">
        <f>COUNTIF(観点表!$N$5:$N$75,"NG")</f>
        <v/>
      </c>
    </row>
    <row r="24">
      <c r="A24" s="10" t="inlineStr">
        <is>
          <t>保留</t>
        </is>
      </c>
      <c r="B24" s="10">
        <f>COUNTIF(観点表!$N$5:$N$75,"保留")</f>
        <v/>
      </c>
    </row>
    <row r="25">
      <c r="A25" s="10" t="inlineStr">
        <is>
          <t>対象外</t>
        </is>
      </c>
      <c r="B25" s="10">
        <f>COUNTIF(観点表!$N$5:$N$75,"対象外")</f>
        <v/>
      </c>
    </row>
    <row r="26">
      <c r="A26" s="10" t="inlineStr">
        <is>
          <t>消化率（未実施以外 / 総数）</t>
        </is>
      </c>
      <c r="B26" s="11">
        <f>IF(B5=0,0,(B5-B21)/B5)</f>
        <v/>
      </c>
    </row>
    <row r="27">
      <c r="A27" s="10" t="inlineStr">
        <is>
          <t>合格率（OK / (総数-対象外)）</t>
        </is>
      </c>
      <c r="B27" s="11">
        <f>IF(B5-B25=0,0,B22/(B5-B25))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9" customWidth="1" min="3" max="3"/>
    <col width="22" customWidth="1" min="4" max="4"/>
    <col width="40" customWidth="1" min="5" max="5"/>
    <col width="30" customWidth="1" min="6" max="6"/>
  </cols>
  <sheetData>
    <row r="1">
      <c r="A1" s="1" t="inlineStr">
        <is>
          <t>テストデータ一覧</t>
        </is>
      </c>
    </row>
    <row r="2">
      <c r="A2" s="2" t="inlineStr">
        <is>
          <t>観点表の各ケースで使う具体値を項目単位に展開したもの（参照用。編集は観点表の「テストデータ（具体値）」列で行う）。</t>
        </is>
      </c>
    </row>
    <row r="4">
      <c r="A4" s="12" t="inlineStr">
        <is>
          <t>ID</t>
        </is>
      </c>
      <c r="B4" s="12" t="inlineStr">
        <is>
          <t>観点</t>
        </is>
      </c>
      <c r="C4" s="12" t="inlineStr">
        <is>
          <t>区分</t>
        </is>
      </c>
      <c r="D4" s="12" t="inlineStr">
        <is>
          <t>項目</t>
        </is>
      </c>
      <c r="E4" s="12" t="inlineStr">
        <is>
          <t>値</t>
        </is>
      </c>
      <c r="F4" s="12" t="inlineStr">
        <is>
          <t>データ参照</t>
        </is>
      </c>
    </row>
    <row r="5">
      <c r="A5" s="13" t="inlineStr">
        <is>
          <t>TC-NOUS62_DEV-01</t>
        </is>
      </c>
      <c r="B5" s="13" t="inlineStr">
        <is>
          <t>素の JSON を取り出す</t>
        </is>
      </c>
      <c r="C5" s="13" t="inlineStr">
        <is>
          <t>未作成</t>
        </is>
      </c>
      <c r="D5" s="13" t="inlineStr"/>
      <c r="E5" s="13" t="inlineStr"/>
      <c r="F5" s="13" t="inlineStr"/>
    </row>
    <row r="6">
      <c r="A6" s="13" t="inlineStr">
        <is>
          <t>TC-NOUS62_DEV-02</t>
        </is>
      </c>
      <c r="B6" s="13" t="inlineStr">
        <is>
          <t>各入力 も取り出す</t>
        </is>
      </c>
      <c r="C6" s="13" t="inlineStr">
        <is>
          <t>未作成</t>
        </is>
      </c>
      <c r="D6" s="13" t="inlineStr"/>
      <c r="E6" s="13" t="inlineStr"/>
      <c r="F6" s="13" t="inlineStr"/>
    </row>
    <row r="7">
      <c r="A7" s="13" t="inlineStr">
        <is>
          <t>TC-NOUS62_DEV-03</t>
        </is>
      </c>
      <c r="B7" s="13" t="inlineStr">
        <is>
          <t>null の項目が省略されていても null とみなす</t>
        </is>
      </c>
      <c r="C7" s="13" t="inlineStr">
        <is>
          <t>未作成</t>
        </is>
      </c>
      <c r="D7" s="13" t="inlineStr"/>
      <c r="E7" s="13" t="inlineStr"/>
      <c r="F7" s="13" t="inlineStr"/>
    </row>
    <row r="8">
      <c r="A8" s="13" t="inlineStr">
        <is>
          <t>TC-NOUS62_DEV-04</t>
        </is>
      </c>
      <c r="B8" s="13" t="inlineStr">
        <is>
          <t>各入力 は InvalidFormatError</t>
        </is>
      </c>
      <c r="C8" s="13" t="inlineStr">
        <is>
          <t>未作成</t>
        </is>
      </c>
      <c r="D8" s="13" t="inlineStr"/>
      <c r="E8" s="13" t="inlineStr"/>
      <c r="F8" s="13" t="inlineStr"/>
    </row>
    <row r="9">
      <c r="A9" s="13" t="inlineStr">
        <is>
          <t>TC-NOUS62_DEV-05</t>
        </is>
      </c>
      <c r="B9" s="13" t="inlineStr">
        <is>
          <t>InvalidFormatError の kind は invalid_format で、理由を detail に残す</t>
        </is>
      </c>
      <c r="C9" s="13" t="inlineStr">
        <is>
          <t>未作成</t>
        </is>
      </c>
      <c r="D9" s="13" t="inlineStr"/>
      <c r="E9" s="13" t="inlineStr"/>
      <c r="F9" s="13" t="inlineStr"/>
    </row>
    <row r="10">
      <c r="A10" s="13" t="inlineStr">
        <is>
          <t>TC-UT_OUT-001</t>
        </is>
      </c>
      <c r="B10" s="13" t="inlineStr">
        <is>
          <t>&lt;/think&gt; が 2 つあるときは、最後の &lt;/think&gt; の後ろだけを使う</t>
        </is>
      </c>
      <c r="C10" s="13" t="inlineStr">
        <is>
          <t>未作成</t>
        </is>
      </c>
      <c r="D10" s="13" t="inlineStr"/>
      <c r="E10" s="13" t="inlineStr"/>
      <c r="F10" s="13" t="inlineStr"/>
    </row>
    <row r="11">
      <c r="A11" s="13" t="inlineStr">
        <is>
          <t>TC-UT_OUT-002</t>
        </is>
      </c>
      <c r="B11" s="13" t="inlineStr">
        <is>
          <t>&lt;/think&gt; の後ろに JSON がなければ、思考の中の JSON は使わず no_json_object</t>
        </is>
      </c>
      <c r="C11" s="13" t="inlineStr">
        <is>
          <t>未作成</t>
        </is>
      </c>
      <c r="D11" s="13" t="inlineStr"/>
      <c r="E11" s="13" t="inlineStr"/>
      <c r="F11" s="13" t="inlineStr"/>
    </row>
    <row r="12">
      <c r="A12" s="13" t="inlineStr">
        <is>
          <t>TC-UT_OUT-003</t>
        </is>
      </c>
      <c r="B12" s="13" t="inlineStr">
        <is>
          <t>} が { より前にしかないときは no_json_object</t>
        </is>
      </c>
      <c r="C12" s="13" t="inlineStr">
        <is>
          <t>未作成</t>
        </is>
      </c>
      <c r="D12" s="13" t="inlineStr"/>
      <c r="E12" s="13" t="inlineStr"/>
      <c r="F12" s="13" t="inlineStr"/>
    </row>
    <row r="13">
      <c r="A13" s="13" t="inlineStr">
        <is>
          <t>TC-UT_OUT-004</t>
        </is>
      </c>
      <c r="B13" s="13" t="inlineStr">
        <is>
          <t>JSON として読めなければ json_parse_error</t>
        </is>
      </c>
      <c r="C13" s="13" t="inlineStr">
        <is>
          <t>未作成</t>
        </is>
      </c>
      <c r="D13" s="13" t="inlineStr"/>
      <c r="E13" s="13" t="inlineStr"/>
      <c r="F13" s="13" t="inlineStr"/>
    </row>
    <row r="14">
      <c r="A14" s="13" t="inlineStr">
        <is>
          <t>TC-UT_OUT-005</t>
        </is>
      </c>
      <c r="B14" s="13" t="inlineStr">
        <is>
          <t>スキーマに合わなければ detail が schema: で始まり、項目の名前を含む</t>
        </is>
      </c>
      <c r="C14" s="13" t="inlineStr">
        <is>
          <t>未作成</t>
        </is>
      </c>
      <c r="D14" s="13" t="inlineStr"/>
      <c r="E14" s="13" t="inlineStr"/>
      <c r="F14" s="13" t="inlineStr"/>
    </row>
    <row r="15">
      <c r="A15" s="13" t="inlineStr">
        <is>
          <t>TC-UT_OUT-006</t>
        </is>
      </c>
      <c r="B15" s="13" t="inlineStr">
        <is>
          <t>P 番号の桁の下限と上限は合格する</t>
        </is>
      </c>
      <c r="C15" s="13" t="inlineStr">
        <is>
          <t>未作成</t>
        </is>
      </c>
      <c r="D15" s="13" t="inlineStr"/>
      <c r="E15" s="13" t="inlineStr"/>
      <c r="F15" s="13" t="inlineStr"/>
    </row>
    <row r="16">
      <c r="A16" s="13" t="inlineStr">
        <is>
          <t>TC-UT_OUT-007</t>
        </is>
      </c>
      <c r="B16" s="13" t="inlineStr">
        <is>
          <t>ハンドルの 3 字と 20 字は合格する</t>
        </is>
      </c>
      <c r="C16" s="13" t="inlineStr">
        <is>
          <t>未作成</t>
        </is>
      </c>
      <c r="D16" s="13" t="inlineStr"/>
      <c r="E16" s="13" t="inlineStr"/>
      <c r="F16" s="13" t="inlineStr"/>
    </row>
    <row r="17">
      <c r="A17" s="13" t="inlineStr">
        <is>
          <t>TC-UT_OUT-008</t>
        </is>
      </c>
      <c r="B17" s="13" t="inlineStr">
        <is>
          <t>ハンドルが 21 字なら InvalidFormatError</t>
        </is>
      </c>
      <c r="C17" s="13" t="inlineStr">
        <is>
          <t>未作成</t>
        </is>
      </c>
      <c r="D17" s="13" t="inlineStr"/>
      <c r="E17" s="13" t="inlineStr"/>
      <c r="F17" s="13" t="inlineStr"/>
    </row>
    <row r="18">
      <c r="A18" s="13" t="inlineStr">
        <is>
          <t>TC-UT_OUT-009</t>
        </is>
      </c>
      <c r="B18" s="13" t="inlineStr">
        <is>
          <t>ハンドルに英数字と _ 以外の字があれば InvalidFormatError</t>
        </is>
      </c>
      <c r="C18" s="13" t="inlineStr">
        <is>
          <t>未作成</t>
        </is>
      </c>
      <c r="D18" s="13" t="inlineStr"/>
      <c r="E18" s="13" t="inlineStr"/>
      <c r="F18" s="13" t="inlineStr"/>
    </row>
    <row r="19">
      <c r="A19" s="13" t="inlineStr">
        <is>
          <t>TC-UT_OUT-010</t>
        </is>
      </c>
      <c r="B19" s="13" t="inlineStr">
        <is>
          <t>P 番号に数字がなければ InvalidFormatError</t>
        </is>
      </c>
      <c r="C19" s="13" t="inlineStr">
        <is>
          <t>未作成</t>
        </is>
      </c>
      <c r="D19" s="13" t="inlineStr"/>
      <c r="E19" s="13" t="inlineStr"/>
      <c r="F19" s="13" t="inlineStr"/>
    </row>
    <row r="20">
      <c r="A20" s="13" t="inlineStr">
        <is>
          <t>TC-UT_OUT-011</t>
        </is>
      </c>
      <c r="B20" s="13" t="inlineStr">
        <is>
          <t>表にない余分なキーは捨てて取り出す</t>
        </is>
      </c>
      <c r="C20" s="13" t="inlineStr">
        <is>
          <t>未作成</t>
        </is>
      </c>
      <c r="D20" s="13" t="inlineStr"/>
      <c r="E20" s="13" t="inlineStr"/>
      <c r="F20" s="13" t="inlineStr"/>
    </row>
    <row r="21">
      <c r="A21" s="13" t="inlineStr">
        <is>
          <t>TC-UT_OUT-012</t>
        </is>
      </c>
      <c r="B21" s="13" t="inlineStr">
        <is>
          <t>action が大文字まじり（Post）なら InvalidFormatError</t>
        </is>
      </c>
      <c r="C21" s="13" t="inlineStr">
        <is>
          <t>未作成</t>
        </is>
      </c>
      <c r="D21" s="13" t="inlineStr"/>
      <c r="E21" s="13" t="inlineStr"/>
      <c r="F21" s="13" t="inlineStr"/>
    </row>
    <row r="22">
      <c r="A22" s="13" t="inlineStr">
        <is>
          <t>TC-UT_OUT-013</t>
        </is>
      </c>
      <c r="B22" s="13" t="inlineStr">
        <is>
          <t>text が文字列でなく数値なら InvalidFormatError</t>
        </is>
      </c>
      <c r="C22" s="13" t="inlineStr">
        <is>
          <t>未作成</t>
        </is>
      </c>
      <c r="D22" s="13" t="inlineStr"/>
      <c r="E22" s="13" t="inlineStr"/>
      <c r="F22" s="13" t="inlineStr"/>
    </row>
    <row r="23">
      <c r="A23" s="13" t="inlineStr">
        <is>
          <t>TC-UT_OUT-014</t>
        </is>
      </c>
      <c r="B23" s="13" t="inlineStr">
        <is>
          <t>reply の target が null なら InvalidFormatError</t>
        </is>
      </c>
      <c r="C23" s="13" t="inlineStr">
        <is>
          <t>未作成</t>
        </is>
      </c>
      <c r="D23" s="13" t="inlineStr"/>
      <c r="E23" s="13" t="inlineStr"/>
      <c r="F23" s="13" t="inlineStr"/>
    </row>
    <row r="24">
      <c r="A24" s="13" t="inlineStr">
        <is>
          <t>TC-UT_OUT-015</t>
        </is>
      </c>
      <c r="B24" s="13" t="inlineStr">
        <is>
          <t>大文字の言語名（```JSON）と CRLF の囲みも外して取り出す</t>
        </is>
      </c>
      <c r="C24" s="13" t="inlineStr">
        <is>
          <t>未作成</t>
        </is>
      </c>
      <c r="D24" s="13" t="inlineStr"/>
      <c r="E24" s="13" t="inlineStr"/>
      <c r="F24" s="13" t="inlineStr"/>
    </row>
    <row r="25">
      <c r="A25" s="13" t="inlineStr">
        <is>
          <t>TC-UT_OUT-016</t>
        </is>
      </c>
      <c r="B25" s="13" t="inlineStr">
        <is>
          <t>post の text が空文字でも形としては通す（空白の拒否は validateAction）</t>
        </is>
      </c>
      <c r="C25" s="13" t="inlineStr">
        <is>
          <t>未作成</t>
        </is>
      </c>
      <c r="D25" s="13" t="inlineStr"/>
      <c r="E25" s="13" t="inlineStr"/>
      <c r="F25" s="13" t="inlineStr"/>
    </row>
  </sheetData>
  <autoFilter ref="A4:F25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30" customWidth="1" min="3" max="3"/>
  </cols>
  <sheetData>
    <row r="1">
      <c r="A1" s="1" t="inlineStr">
        <is>
          <t>対象概要</t>
        </is>
      </c>
    </row>
    <row r="3">
      <c r="A3" s="14" t="inlineStr">
        <is>
          <t>タイトル</t>
        </is>
      </c>
      <c r="B3" s="15" t="inlineStr">
        <is>
          <t>出力の取り出しと形の検証（generation/outputParser.ts）</t>
        </is>
      </c>
    </row>
    <row r="4">
      <c r="A4" s="14" t="inlineStr">
        <is>
          <t>対象ファイル</t>
        </is>
      </c>
      <c r="B4" s="15" t="inlineStr">
        <is>
          <t>apps/server/src/generation/outputParser.ts</t>
        </is>
      </c>
    </row>
    <row r="5">
      <c r="A5" s="14" t="inlineStr">
        <is>
          <t>言語 / フレームワーク</t>
        </is>
      </c>
      <c r="B5" s="15" t="inlineStr">
        <is>
          <t>TypeScript / Vitest 2.1.9（environment: node）</t>
        </is>
      </c>
    </row>
    <row r="6">
      <c r="A6" s="14" t="inlineStr">
        <is>
          <t>テストファイル</t>
        </is>
      </c>
      <c r="B6" s="15" t="inlineStr">
        <is>
          <t>apps/server/src/generation/outputParser.test.ts（実装時、NOUS-62）, apps/server/src/generation/outputParser.ut.test.ts（単体テストで追加）</t>
        </is>
      </c>
    </row>
    <row r="7">
      <c r="A7" s="14" t="inlineStr">
        <is>
          <t>外部依存</t>
        </is>
      </c>
      <c r="B7" s="15" t="inlineStr">
        <is>
          <t>なし（文字列と JSON と Zod だけを使う純粋関数）</t>
        </is>
      </c>
    </row>
    <row r="8">
      <c r="A8" s="14" t="inlineStr">
        <is>
          <t>作成日</t>
        </is>
      </c>
      <c r="B8" s="15" t="inlineStr">
        <is>
          <t>2026-10-23</t>
        </is>
      </c>
    </row>
    <row r="10">
      <c r="A10" s="16" t="inlineStr">
        <is>
          <t>分岐ID</t>
        </is>
      </c>
      <c r="B10" s="16" t="inlineStr">
        <is>
          <t>条件</t>
        </is>
      </c>
      <c r="C10" s="16" t="inlineStr">
        <is>
          <t>場所</t>
        </is>
      </c>
    </row>
    <row r="11">
      <c r="A11" s="17" t="inlineStr">
        <is>
          <t>B1</t>
        </is>
      </c>
      <c r="B11" s="17" t="inlineStr">
        <is>
          <t>thinkEnd &gt;= 0（&lt;/think&gt; がある）</t>
        </is>
      </c>
      <c r="C11" s="17" t="inlineStr">
        <is>
          <t>outputParser.ts:50</t>
        </is>
      </c>
    </row>
    <row r="12">
      <c r="A12" s="17" t="inlineStr">
        <is>
          <t>B2</t>
        </is>
      </c>
      <c r="B12" s="17" t="inlineStr">
        <is>
          <t>start &lt; 0（{ がない）</t>
        </is>
      </c>
      <c r="C12" s="17" t="inlineStr">
        <is>
          <t>outputParser.ts:56</t>
        </is>
      </c>
    </row>
    <row r="13">
      <c r="A13" s="17" t="inlineStr">
        <is>
          <t>B3</t>
        </is>
      </c>
      <c r="B13" s="17" t="inlineStr">
        <is>
          <t>end &lt; start（} が { より前にしかない）</t>
        </is>
      </c>
      <c r="C13" s="17" t="inlineStr">
        <is>
          <t>outputParser.ts:56</t>
        </is>
      </c>
    </row>
    <row r="14">
      <c r="A14" s="17" t="inlineStr">
        <is>
          <t>B4</t>
        </is>
      </c>
      <c r="B14" s="17" t="inlineStr">
        <is>
          <t>JSON.parse で例外</t>
        </is>
      </c>
      <c r="C14" s="17" t="inlineStr">
        <is>
          <t>outputParser.ts:60-64</t>
        </is>
      </c>
    </row>
    <row r="15">
      <c r="A15" s="17" t="inlineStr">
        <is>
          <t>B5</t>
        </is>
      </c>
      <c r="B15" s="17" t="inlineStr">
        <is>
          <t>!parsed.success（ActionSchema に合わない）</t>
        </is>
      </c>
      <c r="C15" s="17" t="inlineStr">
        <is>
          <t>outputParser.ts:67</t>
        </is>
      </c>
    </row>
    <row r="17">
      <c r="A17" s="14" t="inlineStr">
        <is>
          <t>確認事項・潜在バグ</t>
        </is>
      </c>
    </row>
    <row r="18" ht="30" customHeight="1">
      <c r="A18" s="18" t="inlineStr">
        <is>
          <t>・確認事項 1：6.1 は post・reply の text を「必須、1〜140 字」とするが、parseOutput は空文字や 141 字以上も通し、validateAction の truncateText で拒否・切り詰めを行う（実装のコメントのとおり）。結果の invalid_format は同じなので、設計書の 6.2 の手順 4 に「字数は 6.3 で見る」と書き足すことを提案する。</t>
        </is>
      </c>
    </row>
  </sheetData>
  <mergeCells count="1">
    <mergeCell ref="A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2026-10-23T07:23:33Z</dcterms:created>
  <dcterms:modified xsi:type="dcterms:W3CDTF">2026-10-23T07:23:33Z</dcterms:modified>
</cp:coreProperties>
</file>