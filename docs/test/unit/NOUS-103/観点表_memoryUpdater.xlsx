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'観点表'!$A$4:$Q$24</definedName>
    <definedName name="_xlnm.Print_Titles" localSheetId="0">'観点表'!$4:$4</definedName>
    <definedName name="_xlnm._FilterDatabase" localSheetId="2" hidden="1">'テストデータ'!$A$4:$F$24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記憶の更新（generation/memoryUpdater.ts）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TC-NOUS62_DEV-31</t>
        </is>
      </c>
      <c r="C5" s="5" t="inlineStr">
        <is>
          <t>updateMemories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recent_posts に最近の行動（新しい順）と投稿の本文が入る</t>
        </is>
      </c>
      <c r="G5" s="5" t="inlineStr">
        <is>
          <t>前提：haruka の投稿
入力：minato が post・like・follow・reply</t>
        </is>
      </c>
      <c r="H5" s="5" t="inlineStr">
        <is>
          <t>recent_posts が「最近の行動」4 行（新しい順）と「最近の投稿」2 行</t>
        </is>
      </c>
      <c r="I5" s="5" t="inlineStr">
        <is>
          <t>B1-F, B2-F, B2-T, B4-T, B5-T, B6-T, B9-F, B10-T</t>
        </is>
      </c>
      <c r="J5" s="5" t="inlineStr">
        <is>
          <t>一時 DB（createTestDb、マイグレーション済み）。generationSeed で世界・エージェント・生成イベントを入れる</t>
        </is>
      </c>
      <c r="K5" s="5" t="inlineStr"/>
      <c r="L5" s="5" t="inlineStr"/>
      <c r="M5" s="5" t="inlineStr">
        <is>
          <t>TC-NOUS62_DEV-31 recent_posts に最近の行動（新しい順）と投稿の本文が入る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既存テスト：実装時のテスト（NOUS-62）</t>
        </is>
      </c>
    </row>
    <row r="6">
      <c r="A6" s="4" t="n">
        <v>2</v>
      </c>
      <c r="B6" s="4" t="inlineStr">
        <is>
          <t>TC-NOUS62_DEV-32</t>
        </is>
      </c>
      <c r="C6" s="5" t="inlineStr">
        <is>
          <t>updateMemories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recent_posts は行動 5 件・本文 5 件・400 字まで</t>
        </is>
      </c>
      <c r="G6" s="5" t="inlineStr">
        <is>
          <t>前提：世界・minato
入力：minato が 100 字超の post を 8 回</t>
        </is>
      </c>
      <c r="H6" s="5" t="inlineStr">
        <is>
          <t>400 字以内、post の行は 5 行、最新の 7 番目が入り 2 番目は入らない</t>
        </is>
      </c>
      <c r="I6" s="5" t="inlineStr">
        <is>
          <t>B1-T, B3-F</t>
        </is>
      </c>
      <c r="J6" s="5" t="inlineStr">
        <is>
          <t>一時 DB（createTestDb、マイグレーション済み）。generationSeed で世界・エージェント・生成イベントを入れる</t>
        </is>
      </c>
      <c r="K6" s="5" t="inlineStr"/>
      <c r="L6" s="5" t="inlineStr"/>
      <c r="M6" s="5" t="inlineStr">
        <is>
          <t>TC-NOUS62_DEV-32 recent_posts は行動 5 件・本文 5 件・400 字まで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既存テスト：実装時のテスト（NOUS-62）</t>
        </is>
      </c>
    </row>
    <row r="7">
      <c r="A7" s="4" t="n">
        <v>3</v>
      </c>
      <c r="B7" s="4" t="inlineStr">
        <is>
          <t>TC-NOUS62_DEV-33</t>
        </is>
      </c>
      <c r="C7" s="5" t="inlineStr">
        <is>
          <t>updateMemories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relationship_summary は相手ごとの集計を多い順に並べる</t>
        </is>
      </c>
      <c r="G7" s="5" t="inlineStr">
        <is>
          <t>前提：haruka・zen・minato の投稿
入力：minato が follow・reply 2 回・like、haruka が minato に reply</t>
        </is>
      </c>
      <c r="H7" s="5" t="inlineStr">
        <is>
          <t>minato は「@haruka：フォロー中、返信 2 回、返信を受けた 1 回」「@zen：いいね 1 回」、haruka は「@minato：返信 1 回、返信を受けた 2 回」</t>
        </is>
      </c>
      <c r="I7" s="5" t="inlineStr">
        <is>
          <t>B7-F, B8-F, B9-F</t>
        </is>
      </c>
      <c r="J7" s="5" t="inlineStr">
        <is>
          <t>一時 DB（createTestDb、マイグレーション済み）。generationSeed で世界・エージェント・生成イベントを入れる</t>
        </is>
      </c>
      <c r="K7" s="5" t="inlineStr"/>
      <c r="L7" s="5" t="inlineStr"/>
      <c r="M7" s="5" t="inlineStr">
        <is>
          <t>TC-NOUS62_DEV-33 relationship_summary は相手ごとの集計を多い順に並べる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既存テスト：実装時のテスト（NOUS-62）</t>
        </is>
      </c>
    </row>
    <row r="8">
      <c r="A8" s="4" t="n">
        <v>4</v>
      </c>
      <c r="B8" s="4" t="inlineStr">
        <is>
          <t>TC-NOUS62_DEV-34</t>
        </is>
      </c>
      <c r="C8" s="5" t="inlineStr">
        <is>
          <t>updateMemories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conversation_summary は reply のときだけ作り、起点の先頭 40 字と最後の発言者</t>
        </is>
      </c>
      <c r="G8" s="5" t="inlineStr">
        <is>
          <t>前提：haruka の 45 字の投稿
入力：minato の post、reply、haruka の reply、minato の reply</t>
        </is>
      </c>
      <c r="H8" s="5" t="inlineStr">
        <is>
          <t>post では作らず、reply で「「起×40」最後の発言：@…」</t>
        </is>
      </c>
      <c r="I8" s="5" t="inlineStr">
        <is>
          <t>B3-F, B10-F, B10-T</t>
        </is>
      </c>
      <c r="J8" s="5" t="inlineStr">
        <is>
          <t>一時 DB（createTestDb、マイグレーション済み）。generationSeed で世界・エージェント・生成イベントを入れる</t>
        </is>
      </c>
      <c r="K8" s="5" t="inlineStr"/>
      <c r="L8" s="5" t="inlineStr"/>
      <c r="M8" s="5" t="inlineStr">
        <is>
          <t>TC-NOUS62_DEV-34 conversation_summary は reply のときだけ作り、起点の先頭 40 字と最後の発言者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既存テスト：実装時のテスト（NOUS-62）</t>
        </is>
      </c>
    </row>
    <row r="9">
      <c r="A9" s="4" t="n">
        <v>5</v>
      </c>
      <c r="B9" s="4" t="inlineStr">
        <is>
          <t>TC-NOUS62_DEV-35</t>
        </is>
      </c>
      <c r="C9" s="5" t="inlineStr">
        <is>
          <t>updateMemories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none では記憶を作らない、2 回目の更新は同じ行を上書きする</t>
        </is>
      </c>
      <c r="G9" s="5" t="inlineStr">
        <is>
          <t>前提：世界・minato
入力：none、post、post</t>
        </is>
      </c>
      <c r="H9" s="5" t="inlineStr">
        <is>
          <t>none では作らず、post の後は recent_posts・relationship_summary の 2 行だけで、上書きされる</t>
        </is>
      </c>
      <c r="I9" s="5" t="inlineStr">
        <is>
          <t>B9-T, B10-F</t>
        </is>
      </c>
      <c r="J9" s="5" t="inlineStr">
        <is>
          <t>一時 DB（createTestDb、マイグレーション済み）。generationSeed で世界・エージェント・生成イベントを入れる</t>
        </is>
      </c>
      <c r="K9" s="5" t="inlineStr"/>
      <c r="L9" s="5" t="inlineStr"/>
      <c r="M9" s="5" t="inlineStr">
        <is>
          <t>TC-NOUS62_DEV-35 none では記憶を作らない、2 回目の更新は同じ行を上書きする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既存テスト：実装時のテスト（NOUS-62）</t>
        </is>
      </c>
    </row>
    <row r="10">
      <c r="A10" s="4" t="n">
        <v>6</v>
      </c>
      <c r="B10" s="4" t="inlineStr">
        <is>
          <t>TC-NOUS62_DEV-36</t>
        </is>
      </c>
      <c r="C10" s="5" t="inlineStr">
        <is>
          <t>clip</t>
        </is>
      </c>
      <c r="D10" s="4" t="inlineStr">
        <is>
          <t>正常系</t>
        </is>
      </c>
      <c r="E10" s="4" t="inlineStr">
        <is>
          <t>開発者テスト</t>
        </is>
      </c>
      <c r="F10" s="5" t="inlineStr">
        <is>
          <t>clip はコードポイントで切る</t>
        </is>
      </c>
      <c r="G10" s="5" t="inlineStr">
        <is>
          <t>前提：なし
入力：clip(😀×3, 2)、clip(abc, 5)</t>
        </is>
      </c>
      <c r="H10" s="5" t="inlineStr">
        <is>
          <t>😀×2、abc</t>
        </is>
      </c>
      <c r="I10" s="5" t="inlineStr">
        <is>
          <t>B3-T, B3-F</t>
        </is>
      </c>
      <c r="J10" s="5" t="inlineStr">
        <is>
          <t>なし</t>
        </is>
      </c>
      <c r="K10" s="5" t="inlineStr"/>
      <c r="L10" s="5" t="inlineStr"/>
      <c r="M10" s="5" t="inlineStr">
        <is>
          <t>TC-NOUS62_DEV-36 clip はコードポイントで切る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既存テスト：実装時のテスト（NOUS-62）</t>
        </is>
      </c>
    </row>
    <row r="11">
      <c r="A11" s="4" t="n">
        <v>7</v>
      </c>
      <c r="B11" s="4" t="inlineStr">
        <is>
          <t>TC-UT_MEM-001</t>
        </is>
      </c>
      <c r="C11" s="5" t="inlineStr">
        <is>
          <t>updateMemories</t>
        </is>
      </c>
      <c r="D11" s="4" t="inlineStr">
        <is>
          <t>正常系</t>
        </is>
      </c>
      <c r="E11" s="4" t="inlineStr">
        <is>
          <t>同値分割</t>
        </is>
      </c>
      <c r="F11" s="5" t="inlineStr">
        <is>
          <t>非表示にした自分の投稿は、recent_posts の行動にも本文にも入れない</t>
        </is>
      </c>
      <c r="G11" s="5" t="inlineStr">
        <is>
          <t>前提：minato の投稿を非表示にする
入力：minato が post「公開の投稿」</t>
        </is>
      </c>
      <c r="H11" s="5" t="inlineStr">
        <is>
          <t>recent_posts に「公開の投稿」は入り、「非表示にされる投稿」は入らない</t>
        </is>
      </c>
      <c r="I11" s="5" t="inlineStr">
        <is>
          <t>B4-T, B5-F, B6-F</t>
        </is>
      </c>
      <c r="J11" s="5" t="inlineStr">
        <is>
          <t>一時 DB（createTestDb、マイグレーション済み）。generationSeed で世界・エージェント・生成イベントを入れる</t>
        </is>
      </c>
      <c r="K11" s="5" t="inlineStr"/>
      <c r="L11" s="5" t="inlineStr"/>
      <c r="M11" s="5" t="inlineStr">
        <is>
          <t>TC-UT_MEM-001 非表示にした自分の投稿は、recent_posts の行動にも本文にも入れない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既存テスト：なし
設計書に記載なし。NOUS-62 の実装のコメント（非表示の投稿を記憶に入れない）による</t>
        </is>
      </c>
    </row>
    <row r="12">
      <c r="A12" s="4" t="n">
        <v>8</v>
      </c>
      <c r="B12" s="4" t="inlineStr">
        <is>
          <t>TC-UT_MEM-002</t>
        </is>
      </c>
      <c r="C12" s="5" t="inlineStr">
        <is>
          <t>updateMemories</t>
        </is>
      </c>
      <c r="D12" s="4" t="inlineStr">
        <is>
          <t>正常系</t>
        </is>
      </c>
      <c r="E12" s="4" t="inlineStr">
        <is>
          <t>分岐網羅</t>
        </is>
      </c>
      <c r="F12" s="5" t="inlineStr">
        <is>
          <t>unfollow は「- unfollow：@相手」として、follow より新しい行に入る</t>
        </is>
      </c>
      <c r="G12" s="5" t="inlineStr">
        <is>
          <t>前提：minato が haruka を follow
入力：minato が haruka を unfollow</t>
        </is>
      </c>
      <c r="H12" s="5" t="inlineStr">
        <is>
          <t>recent_posts = 最近の行動：／- unfollow：@haruka／- follow：@haruka／最近の投稿：</t>
        </is>
      </c>
      <c r="I12" s="5" t="inlineStr">
        <is>
          <t>B6-T, B4-F, B5-F</t>
        </is>
      </c>
      <c r="J12" s="5" t="inlineStr">
        <is>
          <t>一時 DB（createTestDb、マイグレーション済み）。generationSeed で世界・エージェント・生成イベントを入れる</t>
        </is>
      </c>
      <c r="K12" s="5" t="inlineStr"/>
      <c r="L12" s="5" t="inlineStr"/>
      <c r="M12" s="5" t="inlineStr">
        <is>
          <t>TC-UT_MEM-002 unfollow は「- unfollow：@相手」として、follow より新しい行に入る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既存テスト：なし（DEV に unfollow の行はない）</t>
        </is>
      </c>
    </row>
    <row r="13">
      <c r="A13" s="4" t="n">
        <v>9</v>
      </c>
      <c r="B13" s="4" t="inlineStr">
        <is>
          <t>TC-UT_MEM-003</t>
        </is>
      </c>
      <c r="C13" s="5" t="inlineStr">
        <is>
          <t>updateMemories</t>
        </is>
      </c>
      <c r="D13" s="4" t="inlineStr">
        <is>
          <t>正常系</t>
        </is>
      </c>
      <c r="E13" s="4" t="inlineStr">
        <is>
          <t>同値分割</t>
        </is>
      </c>
      <c r="F13" s="5" t="inlineStr">
        <is>
          <t>本文の改行と続く空白は、空白 1 つにまとめて 1 行にする</t>
        </is>
      </c>
      <c r="G13" s="5" t="inlineStr">
        <is>
          <t>前提：世界・minato
入力：post「一行目\n\n二行目　 三行目」</t>
        </is>
      </c>
      <c r="H13" s="5" t="inlineStr">
        <is>
          <t>行動の行も本文の行も「一行目 二行目 三行目」（改行・全角を含む空白の続きを 1 つに）</t>
        </is>
      </c>
      <c r="I13" s="5" t="inlineStr">
        <is>
          <t>B4-T, B5-F, B6-F</t>
        </is>
      </c>
      <c r="J13" s="5" t="inlineStr">
        <is>
          <t>一時 DB（createTestDb、マイグレーション済み）。generationSeed で世界・エージェント・生成イベントを入れる</t>
        </is>
      </c>
      <c r="K13" s="5" t="inlineStr"/>
      <c r="L13" s="5" t="inlineStr"/>
      <c r="M13" s="5" t="inlineStr">
        <is>
          <t>TC-UT_MEM-003 本文の改行と続く空白は、空白 1 つにまとめて 1 行にする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既存テスト：なし</t>
        </is>
      </c>
    </row>
    <row r="14">
      <c r="A14" s="4" t="n">
        <v>10</v>
      </c>
      <c r="B14" s="4" t="inlineStr">
        <is>
          <t>TC-UT_MEM-004</t>
        </is>
      </c>
      <c r="C14" s="5" t="inlineStr">
        <is>
          <t>updateMemories</t>
        </is>
      </c>
      <c r="D14" s="4" t="inlineStr">
        <is>
          <t>正常系</t>
        </is>
      </c>
      <c r="E14" s="4" t="inlineStr">
        <is>
          <t>境界値</t>
        </is>
      </c>
      <c r="F14" s="5" t="inlineStr">
        <is>
          <t>行動の行は本文の先頭 30 字で切り、最近の投稿の行は本文をすべて入れる</t>
        </is>
      </c>
      <c r="G14" s="5" t="inlineStr">
        <is>
          <t>前提：世界・minato
入力：post あ×30い×5（35 字）</t>
        </is>
      </c>
      <c r="H14" s="5" t="inlineStr">
        <is>
          <t>行動の行は「- post：あ×30」、最近の投稿の行は本文 35 字すべて</t>
        </is>
      </c>
      <c r="I14" s="5" t="inlineStr">
        <is>
          <t>B3-F, B4-T, B5-F, B6-F</t>
        </is>
      </c>
      <c r="J14" s="5" t="inlineStr">
        <is>
          <t>一時 DB（createTestDb、マイグレーション済み）。generationSeed で世界・エージェント・生成イベントを入れる</t>
        </is>
      </c>
      <c r="K14" s="5" t="inlineStr"/>
      <c r="L14" s="5" t="inlineStr"/>
      <c r="M14" s="5" t="inlineStr">
        <is>
          <t>TC-UT_MEM-004 行動の行は本文の先頭 30 字で切り、最近の投稿の行は本文をすべて入れる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既存テスト：一部 TC-NOUS62_DEV-32（行の数だけ）</t>
        </is>
      </c>
    </row>
    <row r="15">
      <c r="A15" s="4" t="n">
        <v>11</v>
      </c>
      <c r="B15" s="4" t="inlineStr">
        <is>
          <t>TC-UT_MEM-005</t>
        </is>
      </c>
      <c r="C15" s="5" t="inlineStr">
        <is>
          <t>updateMemories</t>
        </is>
      </c>
      <c r="D15" s="4" t="inlineStr">
        <is>
          <t>正常系</t>
        </is>
      </c>
      <c r="E15" s="4" t="inlineStr">
        <is>
          <t>境界値</t>
        </is>
      </c>
      <c r="F15" s="5" t="inlineStr">
        <is>
          <t>入りきらない行は途中で切らずに捨てる（残る行はどれも本文の全体）</t>
        </is>
      </c>
      <c r="G15" s="5" t="inlineStr">
        <is>
          <t>前提：世界・minato
入力：124 字の post を 5 回</t>
        </is>
      </c>
      <c r="H15" s="5" t="inlineStr">
        <is>
          <t>「最近の投稿：」の後の行は 1 行以上あり、どれも本文の全体（途中で切った行がない）</t>
        </is>
      </c>
      <c r="I15" s="5" t="inlineStr">
        <is>
          <t>B1-T, B2-T</t>
        </is>
      </c>
      <c r="J15" s="5" t="inlineStr">
        <is>
          <t>一時 DB（createTestDb、マイグレーション済み）。generationSeed で世界・エージェント・生成イベントを入れる</t>
        </is>
      </c>
      <c r="K15" s="5" t="inlineStr"/>
      <c r="L15" s="5" t="inlineStr"/>
      <c r="M15" s="5" t="inlineStr">
        <is>
          <t>TC-UT_MEM-005 入りきらない行は途中で切らずに捨てる（残る行はどれも本文の全体）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既存テスト：一部 TC-NOUS62_DEV-32（400 字以内だけ）</t>
        </is>
      </c>
    </row>
    <row r="16">
      <c r="A16" s="4" t="n">
        <v>12</v>
      </c>
      <c r="B16" s="4" t="inlineStr">
        <is>
          <t>TC-UT_MEM-006</t>
        </is>
      </c>
      <c r="C16" s="5" t="inlineStr">
        <is>
          <t>updateMemories</t>
        </is>
      </c>
      <c r="D16" s="4" t="inlineStr">
        <is>
          <t>正常系</t>
        </is>
      </c>
      <c r="E16" s="4" t="inlineStr">
        <is>
          <t>分岐網羅</t>
        </is>
      </c>
      <c r="F16" s="5" t="inlineStr">
        <is>
          <t>relationship_summary は回数が同じならフォロー中を先に、次にハンドルの順に並べる</t>
        </is>
      </c>
      <c r="G16" s="5" t="inlineStr">
        <is>
          <t>前提：haruka・zen・aki の投稿、minato は zen をフォロー中
入力：minato が 3 体の投稿にいいね 1 回ずつ</t>
        </is>
      </c>
      <c r="H16" s="5" t="inlineStr">
        <is>
          <t>@zen：フォロー中、いいね 1 回／@aki：いいね 1 回／@haruka：いいね 1 回</t>
        </is>
      </c>
      <c r="I16" s="5" t="inlineStr">
        <is>
          <t>B7-T, B8-T</t>
        </is>
      </c>
      <c r="J16" s="5" t="inlineStr">
        <is>
          <t>一時 DB（createTestDb、マイグレーション済み）。generationSeed で世界・エージェント・生成イベントを入れる</t>
        </is>
      </c>
      <c r="K16" s="5" t="inlineStr"/>
      <c r="L16" s="5" t="inlineStr"/>
      <c r="M16" s="5" t="inlineStr">
        <is>
          <t>TC-UT_MEM-006 relationship_summary は回数が同じならフォロー中を先に、次にハンドルの順に並べる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既存テスト：なし（DEV は回数の違う 2 体だけ）
同数のときの並びは設計書に記載なし（「回数の多い順」だけ）。実装の値</t>
        </is>
      </c>
    </row>
    <row r="17">
      <c r="A17" s="4" t="n">
        <v>13</v>
      </c>
      <c r="B17" s="4" t="inlineStr">
        <is>
          <t>TC-UT_MEM-007</t>
        </is>
      </c>
      <c r="C17" s="5" t="inlineStr">
        <is>
          <t>updateMemories</t>
        </is>
      </c>
      <c r="D17" s="4" t="inlineStr">
        <is>
          <t>正常系</t>
        </is>
      </c>
      <c r="E17" s="4" t="inlineStr">
        <is>
          <t>境界値</t>
        </is>
      </c>
      <c r="F17" s="5" t="inlineStr">
        <is>
          <t>relationship_summary は 6 体以上の相手がいても 5 体までにする</t>
        </is>
      </c>
      <c r="G17" s="5" t="inlineStr">
        <is>
          <t>前提：aaa〜fff の 6 体の投稿
入力：minato が 6 体の投稿にいいね 1 回ずつ</t>
        </is>
      </c>
      <c r="H17" s="5" t="inlineStr">
        <is>
          <t>@aaa〜@eee の 5 行（fff は入らない）</t>
        </is>
      </c>
      <c r="I17" s="5" t="inlineStr">
        <is>
          <t>B8-T</t>
        </is>
      </c>
      <c r="J17" s="5" t="inlineStr">
        <is>
          <t>一時 DB（createTestDb、マイグレーション済み）。generationSeed で世界・エージェント・生成イベントを入れる</t>
        </is>
      </c>
      <c r="K17" s="5" t="inlineStr"/>
      <c r="L17" s="5" t="inlineStr"/>
      <c r="M17" s="5" t="inlineStr">
        <is>
          <t>TC-UT_MEM-007 relationship_summary は 6 体以上の相手がいても 5 体までにする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既存テスト：なし</t>
        </is>
      </c>
    </row>
    <row r="18">
      <c r="A18" s="4" t="n">
        <v>14</v>
      </c>
      <c r="B18" s="4" t="inlineStr">
        <is>
          <t>TC-UT_MEM-008</t>
        </is>
      </c>
      <c r="C18" s="5" t="inlineStr">
        <is>
          <t>updateMemories</t>
        </is>
      </c>
      <c r="D18" s="4" t="inlineStr">
        <is>
          <t>正常系</t>
        </is>
      </c>
      <c r="E18" s="4" t="inlineStr">
        <is>
          <t>同値分割</t>
        </is>
      </c>
      <c r="F18" s="5" t="inlineStr">
        <is>
          <t>自分の投稿への自分の返信は、相手ごとの集計に数えない</t>
        </is>
      </c>
      <c r="G18" s="5" t="inlineStr">
        <is>
          <t>前提：minato の投稿
入力：minato が自分の投稿に返信</t>
        </is>
      </c>
      <c r="H18" s="5" t="inlineStr">
        <is>
          <t>relationship_summary は空文字</t>
        </is>
      </c>
      <c r="I18" s="5" t="inlineStr">
        <is>
          <t>B10-T</t>
        </is>
      </c>
      <c r="J18" s="5" t="inlineStr">
        <is>
          <t>一時 DB（createTestDb、マイグレーション済み）。generationSeed で世界・エージェント・生成イベントを入れる</t>
        </is>
      </c>
      <c r="K18" s="5" t="inlineStr"/>
      <c r="L18" s="5" t="inlineStr"/>
      <c r="M18" s="5" t="inlineStr">
        <is>
          <t>TC-UT_MEM-008 自分の投稿への自分の返信は、相手ごとの集計に数えない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既存テスト：なし</t>
        </is>
      </c>
    </row>
    <row r="19">
      <c r="A19" s="4" t="n">
        <v>15</v>
      </c>
      <c r="B19" s="4" t="inlineStr">
        <is>
          <t>TC-UT_MEM-009</t>
        </is>
      </c>
      <c r="C19" s="5" t="inlineStr">
        <is>
          <t>updateMemories</t>
        </is>
      </c>
      <c r="D19" s="4" t="inlineStr">
        <is>
          <t>正常系</t>
        </is>
      </c>
      <c r="E19" s="4" t="inlineStr">
        <is>
          <t>境界値</t>
        </is>
      </c>
      <c r="F19" s="5" t="inlineStr">
        <is>
          <t>conversation_summary は 4 つ以上のスレッドに加わっていても、新しい 3 つまで</t>
        </is>
      </c>
      <c r="G19" s="5" t="inlineStr">
        <is>
          <t>前提：haruka の起点 4 つ
入力：minato が 4 つに順に返信</t>
        </is>
      </c>
      <c r="H19" s="5" t="inlineStr">
        <is>
          <t>conversation_summary は四つ目・三つ目・二つ目の 3 行</t>
        </is>
      </c>
      <c r="I19" s="5" t="inlineStr">
        <is>
          <t>B2-T, B10-T</t>
        </is>
      </c>
      <c r="J19" s="5" t="inlineStr">
        <is>
          <t>一時 DB（createTestDb、マイグレーション済み）。generationSeed で世界・エージェント・生成イベントを入れる</t>
        </is>
      </c>
      <c r="K19" s="5" t="inlineStr"/>
      <c r="L19" s="5" t="inlineStr"/>
      <c r="M19" s="5" t="inlineStr">
        <is>
          <t>TC-UT_MEM-009 conversation_summary は 4 つ以上のスレッドに加わっていても、新しい 3 つまで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既存テスト：なし（DEV は 1 スレッドだけ）</t>
        </is>
      </c>
    </row>
    <row r="20">
      <c r="A20" s="4" t="n">
        <v>16</v>
      </c>
      <c r="B20" s="4" t="inlineStr">
        <is>
          <t>TC-UT_MEM-010</t>
        </is>
      </c>
      <c r="C20" s="5" t="inlineStr">
        <is>
          <t>updateMemories</t>
        </is>
      </c>
      <c r="D20" s="4" t="inlineStr">
        <is>
          <t>正常系</t>
        </is>
      </c>
      <c r="E20" s="4" t="inlineStr">
        <is>
          <t>同値分割</t>
        </is>
      </c>
      <c r="F20" s="5" t="inlineStr">
        <is>
          <t>自分が加わっていない、他の住人どうしのスレッドは conversation_summary に入れない</t>
        </is>
      </c>
      <c r="G20" s="5" t="inlineStr">
        <is>
          <t>前提：haruka の起点に zen が返信したスレッド、haruka の別の起点
入力：minato が別の起点に返信</t>
        </is>
      </c>
      <c r="H20" s="5" t="inlineStr">
        <is>
          <t>conversation_summary は minato が加わったスレッドの 1 行だけ</t>
        </is>
      </c>
      <c r="I20" s="5" t="inlineStr">
        <is>
          <t>B10-T</t>
        </is>
      </c>
      <c r="J20" s="5" t="inlineStr">
        <is>
          <t>一時 DB（createTestDb、マイグレーション済み）。generationSeed で世界・エージェント・生成イベントを入れる</t>
        </is>
      </c>
      <c r="K20" s="5" t="inlineStr"/>
      <c r="L20" s="5" t="inlineStr"/>
      <c r="M20" s="5" t="inlineStr">
        <is>
          <t>TC-UT_MEM-010 自分が加わっていない、他の住人どうしのスレッドは conversation_summary に入れない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既存テスト：なし</t>
        </is>
      </c>
    </row>
    <row r="21">
      <c r="A21" s="4" t="n">
        <v>17</v>
      </c>
      <c r="B21" s="4" t="inlineStr">
        <is>
          <t>TC-UT_MEM-011</t>
        </is>
      </c>
      <c r="C21" s="5" t="inlineStr">
        <is>
          <t>updateMemories</t>
        </is>
      </c>
      <c r="D21" s="4" t="inlineStr">
        <is>
          <t>正常系</t>
        </is>
      </c>
      <c r="E21" s="4" t="inlineStr">
        <is>
          <t>同値分割</t>
        </is>
      </c>
      <c r="F21" s="5" t="inlineStr">
        <is>
          <t>起点が非表示にされたスレッドでは、非表示の起点の本文を conversation_summary に入れない</t>
        </is>
      </c>
      <c r="G21" s="5" t="inlineStr">
        <is>
          <t>前提：haruka の起点に zen が返信し、起点を非表示にする
入力：minato が zen の返信に返信</t>
        </is>
      </c>
      <c r="H21" s="5" t="inlineStr">
        <is>
          <t>conversation_summary に、非表示の起点の本文が入らない</t>
        </is>
      </c>
      <c r="I21" s="5" t="inlineStr">
        <is>
          <t>B10-T</t>
        </is>
      </c>
      <c r="J21" s="5" t="inlineStr">
        <is>
          <t>一時 DB（createTestDb、マイグレーション済み）。generationSeed で世界・エージェント・生成イベントを入れる</t>
        </is>
      </c>
      <c r="K21" s="5" t="inlineStr"/>
      <c r="L21" s="5" t="inlineStr"/>
      <c r="M21" s="5" t="inlineStr">
        <is>
          <t>TC-UT_MEM-011 起点が非表示にされたスレッドでは、非表示の起点の本文を conversation_summary に入れない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既存テスト：なし
疑い：疑い 1：起点が非表示でも、公開の返信が 2 件あるスレッドは選ばれ、起点の本文（r.body）が visibility を見ずに入る
設計書に記載なし。NOUS-62 の実装のコメント（非表示の投稿を記憶に入れない）による</t>
        </is>
      </c>
    </row>
    <row r="22">
      <c r="A22" s="4" t="n">
        <v>18</v>
      </c>
      <c r="B22" s="4" t="inlineStr">
        <is>
          <t>TC-UT_MEM-012</t>
        </is>
      </c>
      <c r="C22" s="5" t="inlineStr">
        <is>
          <t>updateMemories</t>
        </is>
      </c>
      <c r="D22" s="4" t="inlineStr">
        <is>
          <t>正常系</t>
        </is>
      </c>
      <c r="E22" s="4" t="inlineStr">
        <is>
          <t>同値分割</t>
        </is>
      </c>
      <c r="F22" s="5" t="inlineStr">
        <is>
          <t>interest_profile は行動の後も変えない</t>
        </is>
      </c>
      <c r="G22" s="5" t="inlineStr">
        <is>
          <t>前提：minato の interest_profile（2026-10-01 の内容）
入力：minato が post</t>
        </is>
      </c>
      <c r="H22" s="5" t="inlineStr">
        <is>
          <t>interest_profile の内容と updated_at は変わらない</t>
        </is>
      </c>
      <c r="I22" s="5" t="inlineStr">
        <is>
          <t>B9-F</t>
        </is>
      </c>
      <c r="J22" s="5" t="inlineStr">
        <is>
          <t>一時 DB（createTestDb、マイグレーション済み）。generationSeed で世界・エージェント・生成イベントを入れる</t>
        </is>
      </c>
      <c r="K22" s="5" t="inlineStr"/>
      <c r="L22" s="5" t="inlineStr"/>
      <c r="M22" s="5" t="inlineStr">
        <is>
          <t>TC-UT_MEM-012 interest_profile は行動の後も変えない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既存テスト：なし</t>
        </is>
      </c>
    </row>
    <row r="23">
      <c r="A23" s="4" t="n">
        <v>19</v>
      </c>
      <c r="B23" s="4" t="inlineStr">
        <is>
          <t>TC-UT_MEM-013</t>
        </is>
      </c>
      <c r="C23" s="5" t="inlineStr">
        <is>
          <t>updateMemories</t>
        </is>
      </c>
      <c r="D23" s="4" t="inlineStr">
        <is>
          <t>正常系</t>
        </is>
      </c>
      <c r="E23" s="4" t="inlineStr">
        <is>
          <t>分岐網羅</t>
        </is>
      </c>
      <c r="F23" s="5" t="inlineStr">
        <is>
          <t>like では recent_posts・relationship_summary を作り、conversation_summary は作らない</t>
        </is>
      </c>
      <c r="G23" s="5" t="inlineStr">
        <is>
          <t>前提：haruka の投稿
入力：minato が like</t>
        </is>
      </c>
      <c r="H23" s="5" t="inlineStr">
        <is>
          <t>recent_posts に「- like：@haruka」、relationship_summary は「@haruka：いいね 1 回」、conversation_summary は作らない</t>
        </is>
      </c>
      <c r="I23" s="5" t="inlineStr">
        <is>
          <t>B6-T, B9-F, B10-F, B4-F, B5-F</t>
        </is>
      </c>
      <c r="J23" s="5" t="inlineStr">
        <is>
          <t>一時 DB（createTestDb、マイグレーション済み）。generationSeed で世界・エージェント・生成イベントを入れる</t>
        </is>
      </c>
      <c r="K23" s="5" t="inlineStr"/>
      <c r="L23" s="5" t="inlineStr"/>
      <c r="M23" s="5" t="inlineStr">
        <is>
          <t>TC-UT_MEM-013 like では recent_posts・relationship_summary を作り、conversation_summary は作らない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既存テスト：一部 TC-NOUS62_DEV-35（post の場合だけ）</t>
        </is>
      </c>
    </row>
    <row r="24">
      <c r="A24" s="4" t="n">
        <v>20</v>
      </c>
      <c r="B24" s="4" t="inlineStr">
        <is>
          <t>TC-UT_MEM-014</t>
        </is>
      </c>
      <c r="C24" s="5" t="inlineStr">
        <is>
          <t>clip</t>
        </is>
      </c>
      <c r="D24" s="4" t="inlineStr">
        <is>
          <t>正常系</t>
        </is>
      </c>
      <c r="E24" s="4" t="inlineStr">
        <is>
          <t>境界値</t>
        </is>
      </c>
      <c r="F24" s="5" t="inlineStr">
        <is>
          <t>clip はちょうど n 字ならそのまま、n＋1 字なら n 字に切る</t>
        </is>
      </c>
      <c r="G24" s="5" t="inlineStr">
        <is>
          <t>前提：なし
入力：clip(あいう, 3)、clip(あいうえ, 3)</t>
        </is>
      </c>
      <c r="H24" s="5" t="inlineStr">
        <is>
          <t>あいう、あいう</t>
        </is>
      </c>
      <c r="I24" s="5" t="inlineStr">
        <is>
          <t>B3-T, B3-F</t>
        </is>
      </c>
      <c r="J24" s="5" t="inlineStr">
        <is>
          <t>なし</t>
        </is>
      </c>
      <c r="K24" s="5" t="inlineStr"/>
      <c r="L24" s="5" t="inlineStr"/>
      <c r="M24" s="5" t="inlineStr">
        <is>
          <t>TC-UT_MEM-014 clip はちょうど n 字ならそのまま、n＋1 字なら n 字に切る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既存テスト：一部 TC-NOUS62_DEV-36（n より短い・長い場合）</t>
        </is>
      </c>
    </row>
  </sheetData>
  <autoFilter ref="A4:Q24"/>
  <conditionalFormatting sqref="A5:Q74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74" showDropDown="0" showInputMessage="0" showErrorMessage="0" allowBlank="1" type="list">
      <formula1>"未実施,OK,NG,保留,対象外"</formula1>
    </dataValidation>
    <dataValidation sqref="D5:D74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COUNTA(観点表!$B$5:$B$74)</f>
        <v/>
      </c>
    </row>
    <row r="6">
      <c r="A6" s="10" t="inlineStr">
        <is>
          <t>正常系</t>
        </is>
      </c>
      <c r="B6" s="10">
        <f>COUNTIF(観点表!$D$5:$D$74,"正常系")</f>
        <v/>
      </c>
    </row>
    <row r="7">
      <c r="A7" s="10" t="inlineStr">
        <is>
          <t>異常系</t>
        </is>
      </c>
      <c r="B7" s="10">
        <f>COUNTIF(観点表!$D$5:$D$74,"異常系")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分岐網羅</t>
        </is>
      </c>
      <c r="B10" s="10">
        <f>COUNTIF(観点表!$E$5:$E$74,"分岐網羅")</f>
        <v/>
      </c>
    </row>
    <row r="11">
      <c r="A11" s="10" t="inlineStr">
        <is>
          <t>同値分割</t>
        </is>
      </c>
      <c r="B11" s="10">
        <f>COUNTIF(観点表!$E$5:$E$74,"同値分割")</f>
        <v/>
      </c>
    </row>
    <row r="12">
      <c r="A12" s="10" t="inlineStr">
        <is>
          <t>境界値</t>
        </is>
      </c>
      <c r="B12" s="10">
        <f>COUNTIF(観点表!$E$5:$E$74,"境界値")</f>
        <v/>
      </c>
    </row>
    <row r="13">
      <c r="A13" s="10" t="inlineStr">
        <is>
          <t>開発者テスト</t>
        </is>
      </c>
      <c r="B13" s="10">
        <f>COUNTIF(観点表!$E$5:$E$74,"開発者テスト")</f>
        <v/>
      </c>
    </row>
    <row r="15">
      <c r="A15" s="8" t="inlineStr">
        <is>
          <t>テストデータ</t>
        </is>
      </c>
      <c r="B15" s="9" t="n"/>
      <c r="C15" s="9" t="n"/>
    </row>
    <row r="16">
      <c r="A16" s="10" t="inlineStr">
        <is>
          <t>作成済み</t>
        </is>
      </c>
      <c r="B16" s="10">
        <f>COUNTIF(観点表!$K$5:$K$74,"?*")</f>
        <v/>
      </c>
    </row>
    <row r="17">
      <c r="A17" s="10" t="inlineStr">
        <is>
          <t>未作成</t>
        </is>
      </c>
      <c r="B17" s="10">
        <f>B5-B16</f>
        <v/>
      </c>
    </row>
    <row r="19">
      <c r="A19" s="8" t="inlineStr">
        <is>
          <t>実施状況</t>
        </is>
      </c>
      <c r="B19" s="9" t="n"/>
      <c r="C19" s="9" t="n"/>
    </row>
    <row r="20">
      <c r="A20" s="10" t="inlineStr">
        <is>
          <t>未実施</t>
        </is>
      </c>
      <c r="B20" s="10">
        <f>COUNTIF(観点表!$N$5:$N$74,"未実施")</f>
        <v/>
      </c>
    </row>
    <row r="21">
      <c r="A21" s="10" t="inlineStr">
        <is>
          <t>OK</t>
        </is>
      </c>
      <c r="B21" s="10">
        <f>COUNTIF(観点表!$N$5:$N$74,"OK")</f>
        <v/>
      </c>
    </row>
    <row r="22">
      <c r="A22" s="10" t="inlineStr">
        <is>
          <t>NG</t>
        </is>
      </c>
      <c r="B22" s="10">
        <f>COUNTIF(観点表!$N$5:$N$74,"NG")</f>
        <v/>
      </c>
    </row>
    <row r="23">
      <c r="A23" s="10" t="inlineStr">
        <is>
          <t>保留</t>
        </is>
      </c>
      <c r="B23" s="10">
        <f>COUNTIF(観点表!$N$5:$N$74,"保留")</f>
        <v/>
      </c>
    </row>
    <row r="24">
      <c r="A24" s="10" t="inlineStr">
        <is>
          <t>対象外</t>
        </is>
      </c>
      <c r="B24" s="10">
        <f>COUNTIF(観点表!$N$5:$N$74,"対象外")</f>
        <v/>
      </c>
    </row>
    <row r="25">
      <c r="A25" s="10" t="inlineStr">
        <is>
          <t>消化率（未実施以外 / 総数）</t>
        </is>
      </c>
      <c r="B25" s="11">
        <f>IF(B5=0,0,(B5-B20)/B5)</f>
        <v/>
      </c>
    </row>
    <row r="26">
      <c r="A26" s="10" t="inlineStr">
        <is>
          <t>合格率（OK / (総数-対象外)）</t>
        </is>
      </c>
      <c r="B26" s="11">
        <f>IF(B5-B24=0,0,B21/(B5-B24))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TC-NOUS62_DEV-31</t>
        </is>
      </c>
      <c r="B5" s="13" t="inlineStr">
        <is>
          <t>recent_posts に最近の行動（新しい順）と投稿の本文が入る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TC-NOUS62_DEV-32</t>
        </is>
      </c>
      <c r="B6" s="13" t="inlineStr">
        <is>
          <t>recent_posts は行動 5 件・本文 5 件・400 字まで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TC-NOUS62_DEV-33</t>
        </is>
      </c>
      <c r="B7" s="13" t="inlineStr">
        <is>
          <t>relationship_summary は相手ごとの集計を多い順に並べる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TC-NOUS62_DEV-34</t>
        </is>
      </c>
      <c r="B8" s="13" t="inlineStr">
        <is>
          <t>conversation_summary は reply のときだけ作り、起点の先頭 40 字と最後の発言者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TC-NOUS62_DEV-35</t>
        </is>
      </c>
      <c r="B9" s="13" t="inlineStr">
        <is>
          <t>none では記憶を作らない、2 回目の更新は同じ行を上書きする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TC-NOUS62_DEV-36</t>
        </is>
      </c>
      <c r="B10" s="13" t="inlineStr">
        <is>
          <t>clip はコードポイントで切る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TC-UT_MEM-001</t>
        </is>
      </c>
      <c r="B11" s="13" t="inlineStr">
        <is>
          <t>非表示にした自分の投稿は、recent_posts の行動にも本文にも入れない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TC-UT_MEM-002</t>
        </is>
      </c>
      <c r="B12" s="13" t="inlineStr">
        <is>
          <t>unfollow は「- unfollow：@相手」として、follow より新しい行に入る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TC-UT_MEM-003</t>
        </is>
      </c>
      <c r="B13" s="13" t="inlineStr">
        <is>
          <t>本文の改行と続く空白は、空白 1 つにまとめて 1 行にする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TC-UT_MEM-004</t>
        </is>
      </c>
      <c r="B14" s="13" t="inlineStr">
        <is>
          <t>行動の行は本文の先頭 30 字で切り、最近の投稿の行は本文をすべて入れる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TC-UT_MEM-005</t>
        </is>
      </c>
      <c r="B15" s="13" t="inlineStr">
        <is>
          <t>入りきらない行は途中で切らずに捨てる（残る行はどれも本文の全体）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TC-UT_MEM-006</t>
        </is>
      </c>
      <c r="B16" s="13" t="inlineStr">
        <is>
          <t>relationship_summary は回数が同じならフォロー中を先に、次にハンドルの順に並べる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TC-UT_MEM-007</t>
        </is>
      </c>
      <c r="B17" s="13" t="inlineStr">
        <is>
          <t>relationship_summary は 6 体以上の相手がいても 5 体までにする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TC-UT_MEM-008</t>
        </is>
      </c>
      <c r="B18" s="13" t="inlineStr">
        <is>
          <t>自分の投稿への自分の返信は、相手ごとの集計に数えない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TC-UT_MEM-009</t>
        </is>
      </c>
      <c r="B19" s="13" t="inlineStr">
        <is>
          <t>conversation_summary は 4 つ以上のスレッドに加わっていても、新しい 3 つまで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TC-UT_MEM-010</t>
        </is>
      </c>
      <c r="B20" s="13" t="inlineStr">
        <is>
          <t>自分が加わっていない、他の住人どうしのスレッドは conversation_summary に入れない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TC-UT_MEM-011</t>
        </is>
      </c>
      <c r="B21" s="13" t="inlineStr">
        <is>
          <t>起点が非表示にされたスレッドでは、非表示の起点の本文を conversation_summary に入れない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TC-UT_MEM-012</t>
        </is>
      </c>
      <c r="B22" s="13" t="inlineStr">
        <is>
          <t>interest_profile は行動の後も変えない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TC-UT_MEM-013</t>
        </is>
      </c>
      <c r="B23" s="13" t="inlineStr">
        <is>
          <t>like では recent_posts・relationship_summary を作り、conversation_summary は作らない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TC-UT_MEM-014</t>
        </is>
      </c>
      <c r="B24" s="13" t="inlineStr">
        <is>
          <t>clip はちょうど n 字ならそのまま、n＋1 字なら n 字に切る</t>
        </is>
      </c>
      <c r="C24" s="13" t="inlineStr">
        <is>
          <t>未作成</t>
        </is>
      </c>
      <c r="D24" s="13" t="inlineStr"/>
      <c r="E24" s="13" t="inlineStr"/>
      <c r="F24" s="13" t="inlineStr"/>
    </row>
  </sheetData>
  <autoFilter ref="A4:F24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記憶の更新（generation/memoryUpdater.ts）</t>
        </is>
      </c>
    </row>
    <row r="4">
      <c r="A4" s="14" t="inlineStr">
        <is>
          <t>対象ファイル</t>
        </is>
      </c>
      <c r="B4" s="15" t="inlineStr">
        <is>
          <t>apps/server/src/generation/memoryUpdater.ts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apps/server/src/generation/memoryUpdater.test.ts（実装時、NOUS-62）, apps/server/src/generation/memoryUpdater.ut.test.ts（単体テストで追加）</t>
        </is>
      </c>
    </row>
    <row r="7">
      <c r="A7" s="14" t="inlineStr">
        <is>
          <t>外部依存</t>
        </is>
      </c>
      <c r="B7" s="15" t="inlineStr">
        <is>
          <t>一時 DB（createTestDb）。前提のデータは generationSeed と applyAction（commitAction と同じ順で反映してから更新する）, 時刻は引数の nowIso（2026-10-22T09:00:00.000Z）で固定。世界内時間は行動ごとに 10 秒ずつ進める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joinLines：次の行を足すと上限を超える（break）</t>
        </is>
      </c>
      <c r="C11" s="17" t="inlineStr">
        <is>
          <t>memoryUpdater.ts:35</t>
        </is>
      </c>
    </row>
    <row r="12">
      <c r="A12" s="17" t="inlineStr">
        <is>
          <t>B2</t>
        </is>
      </c>
      <c r="B12" s="17" t="inlineStr">
        <is>
          <t>joinLines：2 行目以降（区切りの改行を 1 字数える）</t>
        </is>
      </c>
      <c r="C12" s="17" t="inlineStr">
        <is>
          <t>memoryUpdater.ts:34</t>
        </is>
      </c>
    </row>
    <row r="13">
      <c r="A13" s="17" t="inlineStr">
        <is>
          <t>B3</t>
        </is>
      </c>
      <c r="B13" s="17" t="inlineStr">
        <is>
          <t>clip：字数が n 以下</t>
        </is>
      </c>
      <c r="C13" s="17" t="inlineStr">
        <is>
          <t>memoryUpdater.ts:26</t>
        </is>
      </c>
    </row>
    <row r="14">
      <c r="A14" s="17" t="inlineStr">
        <is>
          <t>B4</t>
        </is>
      </c>
      <c r="B14" s="17" t="inlineStr">
        <is>
          <t>recent_posts の行：post</t>
        </is>
      </c>
      <c r="C14" s="17" t="inlineStr">
        <is>
          <t>memoryUpdater.ts:76</t>
        </is>
      </c>
    </row>
    <row r="15">
      <c r="A15" s="17" t="inlineStr">
        <is>
          <t>B5</t>
        </is>
      </c>
      <c r="B15" s="17" t="inlineStr">
        <is>
          <t>recent_posts の行：reply</t>
        </is>
      </c>
      <c r="C15" s="17" t="inlineStr">
        <is>
          <t>memoryUpdater.ts:78</t>
        </is>
      </c>
    </row>
    <row r="16">
      <c r="A16" s="17" t="inlineStr">
        <is>
          <t>B6</t>
        </is>
      </c>
      <c r="B16" s="17" t="inlineStr">
        <is>
          <t>recent_posts の行：like・follow・unfollow（default）</t>
        </is>
      </c>
      <c r="C16" s="17" t="inlineStr">
        <is>
          <t>memoryUpdater.ts:80</t>
        </is>
      </c>
    </row>
    <row r="17">
      <c r="A17" s="17" t="inlineStr">
        <is>
          <t>B7</t>
        </is>
      </c>
      <c r="B17" s="17" t="inlineStr">
        <is>
          <t>relationship の並び：回数が同じならフォロー中を先に</t>
        </is>
      </c>
      <c r="C17" s="17" t="inlineStr">
        <is>
          <t>memoryUpdater.ts:130</t>
        </is>
      </c>
    </row>
    <row r="18">
      <c r="A18" s="17" t="inlineStr">
        <is>
          <t>B8</t>
        </is>
      </c>
      <c r="B18" s="17" t="inlineStr">
        <is>
          <t>relationship の並び：フォローも同じならハンドルの順</t>
        </is>
      </c>
      <c r="C18" s="17" t="inlineStr">
        <is>
          <t>memoryUpdater.ts:130</t>
        </is>
      </c>
    </row>
    <row r="19">
      <c r="A19" s="17" t="inlineStr">
        <is>
          <t>B9</t>
        </is>
      </c>
      <c r="B19" s="17" t="inlineStr">
        <is>
          <t>updateMemories：action が none</t>
        </is>
      </c>
      <c r="C19" s="17" t="inlineStr">
        <is>
          <t>memoryUpdater.ts:190</t>
        </is>
      </c>
    </row>
    <row r="20">
      <c r="A20" s="17" t="inlineStr">
        <is>
          <t>B10</t>
        </is>
      </c>
      <c r="B20" s="17" t="inlineStr">
        <is>
          <t>updateMemories：action が reply（conversation_summary を作る）</t>
        </is>
      </c>
      <c r="C20" s="17" t="inlineStr">
        <is>
          <t>memoryUpdater.ts:195</t>
        </is>
      </c>
    </row>
    <row r="22">
      <c r="A22" s="14" t="inlineStr">
        <is>
          <t>確認事項・潜在バグ</t>
        </is>
      </c>
    </row>
    <row r="23" ht="30" customHeight="1">
      <c r="A23" s="18" t="inlineStr">
        <is>
          <t>・疑い 1：buildConversationSummary は、スレッドの件数を公開の投稿だけで数えるが、起点の本文（r.body）は visibility を見ずに読む。そのため、起点が非表示にされたスレッドでも、公開の返信が 2 件あれば、非表示の起点の本文の先頭 40 字が conversation_summary に入る（TC-UT_MEM-011）。NOUS-62 の実装のコメントの「非表示の投稿を記憶に入れない」と食い違う。</t>
        </is>
      </c>
    </row>
    <row r="24" ht="30" customHeight="1">
      <c r="A24" s="18" t="inlineStr">
        <is>
          <t>・確認事項 1：conversation_summary には他の住人の投稿（起点）の先頭 40 字が入り、記憶は system に入る。11章（NFR-S-012）の「他の住人の投稿は user の &lt;timeline&gt; の中だけに置く」と、8章の conversation_summary の内容が両立していない。NOUS-102 の確認事項（promptBuilder）と同じ件。</t>
        </is>
      </c>
    </row>
    <row r="25" ht="30" customHeight="1">
      <c r="A25" s="18" t="inlineStr">
        <is>
          <t>・確認事項 2：relationship_summary の同数のときの並び（フォロー中が先、次にハンドルの順）は設計書に記載がなく、実装の値を期待値にした（TC-UT_MEM-006）。</t>
        </is>
      </c>
    </row>
  </sheetData>
  <mergeCells count="3">
    <mergeCell ref="A23:C23"/>
    <mergeCell ref="A24:C24"/>
    <mergeCell ref="A25:C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2026-10-23T07:23:33Z</dcterms:created>
  <dcterms:modified xsi:type="dcterms:W3CDTF">2026-10-23T07:23:33Z</dcterms:modified>
</cp:coreProperties>
</file>