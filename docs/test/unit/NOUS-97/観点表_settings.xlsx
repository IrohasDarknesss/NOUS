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'観点表'!$A$4:$Q$53</definedName>
    <definedName name="_xlnm.Print_Titles" localSheetId="0">'観点表'!$4:$4</definedName>
    <definedName name="_xlnm._FilterDatabase" localSheetId="2" hidden="1">'テストデータ'!$A$4:$F$53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実行設定と世界・設定の API（world/settingsService.ts・worldRoutes.ts・settingsRoutes.ts）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TC-NOUS58_DEV-01</t>
        </is>
      </c>
      <c r="C5" s="5" t="inlineStr">
        <is>
          <t>estimateDaily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設計書の例で dailyRuns 432・dailyNeurons 6,826・周期の下限 15</t>
        </is>
      </c>
      <c r="G5" s="5" t="inlineStr">
        <is>
          <t>前提：10 体・活動頻度 3、participation 3 は 0.6
入力：周期 20・活動量 100・平均 15.8・上限 9,500</t>
        </is>
      </c>
      <c r="H5" s="5" t="inlineStr">
        <is>
          <t>432・6,826・15</t>
        </is>
      </c>
      <c r="I5" s="5" t="inlineStr">
        <is>
          <t>B2-T, B3-F, B4-F, B5-F, B6-T</t>
        </is>
      </c>
      <c r="J5" s="5" t="inlineStr">
        <is>
          <t>なし</t>
        </is>
      </c>
      <c r="K5" s="5" t="inlineStr"/>
      <c r="L5" s="5" t="inlineStr"/>
      <c r="M5" s="5" t="inlineStr">
        <is>
          <t>TC-NOUS58_DEV-01 設計書の例（10体・活動頻度3・活動量100・周期20・平均15.8・上限9500）で dailyRuns=432・dailyNeurons=6826・cycleMinutesFloor=15 になる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既存テスト：実装時のテスト（NOUS-58）</t>
        </is>
      </c>
    </row>
    <row r="6">
      <c r="A6" s="4" t="n">
        <v>2</v>
      </c>
      <c r="B6" s="4" t="inlineStr">
        <is>
          <t>TC-NOUS58_DEV-02</t>
        </is>
      </c>
      <c r="C6" s="5" t="inlineStr">
        <is>
          <t>estimateDaily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稼働中が 0 体、または 1巡の Neurons が 0 なら 0 と周期の下限 15</t>
        </is>
      </c>
      <c r="G6" s="5" t="inlineStr">
        <is>
          <t>前提：0 体、または平均 0
入力：既定の設定</t>
        </is>
      </c>
      <c r="H6" s="5" t="inlineStr">
        <is>
          <t>dailyRuns 0・dailyNeurons 0・15・avgParticipation 0</t>
        </is>
      </c>
      <c r="I6" s="5" t="inlineStr">
        <is>
          <t>B3-T, B5-T</t>
        </is>
      </c>
      <c r="J6" s="5" t="inlineStr">
        <is>
          <t>なし</t>
        </is>
      </c>
      <c r="K6" s="5" t="inlineStr"/>
      <c r="L6" s="5" t="inlineStr"/>
      <c r="M6" s="5" t="inlineStr">
        <is>
          <t>TC-NOUS58_DEV-02 稼働中のエージェントが0体または1巡のNeuronsが0のとき、dailyRuns=0・dailyNeurons=0・cycleMinutesFloor=15・avgParticipation=0 になる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既存テスト：実装時のテスト（NOUS-58）</t>
        </is>
      </c>
    </row>
    <row r="7">
      <c r="A7" s="4" t="n">
        <v>3</v>
      </c>
      <c r="B7" s="4" t="inlineStr">
        <is>
          <t>TC-NOUS58_DEV-03</t>
        </is>
      </c>
      <c r="C7" s="5" t="inlineStr">
        <is>
          <t>estimateDaily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上限が低く 15 分より長い周期が要るとき、切り上げた周期の下限を返す</t>
        </is>
      </c>
      <c r="G7" s="5" t="inlineStr">
        <is>
          <t>前提：10 体・活動頻度 3
入力：上限を低くした設定</t>
        </is>
      </c>
      <c r="H7" s="5" t="inlineStr">
        <is>
          <t>15 より大きい切り上げの値</t>
        </is>
      </c>
      <c r="I7" s="5" t="inlineStr">
        <is>
          <t>B5-F, B6-F</t>
        </is>
      </c>
      <c r="J7" s="5" t="inlineStr">
        <is>
          <t>なし</t>
        </is>
      </c>
      <c r="K7" s="5" t="inlineStr"/>
      <c r="L7" s="5" t="inlineStr"/>
      <c r="M7" s="5" t="inlineStr">
        <is>
          <t>TC-NOUS58_DEV-03 日次Neurons上限が低く15分より長い周期が必要なとき、切り上げた周期の下限を返す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既存テスト：実装時のテスト（NOUS-58）</t>
        </is>
      </c>
    </row>
    <row r="8">
      <c r="A8" s="4" t="n">
        <v>4</v>
      </c>
      <c r="B8" s="4" t="inlineStr">
        <is>
          <t>TC-NOUS58_DEV-04</t>
        </is>
      </c>
      <c r="C8" s="5" t="inlineStr">
        <is>
          <t>averageNeuronsPerRun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成功した LLM の生成が 20 件未満なら既定値 16.4、gate と失敗は数えない</t>
        </is>
      </c>
      <c r="G8" s="5" t="inlineStr">
        <is>
          <t>前提：llm 成功 19 件、gate 1 件、failed 1 件
入力：db</t>
        </is>
      </c>
      <c r="H8" s="5" t="inlineStr">
        <is>
          <t>16.4</t>
        </is>
      </c>
      <c r="I8" s="5" t="inlineStr">
        <is>
          <t>B1-T</t>
        </is>
      </c>
      <c r="J8" s="5" t="inlineStr">
        <is>
          <t>FakeClock 2026-10-22T00:00:00.000Z、一時 DB（createTestDb）、SchedulerControl の差し替え（stopAll → 0、wake は vi.fn）、recordAudit は実物（admin_audit_logs）</t>
        </is>
      </c>
      <c r="K8" s="5" t="inlineStr"/>
      <c r="L8" s="5" t="inlineStr"/>
      <c r="M8" s="5" t="inlineStr">
        <is>
          <t>TC-NOUS58_DEV-04 成功したLLM生成が20件未満のときは既定値16.4を返し、gateや失敗は数えない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既存テスト：実装時のテスト（NOUS-58）</t>
        </is>
      </c>
    </row>
    <row r="9">
      <c r="A9" s="4" t="n">
        <v>5</v>
      </c>
      <c r="B9" s="4" t="inlineStr">
        <is>
          <t>TC-NOUS58_DEV-05</t>
        </is>
      </c>
      <c r="C9" s="5" t="inlineStr">
        <is>
          <t>averageNeuronsPerRun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20 件以上なら直近 50 件の平均</t>
        </is>
      </c>
      <c r="G9" s="5" t="inlineStr">
        <is>
          <t>前提：古い 10 件は 100、新しい 50 件は 20
入力：db</t>
        </is>
      </c>
      <c r="H9" s="5" t="inlineStr">
        <is>
          <t>20</t>
        </is>
      </c>
      <c r="I9" s="5" t="inlineStr">
        <is>
          <t>B1-F</t>
        </is>
      </c>
      <c r="J9" s="5" t="inlineStr">
        <is>
          <t>FakeClock 2026-10-22T00:00:00.000Z、一時 DB（createTestDb）、SchedulerControl の差し替え（stopAll → 0、wake は vi.fn）、recordAudit は実物（admin_audit_logs）</t>
        </is>
      </c>
      <c r="K9" s="5" t="inlineStr"/>
      <c r="L9" s="5" t="inlineStr"/>
      <c r="M9" s="5" t="inlineStr">
        <is>
          <t>TC-NOUS58_DEV-05 成功したLLM生成が20件以上のときは直近50件の平均を返す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既存テスト：実装時のテスト（NOUS-58）</t>
        </is>
      </c>
    </row>
    <row r="10">
      <c r="A10" s="4" t="n">
        <v>6</v>
      </c>
      <c r="B10" s="4" t="inlineStr">
        <is>
          <t>TC-NOUS58_DEV-06</t>
        </is>
      </c>
      <c r="C10" s="5" t="inlineStr">
        <is>
          <t>listPromptVersions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system.md と user.md がそろうフォルダ名だけを名前の順で返す</t>
        </is>
      </c>
      <c r="G10" s="5" t="inlineStr">
        <is>
          <t>前提：一時ディレクトリに版のフォルダ、片方だけのフォルダ、ファイル
入力：promptsDir</t>
        </is>
      </c>
      <c r="H10" s="5" t="inlineStr">
        <is>
          <t>そろう版だけを名前の順で</t>
        </is>
      </c>
      <c r="I10" s="5" t="inlineStr">
        <is>
          <t>B7-F, B8-T, B8-F, B9-T, B9-F</t>
        </is>
      </c>
      <c r="J10" s="5" t="inlineStr">
        <is>
          <t>なし</t>
        </is>
      </c>
      <c r="K10" s="5" t="inlineStr"/>
      <c r="L10" s="5" t="inlineStr"/>
      <c r="M10" s="5" t="inlineStr">
        <is>
          <t>TC-NOUS58_DEV-06 promptsDir の直下で system.md と user.md が両方あるフォルダ名だけを名前の順で返す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既存テスト：実装時のテスト（NOUS-58）</t>
        </is>
      </c>
    </row>
    <row r="11">
      <c r="A11" s="4" t="n">
        <v>7</v>
      </c>
      <c r="B11" s="4" t="inlineStr">
        <is>
          <t>TC-NOUS58_DEV-07</t>
        </is>
      </c>
      <c r="C11" s="5" t="inlineStr">
        <is>
          <t>toRunSettings / toWorldSettingsValues / countAgentsByState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行と RunSettings の相互変換、countAgentsByState は 0 の state も返す</t>
        </is>
      </c>
      <c r="G11" s="5" t="inlineStr">
        <is>
          <t>前提：世界とエージェント
入力：行、RunSettings</t>
        </is>
      </c>
      <c r="H11" s="5" t="inlineStr">
        <is>
          <t>往復で同じ値、{ active, stopped } の両方</t>
        </is>
      </c>
      <c r="I11" s="5" t="inlineStr"/>
      <c r="J11" s="5" t="inlineStr">
        <is>
          <t>FakeClock 2026-10-22T00:00:00.000Z、一時 DB（createTestDb）、SchedulerControl の差し替え（stopAll → 0、wake は vi.fn）、recordAudit は実物（admin_audit_logs）</t>
        </is>
      </c>
      <c r="K11" s="5" t="inlineStr"/>
      <c r="L11" s="5" t="inlineStr"/>
      <c r="M11" s="5" t="inlineStr">
        <is>
          <t>TC-NOUS58_DEV-07 world_settings の行と RunSettings の相互変換、および countAgentsByState が0のstateも含めて返す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既存テスト：実装時のテスト（NOUS-58）</t>
        </is>
      </c>
    </row>
    <row r="12">
      <c r="A12" s="4" t="n">
        <v>8</v>
      </c>
      <c r="B12" s="4" t="inlineStr">
        <is>
          <t>TC-NOUS58_DEV-08</t>
        </is>
      </c>
      <c r="C12" s="5" t="inlineStr">
        <is>
          <t>getSettingsWithEstimate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世界がなければ初期の世界を作り、設定と見込みと選択肢を返す</t>
        </is>
      </c>
      <c r="G12" s="5" t="inlineStr">
        <is>
          <t>前提：世界なし
入力：db、clock、generationConfig</t>
        </is>
      </c>
      <c r="H12" s="5" t="inlineStr">
        <is>
          <t>準備中の世界を作り、settings・見込み・modelOptions・promptVersions</t>
        </is>
      </c>
      <c r="I12" s="5" t="inlineStr">
        <is>
          <t>B10-T</t>
        </is>
      </c>
      <c r="J12" s="5" t="inlineStr">
        <is>
          <t>FakeClock 2026-10-22T00:00:00.000Z、一時 DB（createTestDb）、SchedulerControl の差し替え（stopAll → 0、wake は vi.fn）、recordAudit は実物（admin_audit_logs）</t>
        </is>
      </c>
      <c r="K12" s="5" t="inlineStr"/>
      <c r="L12" s="5" t="inlineStr"/>
      <c r="M12" s="5" t="inlineStr">
        <is>
          <t>TC-NOUS58_DEV-08 getSettingsWithEstimate は世界が無ければ初期世界を作り、設定と見込みと選択肢を返す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既存テスト：実装時のテスト（NOUS-58）</t>
        </is>
      </c>
    </row>
    <row r="13">
      <c r="A13" s="4" t="n">
        <v>9</v>
      </c>
      <c r="B13" s="4" t="inlineStr">
        <is>
          <t>TC-NOUS58_DEV-09</t>
        </is>
      </c>
      <c r="C13" s="5" t="inlineStr">
        <is>
          <t>updateSettings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設定を保存し、変更前後の全項目を監査に記録する（next_cycle_at は変えない）</t>
        </is>
      </c>
      <c r="G13" s="5" t="inlineStr">
        <is>
          <t>前提：準備中の世界
入力：既定を変えた RunSettings</t>
        </is>
      </c>
      <c r="H13" s="5" t="inlineStr">
        <is>
          <t>world_settings を更新、settings.update の監査に before・after、next_cycle_at は同じ</t>
        </is>
      </c>
      <c r="I13" s="5" t="inlineStr">
        <is>
          <t>B11-F, B12-F, B13-F, B14-F, B16-F</t>
        </is>
      </c>
      <c r="J13" s="5" t="inlineStr">
        <is>
          <t>FakeClock 2026-10-22T00:00:00.000Z、一時 DB（createTestDb）、SchedulerControl の差し替え（stopAll → 0、wake は vi.fn）、recordAudit は実物（admin_audit_logs）</t>
        </is>
      </c>
      <c r="K13" s="5" t="inlineStr"/>
      <c r="L13" s="5" t="inlineStr"/>
      <c r="M13" s="5" t="inlineStr">
        <is>
          <t>TC-NOUS58_DEV-09 updateSettings は設定を保存し、変更前後の全項目を admin_audit_logs に記録する（next_cycle_at は変えない）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既存テスト：実装時のテスト（NOUS-58）</t>
        </is>
      </c>
    </row>
    <row r="14">
      <c r="A14" s="4" t="n">
        <v>10</v>
      </c>
      <c r="B14" s="4" t="inlineStr">
        <is>
          <t>TC-NOUS58_DEV-10</t>
        </is>
      </c>
      <c r="C14" s="5" t="inlineStr">
        <is>
          <t>updateSettings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存在しない promptVersion は VALIDATION_ERROR（fields.promptVersion）</t>
        </is>
      </c>
      <c r="G14" s="5" t="inlineStr">
        <is>
          <t>前提：準備中の世界
入力：promptVersion v_unknown</t>
        </is>
      </c>
      <c r="H14" s="5" t="inlineStr">
        <is>
          <t>AppError VALIDATION_ERROR、fields.promptVersion</t>
        </is>
      </c>
      <c r="I14" s="5" t="inlineStr">
        <is>
          <t>B12-T</t>
        </is>
      </c>
      <c r="J14" s="5" t="inlineStr">
        <is>
          <t>FakeClock 2026-10-22T00:00:00.000Z、一時 DB（createTestDb）、SchedulerControl の差し替え（stopAll → 0、wake は vi.fn）、recordAudit は実物（admin_audit_logs）</t>
        </is>
      </c>
      <c r="K14" s="5" t="inlineStr"/>
      <c r="L14" s="5" t="inlineStr"/>
      <c r="M14" s="5" t="inlineStr">
        <is>
          <t>TC-NOUS58_DEV-10 updateSettings で存在しない promptVersion を指定すると VALIDATION_ERROR（fields.promptVersion）を投げる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既存テスト：実装時のテスト（NOUS-58）</t>
        </is>
      </c>
    </row>
    <row r="15">
      <c r="A15" s="4" t="n">
        <v>11</v>
      </c>
      <c r="B15" s="4" t="inlineStr">
        <is>
          <t>TC-NOUS58_DEV-11</t>
        </is>
      </c>
      <c r="C15" s="5" t="inlineStr">
        <is>
          <t>updateSettings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limit_stopped（neurons_limit・runs_limit）で上限を引き上げれば running に戻り wake する。free_tier_error は戻さない</t>
        </is>
      </c>
      <c r="G15" s="5" t="inlineStr">
        <is>
          <t>前提：limit_stopped、Neurons 5,000
入力：上限 9,500、その後 free_tier_error で上限 10,000</t>
        </is>
      </c>
      <c r="H15" s="5" t="inlineStr">
        <is>
          <t>limit_stopped→running と wake。free_tier_error は stateChanged null のまま</t>
        </is>
      </c>
      <c r="I15" s="5" t="inlineStr">
        <is>
          <t>B14-T, B14-F, B15-F</t>
        </is>
      </c>
      <c r="J15" s="5" t="inlineStr">
        <is>
          <t>FakeClock 2026-10-22T00:00:00.000Z、一時 DB（createTestDb）、SchedulerControl の差し替え（stopAll → 0、wake は vi.fn）、recordAudit は実物（admin_audit_logs）</t>
        </is>
      </c>
      <c r="K15" s="5" t="inlineStr"/>
      <c r="L15" s="5" t="inlineStr"/>
      <c r="M15" s="5" t="inlineStr">
        <is>
          <t>TC-NOUS58_DEV-11 limit_stopped（neurons_limit/runs_limit）で上限を引き上げて上限内になれば running に戻り wake するが、free_tier_error は戻さない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既存テスト：実装時のテスト（NOUS-58）</t>
        </is>
      </c>
    </row>
    <row r="16">
      <c r="A16" s="4" t="n">
        <v>12</v>
      </c>
      <c r="B16" s="4" t="inlineStr">
        <is>
          <t>TC-NOUS58_DEV-12</t>
        </is>
      </c>
      <c r="C16" s="5" t="inlineStr">
        <is>
          <t>updateSettings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running で上限を引き下げて上限以上になれば limit_stopped にし stopAll('limit')</t>
        </is>
      </c>
      <c r="G16" s="5" t="inlineStr">
        <is>
          <t>前提：running、実行回数 50
入力：dailyRunsLimit 50</t>
        </is>
      </c>
      <c r="H16" s="5" t="inlineStr">
        <is>
          <t>running→limit_stopped、runs_limit、stopAll('limit')</t>
        </is>
      </c>
      <c r="I16" s="5" t="inlineStr">
        <is>
          <t>B16-T</t>
        </is>
      </c>
      <c r="J16" s="5" t="inlineStr">
        <is>
          <t>FakeClock 2026-10-22T00:00:00.000Z、一時 DB（createTestDb）、SchedulerControl の差し替え（stopAll → 0、wake は vi.fn）、recordAudit は実物（admin_audit_logs）</t>
        </is>
      </c>
      <c r="K16" s="5" t="inlineStr"/>
      <c r="L16" s="5" t="inlineStr"/>
      <c r="M16" s="5" t="inlineStr">
        <is>
          <t>TC-NOUS58_DEV-12 running で上限を引き下げて利用量が上限以上になれば limit_stopped に遷移し stopAll('limit') を呼ぶ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既存テスト：実装時のテスト（NOUS-58）</t>
        </is>
      </c>
    </row>
    <row r="17">
      <c r="A17" s="4" t="n">
        <v>13</v>
      </c>
      <c r="B17" s="4" t="inlineStr">
        <is>
          <t>TC-NOUS58_DEV-13</t>
        </is>
      </c>
      <c r="C17" s="5" t="inlineStr">
        <is>
          <t>GET /admin/api/world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世界がないときは準備中の初期の世界を作って返す</t>
        </is>
      </c>
      <c r="G17" s="5" t="inlineStr">
        <is>
          <t>前提：世界なし
入力：GET（セッションあり）</t>
        </is>
      </c>
      <c r="H17" s="5" t="inlineStr">
        <is>
          <t>200、preparing</t>
        </is>
      </c>
      <c r="I17" s="5" t="inlineStr">
        <is>
          <t>B21-T</t>
        </is>
      </c>
      <c r="J17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17" s="5" t="inlineStr"/>
      <c r="L17" s="5" t="inlineStr"/>
      <c r="M17" s="5" t="inlineStr">
        <is>
          <t>TC-NOUS58_DEV-13 世界がまだ無いときは準備中の初期世界を作って返す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既存テスト：実装時のテスト（NOUS-58）</t>
        </is>
      </c>
    </row>
    <row r="18">
      <c r="A18" s="4" t="n">
        <v>14</v>
      </c>
      <c r="B18" s="4" t="inlineStr">
        <is>
          <t>TC-NOUS58_DEV-14</t>
        </is>
      </c>
      <c r="C18" s="5" t="inlineStr">
        <is>
          <t>GET /admin/api/world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稼働中の世界内時間・利用量・実行中の生成数・state ごとのエージェント数を返す</t>
        </is>
      </c>
      <c r="G18" s="5" t="inlineStr">
        <is>
          <t>前提：running、利用量あり、実行中の生成あり
入力：GET</t>
        </is>
      </c>
      <c r="H18" s="5" t="inlineStr">
        <is>
          <t>200、worldTimeSec・usage・runningGenerations・agentCounts</t>
        </is>
      </c>
      <c r="I18" s="5" t="inlineStr">
        <is>
          <t>B21-F</t>
        </is>
      </c>
      <c r="J18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18" s="5" t="inlineStr"/>
      <c r="L18" s="5" t="inlineStr"/>
      <c r="M18" s="5" t="inlineStr">
        <is>
          <t>TC-NOUS58_DEV-14 稼働中の世界内時間・利用量・実行中生成数・stateごとのエージェント数を返す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既存テスト：実装時のテスト（NOUS-58）</t>
        </is>
      </c>
    </row>
    <row r="19">
      <c r="A19" s="4" t="n">
        <v>15</v>
      </c>
      <c r="B19" s="4" t="inlineStr">
        <is>
          <t>TC-NOUS58_DEV-15</t>
        </is>
      </c>
      <c r="C19" s="5" t="inlineStr">
        <is>
          <t>POST /admin/api/world/*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start・pause・resume・emergency-stop の一連の遷移が 200 を返し、監査に記録される</t>
        </is>
      </c>
      <c r="G19" s="5" t="inlineStr">
        <is>
          <t>前提：準備中、active 1 体
入力：POST を順に（CSRF あり）</t>
        </is>
      </c>
      <c r="H19" s="5" t="inlineStr">
        <is>
          <t>各 200 と応答、wake・stopAll の呼び出し、監査 4 件</t>
        </is>
      </c>
      <c r="I19" s="5" t="inlineStr">
        <is>
          <t>B17-T</t>
        </is>
      </c>
      <c r="J19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19" s="5" t="inlineStr"/>
      <c r="L19" s="5" t="inlineStr"/>
      <c r="M19" s="5" t="inlineStr">
        <is>
          <t>TC-NOUS58_DEV-15 start・pause・resume・emergency-stop の一連の遷移が 200 を返し、admin_audit_logs に記録される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既存テスト：実装時のテスト（NOUS-58）</t>
        </is>
      </c>
    </row>
    <row r="20">
      <c r="A20" s="4" t="n">
        <v>16</v>
      </c>
      <c r="B20" s="4" t="inlineStr">
        <is>
          <t>TC-NOUS58_DEV-16</t>
        </is>
      </c>
      <c r="C20" s="5" t="inlineStr">
        <is>
          <t>POST /admin/api/world/*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STATE_CONFLICT と NO_AGENTS で 409</t>
        </is>
      </c>
      <c r="G20" s="5" t="inlineStr">
        <is>
          <t>前提：状態の合わない世界、エージェント 0 体
入力：POST</t>
        </is>
      </c>
      <c r="H20" s="5" t="inlineStr">
        <is>
          <t>409 STATE_CONFLICT、409 NO_AGENTS</t>
        </is>
      </c>
      <c r="I20" s="5" t="inlineStr"/>
      <c r="J20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0" s="5" t="inlineStr"/>
      <c r="L20" s="5" t="inlineStr"/>
      <c r="M20" s="5" t="inlineStr">
        <is>
          <t>TC-NOUS58_DEV-16 状態不整合（STATE_CONFLICT）とエージェント0体（NO_AGENTS）で 409 を返す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既存テスト：実装時のテスト（NOUS-58）</t>
        </is>
      </c>
    </row>
    <row r="21">
      <c r="A21" s="4" t="n">
        <v>17</v>
      </c>
      <c r="B21" s="4" t="inlineStr">
        <is>
          <t>TC-NOUS58_DEV-17</t>
        </is>
      </c>
      <c r="C21" s="5" t="inlineStr">
        <is>
          <t>POST /admin/api/world/reset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一時停止の世界で confirmName が一致すれば 200 でリセットし、監査を残す</t>
        </is>
      </c>
      <c r="G21" s="5" t="inlineStr">
        <is>
          <t>前提：paused
入力：confirmName 一致</t>
        </is>
      </c>
      <c r="H21" s="5" t="inlineStr">
        <is>
          <t>200、archivedWorldId・newWorldId・preparing、監査</t>
        </is>
      </c>
      <c r="I21" s="5" t="inlineStr">
        <is>
          <t>B20-F, B22-F</t>
        </is>
      </c>
      <c r="J21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1" s="5" t="inlineStr"/>
      <c r="L21" s="5" t="inlineStr"/>
      <c r="M21" s="5" t="inlineStr">
        <is>
          <t>TC-NOUS58_DEV-17 一時停止の世界で confirmName が一致すれば 200 でリセットし、監査ログを残す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既存テスト：実装時のテスト（NOUS-58）</t>
        </is>
      </c>
    </row>
    <row r="22">
      <c r="A22" s="4" t="n">
        <v>18</v>
      </c>
      <c r="B22" s="4" t="inlineStr">
        <is>
          <t>TC-NOUS58_DEV-18</t>
        </is>
      </c>
      <c r="C22" s="5" t="inlineStr">
        <is>
          <t>POST /admin/api/world/reset</t>
        </is>
      </c>
      <c r="D22" s="4" t="inlineStr">
        <is>
          <t>異常系</t>
        </is>
      </c>
      <c r="E22" s="4" t="inlineStr">
        <is>
          <t>開発者テスト</t>
        </is>
      </c>
      <c r="F22" s="5" t="inlineStr">
        <is>
          <t>不正な JSON・空の confirmName は 400 VALIDATION_ERROR、不一致は 400 CONFIRM_MISMATCH、生成実行中は 409 GENERATION_RUNNING</t>
        </is>
      </c>
      <c r="G22" s="5" t="inlineStr">
        <is>
          <t>前提：paused
入力：不正な JSON、confirmName 空、不一致、実行中の生成あり</t>
        </is>
      </c>
      <c r="H22" s="5" t="inlineStr">
        <is>
          <t>400・400・400・409</t>
        </is>
      </c>
      <c r="I22" s="5" t="inlineStr">
        <is>
          <t>B20-T, B22-T</t>
        </is>
      </c>
      <c r="J22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2" s="5" t="inlineStr"/>
      <c r="L22" s="5" t="inlineStr"/>
      <c r="M22" s="5" t="inlineStr">
        <is>
          <t>TC-NOUS58_DEV-18 reset の不正な JSON・空の confirmName は 400 VALIDATION_ERROR、不一致は 400 CONFIRM_MISMATCH、生成実行中は 409 GENERATION_RUNNING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既存テスト：実装時のテスト（NOUS-58）</t>
        </is>
      </c>
    </row>
    <row r="23">
      <c r="A23" s="4" t="n">
        <v>19</v>
      </c>
      <c r="B23" s="4" t="inlineStr">
        <is>
          <t>TC-NOUS58_DEV-19</t>
        </is>
      </c>
      <c r="C23" s="5" t="inlineStr">
        <is>
          <t>GET・PUT /admin/api/settings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GET と PUT が正常に応答し、監査に記録される</t>
        </is>
      </c>
      <c r="G23" s="5" t="inlineStr">
        <is>
          <t>前提：準備中の世界
入力：GET、PUT（既定を変えた値）</t>
        </is>
      </c>
      <c r="H23" s="5" t="inlineStr">
        <is>
          <t>200、設定と見込み、settings.update の監査</t>
        </is>
      </c>
      <c r="I23" s="5" t="inlineStr">
        <is>
          <t>B18-F, B19-F</t>
        </is>
      </c>
      <c r="J23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3" s="5" t="inlineStr"/>
      <c r="L23" s="5" t="inlineStr"/>
      <c r="M23" s="5" t="inlineStr">
        <is>
          <t>TC-NOUS58_DEV-19 GET /settings と PUT /settings が正常に応答し、監査ログに記録される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既存テスト：実装時のテスト（NOUS-58）</t>
        </is>
      </c>
    </row>
    <row r="24">
      <c r="A24" s="4" t="n">
        <v>20</v>
      </c>
      <c r="B24" s="4" t="inlineStr">
        <is>
          <t>TC-NOUS58_DEV-20</t>
        </is>
      </c>
      <c r="C24" s="5" t="inlineStr">
        <is>
          <t>PUT /admin/api/settings</t>
        </is>
      </c>
      <c r="D24" s="4" t="inlineStr">
        <is>
          <t>異常系</t>
        </is>
      </c>
      <c r="E24" s="4" t="inlineStr">
        <is>
          <t>開発者テスト</t>
        </is>
      </c>
      <c r="F24" s="5" t="inlineStr">
        <is>
          <t>範囲外・未知の promptVersion・非 JSON は 400、世界が archived なら 409 STATE_CONFLICT</t>
        </is>
      </c>
      <c r="G24" s="5" t="inlineStr">
        <is>
          <t>前提：準備中の世界、その後 archived
入力：cycleMinutes 5、v_unknown、非 JSON、正しい値</t>
        </is>
      </c>
      <c r="H24" s="5" t="inlineStr">
        <is>
          <t>400 VALIDATION_ERROR（fields）、409 STATE_CONFLICT</t>
        </is>
      </c>
      <c r="I24" s="5" t="inlineStr">
        <is>
          <t>B11-T, B12-T, B20-T, B13-T</t>
        </is>
      </c>
      <c r="J24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4" s="5" t="inlineStr"/>
      <c r="L24" s="5" t="inlineStr"/>
      <c r="M24" s="5" t="inlineStr">
        <is>
          <t>TC-NOUS58_DEV-20 PUT /settings の範囲外入力・未知の promptVersion・非 JSON は 400 VALIDATION_ERROR、世界が archived なら 409 STATE_CONFLICT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既存テスト：実装時のテスト（NOUS-58）</t>
        </is>
      </c>
    </row>
    <row r="25">
      <c r="A25" s="4" t="n">
        <v>21</v>
      </c>
      <c r="B25" s="4" t="inlineStr">
        <is>
          <t>TC-NOUS58_DEV-21</t>
        </is>
      </c>
      <c r="C25" s="5" t="inlineStr">
        <is>
          <t>resolveScheduler</t>
        </is>
      </c>
      <c r="D25" s="4" t="inlineStr">
        <is>
          <t>異常系</t>
        </is>
      </c>
      <c r="E25" s="4" t="inlineStr">
        <is>
          <t>開発者テスト</t>
        </is>
      </c>
      <c r="F25" s="5" t="inlineStr">
        <is>
          <t>scheduler 未設定なら仮の実装を使い、scheduler_not_configured の warn を出す</t>
        </is>
      </c>
      <c r="G25" s="5" t="inlineStr">
        <is>
          <t>前提：resetWorldApi の後
入力：POST start・emergency-stop</t>
        </is>
      </c>
      <c r="H25" s="5" t="inlineStr">
        <is>
          <t>200、cancelledGenerations 0、warn 2 件以上</t>
        </is>
      </c>
      <c r="I25" s="5" t="inlineStr">
        <is>
          <t>B17-F</t>
        </is>
      </c>
      <c r="J25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25" s="5" t="inlineStr"/>
      <c r="L25" s="5" t="inlineStr"/>
      <c r="M25" s="5" t="inlineStr">
        <is>
          <t>TC-NOUS58_DEV-21 scheduler 未設定（resetWorldApi 後）は仮実装が使われ、scheduler_not_configured の warn ログが出る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既存テスト：実装時のテスト（NOUS-58）</t>
        </is>
      </c>
    </row>
    <row r="26">
      <c r="A26" s="4" t="n">
        <v>22</v>
      </c>
      <c r="B26" s="4" t="inlineStr">
        <is>
          <t>TC-UT_WLD-040</t>
        </is>
      </c>
      <c r="C26" s="5" t="inlineStr">
        <is>
          <t>estimateDaily</t>
        </is>
      </c>
      <c r="D26" s="4" t="inlineStr">
        <is>
          <t>正常系</t>
        </is>
      </c>
      <c r="E26" s="4" t="inlineStr">
        <is>
          <t>分岐網羅</t>
        </is>
      </c>
      <c r="F26" s="5" t="inlineStr">
        <is>
          <t>world_settings の行の形（snake_case）でも RunSettings の形と同じ見込みを返す</t>
        </is>
      </c>
      <c r="G26" s="5" t="inlineStr">
        <is>
          <t>前提：10 体・活動頻度 3
入力：{ cycle_minutes 20, activity_percent 100, daily_neurons_limit 9,500 }、平均 15.8</t>
        </is>
      </c>
      <c r="H26" s="5" t="inlineStr">
        <is>
          <t>camelCase と同じ。432・6,826・15</t>
        </is>
      </c>
      <c r="I26" s="5" t="inlineStr">
        <is>
          <t>B2-F, B3-F</t>
        </is>
      </c>
      <c r="J26" s="5" t="inlineStr">
        <is>
          <t>なし</t>
        </is>
      </c>
      <c r="K26" s="5" t="inlineStr"/>
      <c r="L26" s="5" t="inlineStr"/>
      <c r="M26" s="5" t="inlineStr">
        <is>
          <t>TC-UT_WLD-040 world_settings の行の形（snake_case）でも RunSettings の形と同じ見込みを返す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既存テスト：なし（DEV は RunSettings の形だけ）</t>
        </is>
      </c>
    </row>
    <row r="27">
      <c r="A27" s="4" t="n">
        <v>23</v>
      </c>
      <c r="B27" s="4" t="inlineStr">
        <is>
          <t>TC-UT_WLD-041</t>
        </is>
      </c>
      <c r="C27" s="5" t="inlineStr">
        <is>
          <t>estimateDaily</t>
        </is>
      </c>
      <c r="D27" s="4" t="inlineStr">
        <is>
          <t>異常系</t>
        </is>
      </c>
      <c r="E27" s="4" t="inlineStr">
        <is>
          <t>分岐網羅</t>
        </is>
      </c>
      <c r="F27" s="5" t="inlineStr">
        <is>
          <t>generation.json にない活動頻度のエージェントは、参加の確率 0 として平均に入れる</t>
        </is>
      </c>
      <c r="G27" s="5" t="inlineStr">
        <is>
          <t>前提：活動頻度 3 と 9 の 2 体
入力：既定の設定、平均 15.8</t>
        </is>
      </c>
      <c r="H27" s="5" t="inlineStr">
        <is>
          <t>avgParticipation 0.3（(0.6+0)/2）</t>
        </is>
      </c>
      <c r="I27" s="5" t="inlineStr">
        <is>
          <t>B4-T</t>
        </is>
      </c>
      <c r="J27" s="5" t="inlineStr">
        <is>
          <t>なし</t>
        </is>
      </c>
      <c r="K27" s="5" t="inlineStr"/>
      <c r="L27" s="5" t="inlineStr"/>
      <c r="M27" s="5" t="inlineStr">
        <is>
          <t>TC-UT_WLD-041 generation.json にない活動頻度のエージェントは参加の確率 0 として平均に入れる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
活動頻度は 1〜5（DB の CHECK）なので通常は起きない。設計書に記載なし。実装の値</t>
        </is>
      </c>
    </row>
    <row r="28">
      <c r="A28" s="4" t="n">
        <v>24</v>
      </c>
      <c r="B28" s="4" t="inlineStr">
        <is>
          <t>TC-UT_WLD-042</t>
        </is>
      </c>
      <c r="C28" s="5" t="inlineStr">
        <is>
          <t>estimateDaily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周期の下限は 15 分ちょうどと、それを超えて切り上げる境界で正しい</t>
        </is>
      </c>
      <c r="G28" s="5" t="inlineStr">
        <is>
          <t>前提：1 体・活動頻度 3（0.6）、平均 10（1巡 6 Neurons）
入力：上限 576、575</t>
        </is>
      </c>
      <c r="H28" s="5" t="inlineStr">
        <is>
          <t>15、16（1440×6÷575 = 15.03 を切り上げ）</t>
        </is>
      </c>
      <c r="I28" s="5" t="inlineStr">
        <is>
          <t>B5-F, B6-T, B6-F</t>
        </is>
      </c>
      <c r="J28" s="5" t="inlineStr">
        <is>
          <t>なし</t>
        </is>
      </c>
      <c r="K28" s="5" t="inlineStr"/>
      <c r="L28" s="5" t="inlineStr"/>
      <c r="M28" s="5" t="inlineStr">
        <is>
          <t>TC-UT_WLD-042 周期の下限は 15 分ちょうどと、それを超えて切り上げる境界で正しい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TC-NOUS58_DEV-01・03（境界の両側は見ていない）</t>
        </is>
      </c>
    </row>
    <row r="29">
      <c r="A29" s="4" t="n">
        <v>25</v>
      </c>
      <c r="B29" s="4" t="inlineStr">
        <is>
          <t>TC-UT_WLD-043</t>
        </is>
      </c>
      <c r="C29" s="5" t="inlineStr">
        <is>
          <t>estimateDaily</t>
        </is>
      </c>
      <c r="D29" s="4" t="inlineStr">
        <is>
          <t>正常系</t>
        </is>
      </c>
      <c r="E29" s="4" t="inlineStr">
        <is>
          <t>境界値</t>
        </is>
      </c>
      <c r="F29" s="5" t="inlineStr">
        <is>
          <t>活動量が下限の 10% なら、1巡の回数を 1/10 にして 1日の回数と Neurons を出す</t>
        </is>
      </c>
      <c r="G29" s="5" t="inlineStr">
        <is>
          <t>前提：10 体・活動頻度 3
入力：周期 20・活動量 10・平均 15.8・上限 9,500</t>
        </is>
      </c>
      <c r="H29" s="5" t="inlineStr">
        <is>
          <t>dailyRuns 43（0.6×72）、dailyNeurons 683、周期の下限 15</t>
        </is>
      </c>
      <c r="I29" s="5" t="inlineStr">
        <is>
          <t>B2-T, B6-T</t>
        </is>
      </c>
      <c r="J29" s="5" t="inlineStr">
        <is>
          <t>なし</t>
        </is>
      </c>
      <c r="K29" s="5" t="inlineStr"/>
      <c r="L29" s="5" t="inlineStr"/>
      <c r="M29" s="5" t="inlineStr">
        <is>
          <t>TC-UT_WLD-043 活動量が下限の 10% なら、1巡の回数を 1/10 にして 1日の回数と Neurons を出す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既存テスト：なし（DEV は活動量 100 だけ）</t>
        </is>
      </c>
    </row>
    <row r="30">
      <c r="A30" s="4" t="n">
        <v>26</v>
      </c>
      <c r="B30" s="4" t="inlineStr">
        <is>
          <t>TC-UT_WLD-044</t>
        </is>
      </c>
      <c r="C30" s="5" t="inlineStr">
        <is>
          <t>averageNeuronsPerRun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成功した LLM の生成がちょうど 20 件なら、既定値ではなく実測の平均を返す</t>
        </is>
      </c>
      <c r="G30" s="5" t="inlineStr">
        <is>
          <t>前提：llm 成功 20 件（10 件は 20、10 件は 40）
入力：db</t>
        </is>
      </c>
      <c r="H30" s="5" t="inlineStr">
        <is>
          <t>30</t>
        </is>
      </c>
      <c r="I30" s="5" t="inlineStr">
        <is>
          <t>B1-F</t>
        </is>
      </c>
      <c r="J30" s="5" t="inlineStr">
        <is>
          <t>FakeClock 2026-10-22T00:00:00.000Z、一時 DB（createTestDb）、SchedulerControl の差し替え（stopAll → 0、wake は vi.fn）、recordAudit は実物（admin_audit_logs）</t>
        </is>
      </c>
      <c r="K30" s="5" t="inlineStr"/>
      <c r="L30" s="5" t="inlineStr"/>
      <c r="M30" s="5" t="inlineStr">
        <is>
          <t>TC-UT_WLD-044 成功した LLM の生成がちょうど 20 件なら、既定値ではなく実測の平均を返す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TC-NOUS58_DEV-04・05（19 件と 60 件で、ちょうど 20 件は見ていない）</t>
        </is>
      </c>
    </row>
    <row r="31">
      <c r="A31" s="4" t="n">
        <v>27</v>
      </c>
      <c r="B31" s="4" t="inlineStr">
        <is>
          <t>TC-UT_WLD-045</t>
        </is>
      </c>
      <c r="C31" s="5" t="inlineStr">
        <is>
          <t>listPromptVersions</t>
        </is>
      </c>
      <c r="D31" s="4" t="inlineStr">
        <is>
          <t>異常系</t>
        </is>
      </c>
      <c r="E31" s="4" t="inlineStr">
        <is>
          <t>分岐網羅</t>
        </is>
      </c>
      <c r="F31" s="5" t="inlineStr">
        <is>
          <t>prompts のフォルダがなければ、版の一覧は空にする</t>
        </is>
      </c>
      <c r="G31" s="5" t="inlineStr">
        <is>
          <t>前提：なし
入力：消した一時ディレクトリのパス</t>
        </is>
      </c>
      <c r="H31" s="5" t="inlineStr">
        <is>
          <t>[]</t>
        </is>
      </c>
      <c r="I31" s="5" t="inlineStr">
        <is>
          <t>B7-T</t>
        </is>
      </c>
      <c r="J31" s="5" t="inlineStr">
        <is>
          <t>mkdtemp で作って消したパス</t>
        </is>
      </c>
      <c r="K31" s="5" t="inlineStr"/>
      <c r="L31" s="5" t="inlineStr"/>
      <c r="M31" s="5" t="inlineStr">
        <is>
          <t>TC-UT_WLD-045 prompts のフォルダがなければ、版の一覧は空にする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</t>
        </is>
      </c>
    </row>
    <row r="32">
      <c r="A32" s="4" t="n">
        <v>28</v>
      </c>
      <c r="B32" s="4" t="inlineStr">
        <is>
          <t>TC-UT_WLD-046</t>
        </is>
      </c>
      <c r="C32" s="5" t="inlineStr">
        <is>
          <t>countAgentsByState</t>
        </is>
      </c>
      <c r="D32" s="4" t="inlineStr">
        <is>
          <t>正常系</t>
        </is>
      </c>
      <c r="E32" s="4" t="inlineStr">
        <is>
          <t>同値分割</t>
        </is>
      </c>
      <c r="F32" s="5" t="inlineStr">
        <is>
          <t>ほかの世界のエージェントを数えない</t>
        </is>
      </c>
      <c r="G32" s="5" t="inlineStr">
        <is>
          <t>前提：archived の世界に active・stopped 各 1 体、現在の世界に active 1 体
入力：現在の world_id</t>
        </is>
      </c>
      <c r="H32" s="5" t="inlineStr">
        <is>
          <t>{ active: 1, stopped: 0 }</t>
        </is>
      </c>
      <c r="I32" s="5" t="inlineStr"/>
      <c r="J32" s="5" t="inlineStr">
        <is>
          <t>FakeClock 2026-10-22T00:00:00.000Z、一時 DB（createTestDb）、SchedulerControl の差し替え（stopAll → 0、wake は vi.fn）、recordAudit は実物（admin_audit_logs）</t>
        </is>
      </c>
      <c r="K32" s="5" t="inlineStr"/>
      <c r="L32" s="5" t="inlineStr"/>
      <c r="M32" s="5" t="inlineStr">
        <is>
          <t>TC-UT_WLD-046 countAgentsByState はほかの世界のエージェントを数えない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TC-NOUS58_DEV-07（世界が 1 つだけ）</t>
        </is>
      </c>
    </row>
    <row r="33">
      <c r="A33" s="4" t="n">
        <v>29</v>
      </c>
      <c r="B33" s="4" t="inlineStr">
        <is>
          <t>TC-UT_WLD-047</t>
        </is>
      </c>
      <c r="C33" s="5" t="inlineStr">
        <is>
          <t>listActiveAgents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active のエージェントだけを created_at の順に返す</t>
        </is>
      </c>
      <c r="G33" s="5" t="inlineStr">
        <is>
          <t>前提：late（00:00:02）、stopped（00:00:00）、early（00:00:01）
入力：world_id</t>
        </is>
      </c>
      <c r="H33" s="5" t="inlineStr">
        <is>
          <t>[early, late]</t>
        </is>
      </c>
      <c r="I33" s="5" t="inlineStr"/>
      <c r="J33" s="5" t="inlineStr">
        <is>
          <t>FakeClock 2026-10-22T00:00:00.000Z、一時 DB（createTestDb）、SchedulerControl の差し替え（stopAll → 0、wake は vi.fn）、recordAudit は実物（admin_audit_logs）</t>
        </is>
      </c>
      <c r="K33" s="5" t="inlineStr"/>
      <c r="L33" s="5" t="inlineStr"/>
      <c r="M33" s="5" t="inlineStr">
        <is>
          <t>TC-UT_WLD-047 listActiveAgents は active のエージェントだけを created_at の順に返す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既存テスト：なし（DEV は件数だけ）</t>
        </is>
      </c>
    </row>
    <row r="34">
      <c r="A34" s="4" t="n">
        <v>30</v>
      </c>
      <c r="B34" s="4" t="inlineStr">
        <is>
          <t>TC-UT_WLD-048</t>
        </is>
      </c>
      <c r="C34" s="5" t="inlineStr">
        <is>
          <t>getSettingsWithEstimate</t>
        </is>
      </c>
      <c r="D34" s="4" t="inlineStr">
        <is>
          <t>正常系</t>
        </is>
      </c>
      <c r="E34" s="4" t="inlineStr">
        <is>
          <t>分岐網羅</t>
        </is>
      </c>
      <c r="F34" s="5" t="inlineStr">
        <is>
          <t>世界があれば新しく作らず、その世界の稼働中の体数と参加の確率の平均を返す</t>
        </is>
      </c>
      <c r="G34" s="5" t="inlineStr">
        <is>
          <t>前提：準備中の世界、活動頻度 1・5 の active 2 体と stopped 1 体
入力：db、clock、generationConfig</t>
        </is>
      </c>
      <c r="H34" s="5" t="inlineStr">
        <is>
          <t>worlds は 1 行のまま、activeAgents 2、avgParticipation 0.6</t>
        </is>
      </c>
      <c r="I34" s="5" t="inlineStr">
        <is>
          <t>B10-F</t>
        </is>
      </c>
      <c r="J34" s="5" t="inlineStr">
        <is>
          <t>FakeClock 2026-10-22T00:00:00.000Z、一時 DB（createTestDb）、SchedulerControl の差し替え（stopAll → 0、wake は vi.fn）、recordAudit は実物（admin_audit_logs）</t>
        </is>
      </c>
      <c r="K34" s="5" t="inlineStr"/>
      <c r="L34" s="5" t="inlineStr"/>
      <c r="M34" s="5" t="inlineStr">
        <is>
          <t>TC-UT_WLD-048 getSettingsWithEstimate は世界があれば新しく作らず、その世界の稼働中の体数と参加の確率の平均を返す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TC-NOUS58_DEV-08（世界がないときだけ）</t>
        </is>
      </c>
    </row>
    <row r="35">
      <c r="A35" s="4" t="n">
        <v>31</v>
      </c>
      <c r="B35" s="4" t="inlineStr">
        <is>
          <t>TC-UT_WLD-049</t>
        </is>
      </c>
      <c r="C35" s="5" t="inlineStr">
        <is>
          <t>updateSettings</t>
        </is>
      </c>
      <c r="D35" s="4" t="inlineStr">
        <is>
          <t>正常系</t>
        </is>
      </c>
      <c r="E35" s="4" t="inlineStr">
        <is>
          <t>状態遷移</t>
        </is>
      </c>
      <c r="F35" s="5" t="inlineStr">
        <is>
          <t>limit_stopped で新しい上限でもまだ上限の外なら、設定は保存して状態は変えない</t>
        </is>
      </c>
      <c r="G35" s="5" t="inlineStr">
        <is>
          <t>前提：limit_stopped（neurons_limit）、Neurons 9,000
入力：dailyNeuronsLimit 9,000</t>
        </is>
      </c>
      <c r="H35" s="5" t="inlineStr">
        <is>
          <t>stateChanged null、limit_stopped・neurons_limit のまま、daily_neurons_limit は 9,000、wake なし</t>
        </is>
      </c>
      <c r="I35" s="5" t="inlineStr">
        <is>
          <t>B14-F, B16-F</t>
        </is>
      </c>
      <c r="J35" s="5" t="inlineStr">
        <is>
          <t>FakeClock 2026-10-22T00:00:00.000Z、一時 DB（createTestDb）、SchedulerControl の差し替え（stopAll → 0、wake は vi.fn）、recordAudit は実物（admin_audit_logs）</t>
        </is>
      </c>
      <c r="K35" s="5" t="inlineStr"/>
      <c r="L35" s="5" t="inlineStr"/>
      <c r="M35" s="5" t="inlineStr">
        <is>
          <t>TC-UT_WLD-049 limit_stopped で新しい上限でもまだ上限の外なら、設定は保存して状態は変えない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TC-NOUS58_DEV-11（free_tier_error で戻さないときだけ）</t>
        </is>
      </c>
    </row>
    <row r="36">
      <c r="A36" s="4" t="n">
        <v>32</v>
      </c>
      <c r="B36" s="4" t="inlineStr">
        <is>
          <t>TC-UT_WLD-050</t>
        </is>
      </c>
      <c r="C36" s="5" t="inlineStr">
        <is>
          <t>updateSettings</t>
        </is>
      </c>
      <c r="D36" s="4" t="inlineStr">
        <is>
          <t>正常系</t>
        </is>
      </c>
      <c r="E36" s="4" t="inlineStr">
        <is>
          <t>分岐網羅</t>
        </is>
      </c>
      <c r="F36" s="5" t="inlineStr">
        <is>
          <t>limit_stopped から running に戻すとき、未来の next_cycle_at はそのまま残す</t>
        </is>
      </c>
      <c r="G36" s="5" t="inlineStr">
        <is>
          <t>前提：limit_stopped（runs_limit）、実行回数 480、next_cycle_at 00:15（未来）
入力：dailyRunsLimit 481</t>
        </is>
      </c>
      <c r="H36" s="5" t="inlineStr">
        <is>
          <t>limit_stopped→running、next_cycle_at 00:15、running_since・heartbeat_at は現在</t>
        </is>
      </c>
      <c r="I36" s="5" t="inlineStr">
        <is>
          <t>B14-T, B15-T</t>
        </is>
      </c>
      <c r="J36" s="5" t="inlineStr">
        <is>
          <t>FakeClock 2026-10-22T00:00:00.000Z、一時 DB（createTestDb）、SchedulerControl の差し替え（stopAll → 0、wake は vi.fn）、recordAudit は実物（admin_audit_logs）</t>
        </is>
      </c>
      <c r="K36" s="5" t="inlineStr"/>
      <c r="L36" s="5" t="inlineStr"/>
      <c r="M36" s="5" t="inlineStr">
        <is>
          <t>TC-UT_WLD-050 limit_stopped から running に戻すとき、未来の next_cycle_at はそのまま残す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TC-NOUS58_DEV-11（next_cycle_at が null のときだけ）</t>
        </is>
      </c>
    </row>
    <row r="37">
      <c r="A37" s="4" t="n">
        <v>33</v>
      </c>
      <c r="B37" s="4" t="inlineStr">
        <is>
          <t>TC-UT_WLD-051</t>
        </is>
      </c>
      <c r="C37" s="5" t="inlineStr">
        <is>
          <t>updateSettings</t>
        </is>
      </c>
      <c r="D37" s="4" t="inlineStr">
        <is>
          <t>正常系</t>
        </is>
      </c>
      <c r="E37" s="4" t="inlineStr">
        <is>
          <t>同値分割</t>
        </is>
      </c>
      <c r="F37" s="5" t="inlineStr">
        <is>
          <t>running で新しい上限の中なら状態を変えず、stateChanged は null で stopAll も呼ばない</t>
        </is>
      </c>
      <c r="G37" s="5" t="inlineStr">
        <is>
          <t>前提：running、実行回数 10
入力：dailyRunsLimit 11</t>
        </is>
      </c>
      <c r="H37" s="5" t="inlineStr">
        <is>
          <t>stateChanged null、running のまま、stopAll なし</t>
        </is>
      </c>
      <c r="I37" s="5" t="inlineStr">
        <is>
          <t>B14-F, B16-F</t>
        </is>
      </c>
      <c r="J37" s="5" t="inlineStr">
        <is>
          <t>FakeClock 2026-10-22T00:00:00.000Z、一時 DB（createTestDb）、SchedulerControl の差し替え（stopAll → 0、wake は vi.fn）、recordAudit は実物（admin_audit_logs）</t>
        </is>
      </c>
      <c r="K37" s="5" t="inlineStr"/>
      <c r="L37" s="5" t="inlineStr"/>
      <c r="M37" s="5" t="inlineStr">
        <is>
          <t>TC-UT_WLD-051 running で新しい上限の中なら状態を変えず、stateChanged は null で stopAll も呼ばない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TC-UT_WLD-052</t>
        </is>
      </c>
      <c r="C38" s="5" t="inlineStr">
        <is>
          <t>updateSettings</t>
        </is>
      </c>
      <c r="D38" s="4" t="inlineStr">
        <is>
          <t>正常系</t>
        </is>
      </c>
      <c r="E38" s="4" t="inlineStr">
        <is>
          <t>同値分割</t>
        </is>
      </c>
      <c r="F38" s="5" t="inlineStr">
        <is>
          <t>preparing の世界は、利用量が新しい上限の外でも設定だけを保存し、状態は変えない</t>
        </is>
      </c>
      <c r="G38" s="5" t="inlineStr">
        <is>
          <t>前提：preparing、実行回数 10
入力：dailyRunsLimit 10</t>
        </is>
      </c>
      <c r="H38" s="5" t="inlineStr">
        <is>
          <t>stateChanged null、preparing のまま、daily_runs_limit 10</t>
        </is>
      </c>
      <c r="I38" s="5" t="inlineStr">
        <is>
          <t>B14-F, B16-F</t>
        </is>
      </c>
      <c r="J38" s="5" t="inlineStr">
        <is>
          <t>FakeClock 2026-10-22T00:00:00.000Z、一時 DB（createTestDb）、SchedulerControl の差し替え（stopAll → 0、wake は vi.fn）、recordAudit は実物（admin_audit_logs）</t>
        </is>
      </c>
      <c r="K38" s="5" t="inlineStr"/>
      <c r="L38" s="5" t="inlineStr"/>
      <c r="M38" s="5" t="inlineStr">
        <is>
          <t>TC-UT_WLD-052 preparing の世界は、利用量が新しい上限の外でも設定だけを保存し、状態は変えない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TC-UT_WLD-053</t>
        </is>
      </c>
      <c r="C39" s="5" t="inlineStr">
        <is>
          <t>updateSettings</t>
        </is>
      </c>
      <c r="D39" s="4" t="inlineStr">
        <is>
          <t>正常系</t>
        </is>
      </c>
      <c r="E39" s="4" t="inlineStr">
        <is>
          <t>境界値</t>
        </is>
      </c>
      <c r="F39" s="5" t="inlineStr">
        <is>
          <t>数値の項目がすべて下限ちょうど・上限ちょうどでも保存できる</t>
        </is>
      </c>
      <c r="G39" s="5" t="inlineStr">
        <is>
          <t>前提：準備中の世界
入力：SETTINGS_RANGES の min だけ、max だけの 2 通り</t>
        </is>
      </c>
      <c r="H39" s="5" t="inlineStr">
        <is>
          <t>エラーにならず、world_settings の 9 項目がその値</t>
        </is>
      </c>
      <c r="I39" s="5" t="inlineStr">
        <is>
          <t>B11-F</t>
        </is>
      </c>
      <c r="J39" s="5" t="inlineStr">
        <is>
          <t>FakeClock 2026-10-22T00:00:00.000Z、一時 DB（createTestDb）、SchedulerControl の差し替え（stopAll → 0、wake は vi.fn）、recordAudit は実物（admin_audit_logs）</t>
        </is>
      </c>
      <c r="K39" s="5" t="inlineStr"/>
      <c r="L39" s="5" t="inlineStr"/>
      <c r="M39" s="5" t="inlineStr">
        <is>
          <t>TC-UT_WLD-053 数値の項目がすべて下限ちょうど・上限ちょうどでも保存できる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既存テスト：なし（DEV は既定値だけ）</t>
        </is>
      </c>
    </row>
    <row r="40">
      <c r="A40" s="4" t="n">
        <v>36</v>
      </c>
      <c r="B40" s="4" t="inlineStr">
        <is>
          <t>TC-UT_WLD-054</t>
        </is>
      </c>
      <c r="C40" s="5" t="inlineStr">
        <is>
          <t>updateSettings</t>
        </is>
      </c>
      <c r="D40" s="4" t="inlineStr">
        <is>
          <t>正常系</t>
        </is>
      </c>
      <c r="E40" s="4" t="inlineStr">
        <is>
          <t>同値分割</t>
        </is>
      </c>
      <c r="F40" s="5" t="inlineStr">
        <is>
          <t>応答の見込みは、保存した新しい設定で計算する</t>
        </is>
      </c>
      <c r="G40" s="5" t="inlineStr">
        <is>
          <t>前提：準備中の世界、活動頻度 3 の active 10 体
入力：cycleMinutes 40（ほかは既定）</t>
        </is>
      </c>
      <c r="H40" s="5" t="inlineStr">
        <is>
          <t>estimatedDailyRuns 216（6×36）、settings.cycleMinutes 40</t>
        </is>
      </c>
      <c r="I40" s="5" t="inlineStr"/>
      <c r="J40" s="5" t="inlineStr">
        <is>
          <t>FakeClock 2026-10-22T00:00:00.000Z、一時 DB（createTestDb）、SchedulerControl の差し替え（stopAll → 0、wake は vi.fn）、recordAudit は実物（admin_audit_logs）</t>
        </is>
      </c>
      <c r="K40" s="5" t="inlineStr"/>
      <c r="L40" s="5" t="inlineStr"/>
      <c r="M40" s="5" t="inlineStr">
        <is>
          <t>TC-UT_WLD-054 応答の見込みは、保存した新しい設定で計算する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TC-UT_WLD-066</t>
        </is>
      </c>
      <c r="C41" s="5" t="inlineStr">
        <is>
          <t>updateSettings</t>
        </is>
      </c>
      <c r="D41" s="4" t="inlineStr">
        <is>
          <t>異常系</t>
        </is>
      </c>
      <c r="E41" s="4" t="inlineStr">
        <is>
          <t>状態遷移</t>
        </is>
      </c>
      <c r="F41" s="5" t="inlineStr">
        <is>
          <t>running で新しい上限を超えたときは、設定の更新と同じ処理の中で running → limit_stopped にする</t>
        </is>
      </c>
      <c r="G41" s="5" t="inlineStr">
        <is>
          <t>前提：running、実行回数 50。worldService.enterLimitStopped は何もしない差し替え
入力：dailyRunsLimit 50</t>
        </is>
      </c>
      <c r="H41" s="5" t="inlineStr">
        <is>
          <t>stateChanged running→limit_stopped、worlds は limit_stopped・runs_limit・running_since null</t>
        </is>
      </c>
      <c r="I41" s="5" t="inlineStr">
        <is>
          <t>B16-T</t>
        </is>
      </c>
      <c r="J41" s="5" t="inlineStr">
        <is>
          <t>FakeClock 2026-10-22T00:00:00.000Z、一時 DB（createTestDb）、SchedulerControl の差し替え（stopAll → 0、wake は vi.fn）、recordAudit は実物（admin_audit_logs）、enterLimitStopped を vi.fn に差し替え</t>
        </is>
      </c>
      <c r="K41" s="5" t="inlineStr"/>
      <c r="L41" s="5" t="inlineStr"/>
      <c r="M41" s="5" t="inlineStr">
        <is>
          <t>TC-UT_WLD-066 running で新しい上限を超えたときは、設定の更新と同じ処理の中で running → limit_stopped にする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既存テスト：一部 TC-NOUS58_DEV-12（enterLimitStopped の実物を使うため、トランザクションの分かれ目は見ていない）
疑い：実装は enterLimitStopped（コミットの後の別トランザクション）に任せるため、差し替えると running のまま。疑い 1
world.md 6章 トランザクション制御の表</t>
        </is>
      </c>
    </row>
    <row r="42">
      <c r="A42" s="4" t="n">
        <v>38</v>
      </c>
      <c r="B42" s="4" t="inlineStr">
        <is>
          <t>TC-UT_WLD-067</t>
        </is>
      </c>
      <c r="C42" s="5" t="inlineStr">
        <is>
          <t>GET /admin/api/world</t>
        </is>
      </c>
      <c r="D42" s="4" t="inlineStr">
        <is>
          <t>異常系</t>
        </is>
      </c>
      <c r="E42" s="4" t="inlineStr">
        <is>
          <t>エラー処理</t>
        </is>
      </c>
      <c r="F42" s="5" t="inlineStr">
        <is>
          <t>世界がないときに GET が同時に2つ届いても、どちらも 200 で、作る世界は1つだけ</t>
        </is>
      </c>
      <c r="G42" s="5" t="inlineStr">
        <is>
          <t>前提：世界なし
入力：GET を Promise.all で2つ同時に</t>
        </is>
      </c>
      <c r="H42" s="5" t="inlineStr">
        <is>
          <t>どちらも 200、worlds は 1 行</t>
        </is>
      </c>
      <c r="I42" s="5" t="inlineStr">
        <is>
          <t>B21-T</t>
        </is>
      </c>
      <c r="J42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2" s="5" t="inlineStr"/>
      <c r="L42" s="5" t="inlineStr"/>
      <c r="M42" s="5" t="inlineStr">
        <is>
          <t>TC-UT_WLD-067 世界がないときに GET /world が同時に2つ届いても、どちらも 200 で、作る世界は1つだけ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TC-UT_WLD-055（順に2回だけ）
疑い：find と create の間で割り込まれると 2つ目が 500 になりうる。疑い 2
1つのプロセスの中では同期の処理のため割り込まれない見込み</t>
        </is>
      </c>
    </row>
    <row r="43">
      <c r="A43" s="4" t="n">
        <v>39</v>
      </c>
      <c r="B43" s="4" t="inlineStr">
        <is>
          <t>TC-UT_WLD-055</t>
        </is>
      </c>
      <c r="C43" s="5" t="inlineStr">
        <is>
          <t>GET /admin/api/world</t>
        </is>
      </c>
      <c r="D43" s="4" t="inlineStr">
        <is>
          <t>正常系</t>
        </is>
      </c>
      <c r="E43" s="4" t="inlineStr">
        <is>
          <t>分岐網羅</t>
        </is>
      </c>
      <c r="F43" s="5" t="inlineStr">
        <is>
          <t>世界がないときに 2 回呼んでも、作る世界は 1 つだけ</t>
        </is>
      </c>
      <c r="G43" s="5" t="inlineStr">
        <is>
          <t>前提：世界なし
入力：GET を 2 回（順に）</t>
        </is>
      </c>
      <c r="H43" s="5" t="inlineStr">
        <is>
          <t>どちらも 200 で同じ worldId、worlds は 1 行</t>
        </is>
      </c>
      <c r="I43" s="5" t="inlineStr">
        <is>
          <t>B21-T, B21-F</t>
        </is>
      </c>
      <c r="J43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3" s="5" t="inlineStr"/>
      <c r="L43" s="5" t="inlineStr"/>
      <c r="M43" s="5" t="inlineStr">
        <is>
          <t>TC-UT_WLD-055 世界がないときに GET /world を2回呼んでも、作る世界は1つだけ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TC-NOUS58_DEV-13（1 回だけ）
同時に届くときは確認事項 2</t>
        </is>
      </c>
    </row>
    <row r="44">
      <c r="A44" s="4" t="n">
        <v>40</v>
      </c>
      <c r="B44" s="4" t="inlineStr">
        <is>
          <t>TC-UT_WLD-056</t>
        </is>
      </c>
      <c r="C44" s="5" t="inlineStr">
        <is>
          <t>GET /admin/api/world</t>
        </is>
      </c>
      <c r="D44" s="4" t="inlineStr">
        <is>
          <t>正常系</t>
        </is>
      </c>
      <c r="E44" s="4" t="inlineStr">
        <is>
          <t>同値分割</t>
        </is>
      </c>
      <c r="F44" s="5" t="inlineStr">
        <is>
          <t>利用日の行がなければ利用量は 0 で、上限はその世界の world_settings の値を返す</t>
        </is>
      </c>
      <c r="G44" s="5" t="inlineStr">
        <is>
          <t>前提：準備中、上限 5,000・200、daily_usage なし
入力：GET</t>
        </is>
      </c>
      <c r="H44" s="5" t="inlineStr">
        <is>
          <t>usage { 2026-10-22, 0, 0, 5000, 200, freeTierNeurons 10000 }</t>
        </is>
      </c>
      <c r="I44" s="5" t="inlineStr">
        <is>
          <t>B21-F</t>
        </is>
      </c>
      <c r="J44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4" s="5" t="inlineStr"/>
      <c r="L44" s="5" t="inlineStr"/>
      <c r="M44" s="5" t="inlineStr">
        <is>
          <t>TC-UT_WLD-056 利用日の行がなければ利用量は 0 で、上限はその世界の world_settings の値を返す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既存テスト：一部 TC-NOUS58_DEV-14（利用量があり既定の上限のとき）</t>
        </is>
      </c>
    </row>
    <row r="45">
      <c r="A45" s="4" t="n">
        <v>41</v>
      </c>
      <c r="B45" s="4" t="inlineStr">
        <is>
          <t>TC-UT_WLD-057</t>
        </is>
      </c>
      <c r="C45" s="5" t="inlineStr">
        <is>
          <t>GET /admin/api/world</t>
        </is>
      </c>
      <c r="D45" s="4" t="inlineStr">
        <is>
          <t>正常系</t>
        </is>
      </c>
      <c r="E45" s="4" t="inlineStr">
        <is>
          <t>同値分割</t>
        </is>
      </c>
      <c r="F45" s="5" t="inlineStr">
        <is>
          <t>一時停止中は、時間が進んでも worldTimeSec が増えない</t>
        </is>
      </c>
      <c r="G45" s="5" t="inlineStr">
        <is>
          <t>前提：start → 30 秒 → pause → 1 時間
入力：GET</t>
        </is>
      </c>
      <c r="H45" s="5" t="inlineStr">
        <is>
          <t>state paused、worldTimeSec 30</t>
        </is>
      </c>
      <c r="I45" s="5" t="inlineStr">
        <is>
          <t>B21-F</t>
        </is>
      </c>
      <c r="J45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5" s="5" t="inlineStr"/>
      <c r="L45" s="5" t="inlineStr"/>
      <c r="M45" s="5" t="inlineStr">
        <is>
          <t>TC-UT_WLD-057 一時停止中は、時間が進んでも worldTimeSec が増えない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既存テスト：なし</t>
        </is>
      </c>
    </row>
    <row r="46">
      <c r="A46" s="4" t="n">
        <v>42</v>
      </c>
      <c r="B46" s="4" t="inlineStr">
        <is>
          <t>TC-UT_WLD-058</t>
        </is>
      </c>
      <c r="C46" s="5" t="inlineStr">
        <is>
          <t>POST /admin/api/world/start</t>
        </is>
      </c>
      <c r="D46" s="4" t="inlineStr">
        <is>
          <t>異常系</t>
        </is>
      </c>
      <c r="E46" s="4" t="inlineStr">
        <is>
          <t>エラー処理</t>
        </is>
      </c>
      <c r="F46" s="5" t="inlineStr">
        <is>
          <t>CSRF トークンのない POST は 403 で、世界の状態を変えない</t>
        </is>
      </c>
      <c r="G46" s="5" t="inlineStr">
        <is>
          <t>前提：準備中、active 1 体
入力：POST /world/start（Cookie だけ）</t>
        </is>
      </c>
      <c r="H46" s="5" t="inlineStr">
        <is>
          <t>403 CSRF_INVALID、preparing のまま、監査なし、wake なし</t>
        </is>
      </c>
      <c r="I46" s="5" t="inlineStr"/>
      <c r="J46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6" s="5" t="inlineStr"/>
      <c r="L46" s="5" t="inlineStr"/>
      <c r="M46" s="5" t="inlineStr">
        <is>
          <t>TC-UT_WLD-058 CSRF トークンのない POST /world/start は 403 で、世界の状態を変えない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既存テスト：なし（world の DEV はすべて CSRF あり）</t>
        </is>
      </c>
    </row>
    <row r="47">
      <c r="A47" s="4" t="n">
        <v>43</v>
      </c>
      <c r="B47" s="4" t="inlineStr">
        <is>
          <t>TC-UT_WLD-059</t>
        </is>
      </c>
      <c r="C47" s="5" t="inlineStr">
        <is>
          <t>GET /admin/api/world</t>
        </is>
      </c>
      <c r="D47" s="4" t="inlineStr">
        <is>
          <t>異常系</t>
        </is>
      </c>
      <c r="E47" s="4" t="inlineStr">
        <is>
          <t>エラー処理</t>
        </is>
      </c>
      <c r="F47" s="5" t="inlineStr">
        <is>
          <t>ログインしていない GET は 401 ADMIN_UNAUTHORIZED</t>
        </is>
      </c>
      <c r="G47" s="5" t="inlineStr">
        <is>
          <t>前提：準備中の世界
入力：GET（Cookie なし）</t>
        </is>
      </c>
      <c r="H47" s="5" t="inlineStr">
        <is>
          <t>401 ADMIN_UNAUTHORIZED</t>
        </is>
      </c>
      <c r="I47" s="5" t="inlineStr"/>
      <c r="J47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7" s="5" t="inlineStr"/>
      <c r="L47" s="5" t="inlineStr"/>
      <c r="M47" s="5" t="inlineStr">
        <is>
          <t>TC-UT_WLD-059 ログインしていない GET /world は 401 ADMIN_UNAUTHORIZED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</t>
        </is>
      </c>
    </row>
    <row r="48">
      <c r="A48" s="4" t="n">
        <v>44</v>
      </c>
      <c r="B48" s="4" t="inlineStr">
        <is>
          <t>TC-UT_WLD-060</t>
        </is>
      </c>
      <c r="C48" s="5" t="inlineStr">
        <is>
          <t>POST /admin/api/world/reset</t>
        </is>
      </c>
      <c r="D48" s="4" t="inlineStr">
        <is>
          <t>異常系</t>
        </is>
      </c>
      <c r="E48" s="4" t="inlineStr">
        <is>
          <t>同値分割</t>
        </is>
      </c>
      <c r="F48" s="5" t="inlineStr">
        <is>
          <t>confirmName のない本文は 400 VALIDATION_ERROR（fields.confirmName）</t>
        </is>
      </c>
      <c r="G48" s="5" t="inlineStr">
        <is>
          <t>前提：準備中の世界
入力：本文 {}</t>
        </is>
      </c>
      <c r="H48" s="5" t="inlineStr">
        <is>
          <t>400 VALIDATION_ERROR、fields.confirmName</t>
        </is>
      </c>
      <c r="I48" s="5" t="inlineStr">
        <is>
          <t>B20-F, B22-T</t>
        </is>
      </c>
      <c r="J48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8" s="5" t="inlineStr"/>
      <c r="L48" s="5" t="inlineStr"/>
      <c r="M48" s="5" t="inlineStr">
        <is>
          <t>TC-UT_WLD-060 confirmName のない本文の POST /world/reset は 400 VALIDATION_ERROR（fields.confirmName）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TC-NOUS58_DEV-18（空文字だけ）</t>
        </is>
      </c>
    </row>
    <row r="49">
      <c r="A49" s="4" t="n">
        <v>45</v>
      </c>
      <c r="B49" s="4" t="inlineStr">
        <is>
          <t>TC-UT_WLD-061</t>
        </is>
      </c>
      <c r="C49" s="5" t="inlineStr">
        <is>
          <t>PUT /admin/api/settings</t>
        </is>
      </c>
      <c r="D49" s="4" t="inlineStr">
        <is>
          <t>異常系</t>
        </is>
      </c>
      <c r="E49" s="4" t="inlineStr">
        <is>
          <t>境界値</t>
        </is>
      </c>
      <c r="F49" s="5" t="inlineStr">
        <is>
          <t>数値の項目が下限-1・上限+1 なら 400 VALIDATION_ERROR（fields にその項目）で、設定を変えない</t>
        </is>
      </c>
      <c r="G49" s="5" t="inlineStr">
        <is>
          <t>前提：準備中の世界
入力：9 項目それぞれの min-1・max+1（18 通り、ほかは既定）</t>
        </is>
      </c>
      <c r="H49" s="5" t="inlineStr">
        <is>
          <t>400 VALIDATION_ERROR、fields にその項目、world_settings は変わらない</t>
        </is>
      </c>
      <c r="I49" s="5" t="inlineStr">
        <is>
          <t>B11-T</t>
        </is>
      </c>
      <c r="J49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49" s="5" t="inlineStr"/>
      <c r="L49" s="5" t="inlineStr"/>
      <c r="M49" s="5" t="inlineStr">
        <is>
          <t>TC-UT_WLD-061 数値の項目が下限-1・上限+1 なら 400 VALIDATION_ERROR（fields にその項目）で、設定を変えない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既存テスト：一部 TC-NOUS58_DEV-20（cycleMinutes 5 だけ）</t>
        </is>
      </c>
    </row>
    <row r="50">
      <c r="A50" s="4" t="n">
        <v>46</v>
      </c>
      <c r="B50" s="4" t="inlineStr">
        <is>
          <t>TC-UT_WLD-062</t>
        </is>
      </c>
      <c r="C50" s="5" t="inlineStr">
        <is>
          <t>PUT /admin/api/settings</t>
        </is>
      </c>
      <c r="D50" s="4" t="inlineStr">
        <is>
          <t>異常系</t>
        </is>
      </c>
      <c r="E50" s="4" t="inlineStr">
        <is>
          <t>同値分割</t>
        </is>
      </c>
      <c r="F50" s="5" t="inlineStr">
        <is>
          <t>modelId が選択肢の 2 値以外なら 400 VALIDATION_ERROR（fields.modelId）</t>
        </is>
      </c>
      <c r="G50" s="5" t="inlineStr">
        <is>
          <t>前提：準備中の世界
入力：modelId @cf/meta/llama-3-8b-instruct</t>
        </is>
      </c>
      <c r="H50" s="5" t="inlineStr">
        <is>
          <t>400 VALIDATION_ERROR、fields.modelId</t>
        </is>
      </c>
      <c r="I50" s="5" t="inlineStr">
        <is>
          <t>B11-T</t>
        </is>
      </c>
      <c r="J50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50" s="5" t="inlineStr"/>
      <c r="L50" s="5" t="inlineStr"/>
      <c r="M50" s="5" t="inlineStr">
        <is>
          <t>TC-UT_WLD-062 modelId が選択肢の2値以外なら 400 VALIDATION_ERROR（fields.modelId）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</t>
        </is>
      </c>
    </row>
    <row r="51">
      <c r="A51" s="4" t="n">
        <v>47</v>
      </c>
      <c r="B51" s="4" t="inlineStr">
        <is>
          <t>TC-UT_WLD-063</t>
        </is>
      </c>
      <c r="C51" s="5" t="inlineStr">
        <is>
          <t>PUT /admin/api/settings</t>
        </is>
      </c>
      <c r="D51" s="4" t="inlineStr">
        <is>
          <t>異常系</t>
        </is>
      </c>
      <c r="E51" s="4" t="inlineStr">
        <is>
          <t>同値分割</t>
        </is>
      </c>
      <c r="F51" s="5" t="inlineStr">
        <is>
          <t>必須の項目が欠けていれば 400 VALIDATION_ERROR（fields にその項目）</t>
        </is>
      </c>
      <c r="G51" s="5" t="inlineStr">
        <is>
          <t>前提：準備中の世界
入力：maxConcurrency を抜いた本文</t>
        </is>
      </c>
      <c r="H51" s="5" t="inlineStr">
        <is>
          <t>400 VALIDATION_ERROR、fields.maxConcurrency</t>
        </is>
      </c>
      <c r="I51" s="5" t="inlineStr">
        <is>
          <t>B11-T</t>
        </is>
      </c>
      <c r="J51" s="5" t="inlineStr">
        <is>
          <t>FakeClock 2026-10-22T00:00:00.000Z、一時 DB（createTestDb）、createAdminApp（requireAdminSession・requireCsrf を通す）、configureWorldApi で SchedulerControl の差し替え（stopAll → 0、wake は vi.fn）</t>
        </is>
      </c>
      <c r="K51" s="5" t="inlineStr"/>
      <c r="L51" s="5" t="inlineStr"/>
      <c r="M51" s="5" t="inlineStr">
        <is>
          <t>TC-UT_WLD-063 必須の項目が欠けていれば 400 VALIDATION_ERROR（fields にその項目）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</t>
        </is>
      </c>
    </row>
    <row r="52">
      <c r="A52" s="4" t="n">
        <v>48</v>
      </c>
      <c r="B52" s="4" t="inlineStr">
        <is>
          <t>TC-UT_WLD-064</t>
        </is>
      </c>
      <c r="C52" s="5" t="inlineStr">
        <is>
          <t>GET・PUT /admin/api/settings</t>
        </is>
      </c>
      <c r="D52" s="4" t="inlineStr">
        <is>
          <t>正常系</t>
        </is>
      </c>
      <c r="E52" s="4" t="inlineStr">
        <is>
          <t>依存</t>
        </is>
      </c>
      <c r="F52" s="5" t="inlineStr">
        <is>
          <t>GET はモデルの 2 値と、設定した prompts の版の一覧を返し、その版を PUT で保存できる</t>
        </is>
      </c>
      <c r="G52" s="5" t="inlineStr">
        <is>
          <t>前提：configureWorldApi の promptsDir に v1・v2（mkdtemp）
入力：GET、PUT promptVersion v2</t>
        </is>
      </c>
      <c r="H52" s="5" t="inlineStr">
        <is>
          <t>modelOptions は 2 値、promptVersions [v1, v2]、PUT は 200 で prompt_version v2</t>
        </is>
      </c>
      <c r="I52" s="5" t="inlineStr">
        <is>
          <t>B19-T, B12-F, B9-T</t>
        </is>
      </c>
      <c r="J52" s="5" t="inlineStr">
        <is>
          <t>FakeClock 2026-10-22T00:00:00.000Z、一時 DB（createTestDb）、createAdminApp（requireAdminSession・requireCsrf を通す）、configureWorldApi で SchedulerControl の差し替え（stopAll → 0、wake は vi.fn）、promptsDir を一時ディレクトリに差し替え</t>
        </is>
      </c>
      <c r="K52" s="5" t="inlineStr"/>
      <c r="L52" s="5" t="inlineStr"/>
      <c r="M52" s="5" t="inlineStr">
        <is>
          <t>TC-UT_WLD-064 GET /settings はモデルの2値と、設定した prompts の版の一覧を返し、その版を PUT で保存できる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既存テスト：一部 TC-NOUS58_DEV-19（既定の prompts/ の v1 だけ）</t>
        </is>
      </c>
    </row>
    <row r="53">
      <c r="A53" s="4" t="n">
        <v>49</v>
      </c>
      <c r="B53" s="4" t="inlineStr">
        <is>
          <t>TC-UT_WLD-065</t>
        </is>
      </c>
      <c r="C53" s="5" t="inlineStr">
        <is>
          <t>GET /admin/api/settings</t>
        </is>
      </c>
      <c r="D53" s="4" t="inlineStr">
        <is>
          <t>正常系</t>
        </is>
      </c>
      <c r="E53" s="4" t="inlineStr">
        <is>
          <t>依存</t>
        </is>
      </c>
      <c r="F53" s="5" t="inlineStr">
        <is>
          <t>configureWorldApi で渡した generation の設定（参加の確率）で見込みを計算する</t>
        </is>
      </c>
      <c r="G53" s="5" t="inlineStr">
        <is>
          <t>前提：参加の確率をすべて 1 にした generationConfig、活動頻度 3 の active 1 体
入力：GET</t>
        </is>
      </c>
      <c r="H53" s="5" t="inlineStr">
        <is>
          <t>activeAgents 1、avgParticipation 1、estimatedDailyRuns 72</t>
        </is>
      </c>
      <c r="I53" s="5" t="inlineStr">
        <is>
          <t>B18-T</t>
        </is>
      </c>
      <c r="J53" s="5" t="inlineStr">
        <is>
          <t>FakeClock 2026-10-22T00:00:00.000Z、一時 DB（createTestDb）、createAdminApp（requireAdminSession・requireCsrf を通す）、configureWorldApi で SchedulerControl の差し替え（stopAll → 0、wake は vi.fn）、generationConfig を差し替え</t>
        </is>
      </c>
      <c r="K53" s="5" t="inlineStr"/>
      <c r="L53" s="5" t="inlineStr"/>
      <c r="M53" s="5" t="inlineStr">
        <is>
          <t>TC-UT_WLD-065 configureWorldApi で渡した generation の設定（参加の確率）で見込みを計算する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既存テスト：なし</t>
        </is>
      </c>
    </row>
  </sheetData>
  <autoFilter ref="A4:Q53"/>
  <conditionalFormatting sqref="A5:Q103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3" showDropDown="0" showInputMessage="0" showErrorMessage="0" allowBlank="1" type="list">
      <formula1>"未実施,OK,NG,保留,対象外"</formula1>
    </dataValidation>
    <dataValidation sqref="D5:D103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COUNTA(観点表!$B$5:$B$103)</f>
        <v/>
      </c>
    </row>
    <row r="6">
      <c r="A6" s="10" t="inlineStr">
        <is>
          <t>正常系</t>
        </is>
      </c>
      <c r="B6" s="10">
        <f>COUNTIF(観点表!$D$5:$D$103,"正常系")</f>
        <v/>
      </c>
    </row>
    <row r="7">
      <c r="A7" s="10" t="inlineStr">
        <is>
          <t>異常系</t>
        </is>
      </c>
      <c r="B7" s="10">
        <f>COUNTIF(観点表!$D$5:$D$103,"異常系")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COUNTIF(観点表!$E$5:$E$103,"エラー処理")</f>
        <v/>
      </c>
    </row>
    <row r="11">
      <c r="A11" s="10" t="inlineStr">
        <is>
          <t>依存</t>
        </is>
      </c>
      <c r="B11" s="10">
        <f>COUNTIF(観点表!$E$5:$E$103,"依存")</f>
        <v/>
      </c>
    </row>
    <row r="12">
      <c r="A12" s="10" t="inlineStr">
        <is>
          <t>分岐網羅</t>
        </is>
      </c>
      <c r="B12" s="10">
        <f>COUNTIF(観点表!$E$5:$E$103,"分岐網羅")</f>
        <v/>
      </c>
    </row>
    <row r="13">
      <c r="A13" s="10" t="inlineStr">
        <is>
          <t>同値分割</t>
        </is>
      </c>
      <c r="B13" s="10">
        <f>COUNTIF(観点表!$E$5:$E$103,"同値分割")</f>
        <v/>
      </c>
    </row>
    <row r="14">
      <c r="A14" s="10" t="inlineStr">
        <is>
          <t>境界値</t>
        </is>
      </c>
      <c r="B14" s="10">
        <f>COUNTIF(観点表!$E$5:$E$103,"境界値")</f>
        <v/>
      </c>
    </row>
    <row r="15">
      <c r="A15" s="10" t="inlineStr">
        <is>
          <t>状態遷移</t>
        </is>
      </c>
      <c r="B15" s="10">
        <f>COUNTIF(観点表!$E$5:$E$103,"状態遷移")</f>
        <v/>
      </c>
    </row>
    <row r="16">
      <c r="A16" s="10" t="inlineStr">
        <is>
          <t>開発者テスト</t>
        </is>
      </c>
      <c r="B16" s="10">
        <f>COUNTIF(観点表!$E$5:$E$103,"開発者テスト")</f>
        <v/>
      </c>
    </row>
    <row r="18">
      <c r="A18" s="8" t="inlineStr">
        <is>
          <t>テストデータ</t>
        </is>
      </c>
      <c r="B18" s="9" t="n"/>
      <c r="C18" s="9" t="n"/>
    </row>
    <row r="19">
      <c r="A19" s="10" t="inlineStr">
        <is>
          <t>作成済み</t>
        </is>
      </c>
      <c r="B19" s="10">
        <f>COUNTIF(観点表!$K$5:$K$103,"?*")</f>
        <v/>
      </c>
    </row>
    <row r="20">
      <c r="A20" s="10" t="inlineStr">
        <is>
          <t>未作成</t>
        </is>
      </c>
      <c r="B20" s="10">
        <f>B5-B19</f>
        <v/>
      </c>
    </row>
    <row r="22">
      <c r="A22" s="8" t="inlineStr">
        <is>
          <t>実施状況</t>
        </is>
      </c>
      <c r="B22" s="9" t="n"/>
      <c r="C22" s="9" t="n"/>
    </row>
    <row r="23">
      <c r="A23" s="10" t="inlineStr">
        <is>
          <t>未実施</t>
        </is>
      </c>
      <c r="B23" s="10">
        <f>COUNTIF(観点表!$N$5:$N$103,"未実施")</f>
        <v/>
      </c>
    </row>
    <row r="24">
      <c r="A24" s="10" t="inlineStr">
        <is>
          <t>OK</t>
        </is>
      </c>
      <c r="B24" s="10">
        <f>COUNTIF(観点表!$N$5:$N$103,"OK")</f>
        <v/>
      </c>
    </row>
    <row r="25">
      <c r="A25" s="10" t="inlineStr">
        <is>
          <t>NG</t>
        </is>
      </c>
      <c r="B25" s="10">
        <f>COUNTIF(観点表!$N$5:$N$103,"NG")</f>
        <v/>
      </c>
    </row>
    <row r="26">
      <c r="A26" s="10" t="inlineStr">
        <is>
          <t>保留</t>
        </is>
      </c>
      <c r="B26" s="10">
        <f>COUNTIF(観点表!$N$5:$N$103,"保留")</f>
        <v/>
      </c>
    </row>
    <row r="27">
      <c r="A27" s="10" t="inlineStr">
        <is>
          <t>対象外</t>
        </is>
      </c>
      <c r="B27" s="10">
        <f>COUNTIF(観点表!$N$5:$N$103,"対象外")</f>
        <v/>
      </c>
    </row>
    <row r="28">
      <c r="A28" s="10" t="inlineStr">
        <is>
          <t>消化率（未実施以外 / 総数）</t>
        </is>
      </c>
      <c r="B28" s="11">
        <f>IF(B5=0,0,(B5-B23)/B5)</f>
        <v/>
      </c>
    </row>
    <row r="29">
      <c r="A29" s="10" t="inlineStr">
        <is>
          <t>合格率（OK / (総数-対象外)）</t>
        </is>
      </c>
      <c r="B29" s="11">
        <f>IF(B5-B27=0,0,B24/(B5-B27))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TC-NOUS58_DEV-01</t>
        </is>
      </c>
      <c r="B5" s="13" t="inlineStr">
        <is>
          <t>設計書の例で dailyRuns 432・dailyNeurons 6,826・周期の下限 15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TC-NOUS58_DEV-02</t>
        </is>
      </c>
      <c r="B6" s="13" t="inlineStr">
        <is>
          <t>稼働中が 0 体、または 1巡の Neurons が 0 なら 0 と周期の下限 15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TC-NOUS58_DEV-03</t>
        </is>
      </c>
      <c r="B7" s="13" t="inlineStr">
        <is>
          <t>上限が低く 15 分より長い周期が要るとき、切り上げた周期の下限を返す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TC-NOUS58_DEV-04</t>
        </is>
      </c>
      <c r="B8" s="13" t="inlineStr">
        <is>
          <t>成功した LLM の生成が 20 件未満なら既定値 16.4、gate と失敗は数えない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TC-NOUS58_DEV-05</t>
        </is>
      </c>
      <c r="B9" s="13" t="inlineStr">
        <is>
          <t>20 件以上なら直近 50 件の平均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TC-NOUS58_DEV-06</t>
        </is>
      </c>
      <c r="B10" s="13" t="inlineStr">
        <is>
          <t>system.md と user.md がそろうフォルダ名だけを名前の順で返す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TC-NOUS58_DEV-07</t>
        </is>
      </c>
      <c r="B11" s="13" t="inlineStr">
        <is>
          <t>行と RunSettings の相互変換、countAgentsByState は 0 の state も返す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TC-NOUS58_DEV-08</t>
        </is>
      </c>
      <c r="B12" s="13" t="inlineStr">
        <is>
          <t>世界がなければ初期の世界を作り、設定と見込みと選択肢を返す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TC-NOUS58_DEV-09</t>
        </is>
      </c>
      <c r="B13" s="13" t="inlineStr">
        <is>
          <t>設定を保存し、変更前後の全項目を監査に記録する（next_cycle_at は変えない）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TC-NOUS58_DEV-10</t>
        </is>
      </c>
      <c r="B14" s="13" t="inlineStr">
        <is>
          <t>存在しない promptVersion は VALIDATION_ERROR（fields.promptVersion）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TC-NOUS58_DEV-11</t>
        </is>
      </c>
      <c r="B15" s="13" t="inlineStr">
        <is>
          <t>limit_stopped（neurons_limit・runs_limit）で上限を引き上げれば running に戻り wake する。free_tier_error は戻さない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TC-NOUS58_DEV-12</t>
        </is>
      </c>
      <c r="B16" s="13" t="inlineStr">
        <is>
          <t>running で上限を引き下げて上限以上になれば limit_stopped にし stopAll('limit')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TC-NOUS58_DEV-13</t>
        </is>
      </c>
      <c r="B17" s="13" t="inlineStr">
        <is>
          <t>世界がないときは準備中の初期の世界を作って返す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TC-NOUS58_DEV-14</t>
        </is>
      </c>
      <c r="B18" s="13" t="inlineStr">
        <is>
          <t>稼働中の世界内時間・利用量・実行中の生成数・state ごとのエージェント数を返す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TC-NOUS58_DEV-15</t>
        </is>
      </c>
      <c r="B19" s="13" t="inlineStr">
        <is>
          <t>start・pause・resume・emergency-stop の一連の遷移が 200 を返し、監査に記録される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TC-NOUS58_DEV-16</t>
        </is>
      </c>
      <c r="B20" s="13" t="inlineStr">
        <is>
          <t>STATE_CONFLICT と NO_AGENTS で 409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TC-NOUS58_DEV-17</t>
        </is>
      </c>
      <c r="B21" s="13" t="inlineStr">
        <is>
          <t>一時停止の世界で confirmName が一致すれば 200 でリセットし、監査を残す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TC-NOUS58_DEV-18</t>
        </is>
      </c>
      <c r="B22" s="13" t="inlineStr">
        <is>
          <t>不正な JSON・空の confirmName は 400 VALIDATION_ERROR、不一致は 400 CONFIRM_MISMATCH、生成実行中は 409 GENERATION_RUNNING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TC-NOUS58_DEV-19</t>
        </is>
      </c>
      <c r="B23" s="13" t="inlineStr">
        <is>
          <t>GET と PUT が正常に応答し、監査に記録される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TC-NOUS58_DEV-20</t>
        </is>
      </c>
      <c r="B24" s="13" t="inlineStr">
        <is>
          <t>範囲外・未知の promptVersion・非 JSON は 400、世界が archived なら 409 STATE_CONFLICT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TC-NOUS58_DEV-21</t>
        </is>
      </c>
      <c r="B25" s="13" t="inlineStr">
        <is>
          <t>scheduler 未設定なら仮の実装を使い、scheduler_not_configured の warn を出す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TC-UT_WLD-040</t>
        </is>
      </c>
      <c r="B26" s="13" t="inlineStr">
        <is>
          <t>world_settings の行の形（snake_case）でも RunSettings の形と同じ見込みを返す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TC-UT_WLD-041</t>
        </is>
      </c>
      <c r="B27" s="13" t="inlineStr">
        <is>
          <t>generation.json にない活動頻度のエージェントは、参加の確率 0 として平均に入れる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TC-UT_WLD-042</t>
        </is>
      </c>
      <c r="B28" s="13" t="inlineStr">
        <is>
          <t>周期の下限は 15 分ちょうどと、それを超えて切り上げる境界で正しい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TC-UT_WLD-043</t>
        </is>
      </c>
      <c r="B29" s="13" t="inlineStr">
        <is>
          <t>活動量が下限の 10% なら、1巡の回数を 1/10 にして 1日の回数と Neurons を出す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TC-UT_WLD-044</t>
        </is>
      </c>
      <c r="B30" s="13" t="inlineStr">
        <is>
          <t>成功した LLM の生成がちょうど 20 件なら、既定値ではなく実測の平均を返す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TC-UT_WLD-045</t>
        </is>
      </c>
      <c r="B31" s="13" t="inlineStr">
        <is>
          <t>prompts のフォルダがなければ、版の一覧は空にする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TC-UT_WLD-046</t>
        </is>
      </c>
      <c r="B32" s="13" t="inlineStr">
        <is>
          <t>ほかの世界のエージェントを数えない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TC-UT_WLD-047</t>
        </is>
      </c>
      <c r="B33" s="13" t="inlineStr">
        <is>
          <t>active のエージェントだけを created_at の順に返す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TC-UT_WLD-048</t>
        </is>
      </c>
      <c r="B34" s="13" t="inlineStr">
        <is>
          <t>世界があれば新しく作らず、その世界の稼働中の体数と参加の確率の平均を返す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TC-UT_WLD-049</t>
        </is>
      </c>
      <c r="B35" s="13" t="inlineStr">
        <is>
          <t>limit_stopped で新しい上限でもまだ上限の外なら、設定は保存して状態は変えない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TC-UT_WLD-050</t>
        </is>
      </c>
      <c r="B36" s="13" t="inlineStr">
        <is>
          <t>limit_stopped から running に戻すとき、未来の next_cycle_at はそのまま残す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TC-UT_WLD-051</t>
        </is>
      </c>
      <c r="B37" s="13" t="inlineStr">
        <is>
          <t>running で新しい上限の中なら状態を変えず、stateChanged は null で stopAll も呼ばない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TC-UT_WLD-052</t>
        </is>
      </c>
      <c r="B38" s="13" t="inlineStr">
        <is>
          <t>preparing の世界は、利用量が新しい上限の外でも設定だけを保存し、状態は変えない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TC-UT_WLD-053</t>
        </is>
      </c>
      <c r="B39" s="13" t="inlineStr">
        <is>
          <t>数値の項目がすべて下限ちょうど・上限ちょうどでも保存できる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TC-UT_WLD-054</t>
        </is>
      </c>
      <c r="B40" s="13" t="inlineStr">
        <is>
          <t>応答の見込みは、保存した新しい設定で計算する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TC-UT_WLD-066</t>
        </is>
      </c>
      <c r="B41" s="13" t="inlineStr">
        <is>
          <t>running で新しい上限を超えたときは、設定の更新と同じ処理の中で running → limit_stopped にする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TC-UT_WLD-067</t>
        </is>
      </c>
      <c r="B42" s="13" t="inlineStr">
        <is>
          <t>世界がないときに GET が同時に2つ届いても、どちらも 200 で、作る世界は1つだけ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TC-UT_WLD-055</t>
        </is>
      </c>
      <c r="B43" s="13" t="inlineStr">
        <is>
          <t>世界がないときに 2 回呼んでも、作る世界は 1 つだけ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TC-UT_WLD-056</t>
        </is>
      </c>
      <c r="B44" s="13" t="inlineStr">
        <is>
          <t>利用日の行がなければ利用量は 0 で、上限はその世界の world_settings の値を返す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TC-UT_WLD-057</t>
        </is>
      </c>
      <c r="B45" s="13" t="inlineStr">
        <is>
          <t>一時停止中は、時間が進んでも worldTimeSec が増えない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TC-UT_WLD-058</t>
        </is>
      </c>
      <c r="B46" s="13" t="inlineStr">
        <is>
          <t>CSRF トークンのない POST は 403 で、世界の状態を変えない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TC-UT_WLD-059</t>
        </is>
      </c>
      <c r="B47" s="13" t="inlineStr">
        <is>
          <t>ログインしていない GET は 401 ADMIN_UNAUTHORIZED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TC-UT_WLD-060</t>
        </is>
      </c>
      <c r="B48" s="13" t="inlineStr">
        <is>
          <t>confirmName のない本文は 400 VALIDATION_ERROR（fields.confirmName）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TC-UT_WLD-061</t>
        </is>
      </c>
      <c r="B49" s="13" t="inlineStr">
        <is>
          <t>数値の項目が下限-1・上限+1 なら 400 VALIDATION_ERROR（fields にその項目）で、設定を変えない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TC-UT_WLD-062</t>
        </is>
      </c>
      <c r="B50" s="13" t="inlineStr">
        <is>
          <t>modelId が選択肢の 2 値以外なら 400 VALIDATION_ERROR（fields.modelId）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TC-UT_WLD-063</t>
        </is>
      </c>
      <c r="B51" s="13" t="inlineStr">
        <is>
          <t>必須の項目が欠けていれば 400 VALIDATION_ERROR（fields にその項目）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TC-UT_WLD-064</t>
        </is>
      </c>
      <c r="B52" s="13" t="inlineStr">
        <is>
          <t>GET はモデルの 2 値と、設定した prompts の版の一覧を返し、その版を PUT で保存できる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TC-UT_WLD-065</t>
        </is>
      </c>
      <c r="B53" s="13" t="inlineStr">
        <is>
          <t>configureWorldApi で渡した generation の設定（参加の確率）で見込みを計算する</t>
        </is>
      </c>
      <c r="C53" s="13" t="inlineStr">
        <is>
          <t>未作成</t>
        </is>
      </c>
      <c r="D53" s="13" t="inlineStr"/>
      <c r="E53" s="13" t="inlineStr"/>
      <c r="F53" s="13" t="inlineStr"/>
    </row>
  </sheetData>
  <autoFilter ref="A4:F5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実行設定と世界・設定の API（world/settingsService.ts・worldRoutes.ts・settingsRoutes.ts）</t>
        </is>
      </c>
    </row>
    <row r="4">
      <c r="A4" s="14" t="inlineStr">
        <is>
          <t>対象ファイル</t>
        </is>
      </c>
      <c r="B4" s="15" t="inlineStr">
        <is>
          <t>apps/server/src/world/settingsService.ts, apps/server/src/world/worldRoutes.ts, apps/server/src/world/settingsRoutes.ts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apps/server/src/world/settingsService.test.ts（実装時、NOUS-58）, apps/server/src/world/worldApi.test.ts（実装時、NOUS-58）, apps/server/src/world/settingsService.ut.test.ts（単体テストで追加）, apps/server/src/world/worldRoutes.ut.test.ts（単体テストで追加）, apps/server/src/world/settingsRoutes.ut.test.ts（単体テストで追加）</t>
        </is>
      </c>
    </row>
    <row r="7">
      <c r="A7" s="14" t="inlineStr">
        <is>
          <t>外部依存</t>
        </is>
      </c>
      <c r="B7" s="15" t="inlineStr">
        <is>
          <t>DB（一時 DB）, 時計（FakeClock）, Scheduler（configureWorldApi で差し替え）, ファイル（prompts/ と config/generation.json。mkdtemp の一時ディレクトリか、configureWorldApi で差し替え）, 管理者のセッション（seedSession）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averageNeuronsPerRun：成功した LLM の生成が 20 件未満</t>
        </is>
      </c>
      <c r="C11" s="17" t="inlineStr">
        <is>
          <t>settingsService.ts:106</t>
        </is>
      </c>
    </row>
    <row r="12">
      <c r="A12" s="17" t="inlineStr">
        <is>
          <t>B2</t>
        </is>
      </c>
      <c r="B12" s="17" t="inlineStr">
        <is>
          <t>estimateDaily：設定が RunSettings の形（'cycleMinutes' in settings）</t>
        </is>
      </c>
      <c r="C12" s="17" t="inlineStr">
        <is>
          <t>settingsService.ts:124-126</t>
        </is>
      </c>
    </row>
    <row r="13">
      <c r="A13" s="17" t="inlineStr">
        <is>
          <t>B3</t>
        </is>
      </c>
      <c r="B13" s="17" t="inlineStr">
        <is>
          <t>estimateDaily：稼働中のエージェントが 0 体</t>
        </is>
      </c>
      <c r="C13" s="17" t="inlineStr">
        <is>
          <t>settingsService.ts:130</t>
        </is>
      </c>
    </row>
    <row r="14">
      <c r="A14" s="17" t="inlineStr">
        <is>
          <t>B4</t>
        </is>
      </c>
      <c r="B14" s="17" t="inlineStr">
        <is>
          <t>estimateDaily：participation[activity_level] ?? 0（generation.json にない活動頻度）</t>
        </is>
      </c>
      <c r="C14" s="17" t="inlineStr">
        <is>
          <t>settingsService.ts:134</t>
        </is>
      </c>
    </row>
    <row r="15">
      <c r="A15" s="17" t="inlineStr">
        <is>
          <t>B5</t>
        </is>
      </c>
      <c r="B15" s="17" t="inlineStr">
        <is>
          <t>estimateDaily：1巡の Neurons &lt;= 0</t>
        </is>
      </c>
      <c r="C15" s="17" t="inlineStr">
        <is>
          <t>settingsService.ts:145</t>
        </is>
      </c>
    </row>
    <row r="16">
      <c r="A16" s="17" t="inlineStr">
        <is>
          <t>B6</t>
        </is>
      </c>
      <c r="B16" s="17" t="inlineStr">
        <is>
          <t>estimateDaily：計算した周期の下限が 15 分未満（Math.max で 15）</t>
        </is>
      </c>
      <c r="C16" s="17" t="inlineStr">
        <is>
          <t>settingsService.ts:147</t>
        </is>
      </c>
    </row>
    <row r="17">
      <c r="A17" s="17" t="inlineStr">
        <is>
          <t>B7</t>
        </is>
      </c>
      <c r="B17" s="17" t="inlineStr">
        <is>
          <t>listPromptVersions：prompts のフォルダがない</t>
        </is>
      </c>
      <c r="C17" s="17" t="inlineStr">
        <is>
          <t>settingsService.ts:161</t>
        </is>
      </c>
    </row>
    <row r="18">
      <c r="A18" s="17" t="inlineStr">
        <is>
          <t>B8</t>
        </is>
      </c>
      <c r="B18" s="17" t="inlineStr">
        <is>
          <t>listPromptVersions：フォルダでない</t>
        </is>
      </c>
      <c r="C18" s="17" t="inlineStr">
        <is>
          <t>settingsService.ts:165</t>
        </is>
      </c>
    </row>
    <row r="19">
      <c r="A19" s="17" t="inlineStr">
        <is>
          <t>B9</t>
        </is>
      </c>
      <c r="B19" s="17" t="inlineStr">
        <is>
          <t>listPromptVersions：system.md と user.md がそろう</t>
        </is>
      </c>
      <c r="C19" s="17" t="inlineStr">
        <is>
          <t>settingsService.ts:167</t>
        </is>
      </c>
    </row>
    <row r="20">
      <c r="A20" s="17" t="inlineStr">
        <is>
          <t>B10</t>
        </is>
      </c>
      <c r="B20" s="17" t="inlineStr">
        <is>
          <t>ensureCurrentWorld：現在の世界がない（createInitialWorld）</t>
        </is>
      </c>
      <c r="C20" s="17" t="inlineStr">
        <is>
          <t>settingsService.ts:203</t>
        </is>
      </c>
    </row>
    <row r="21">
      <c r="A21" s="17" t="inlineStr">
        <is>
          <t>B11</t>
        </is>
      </c>
      <c r="B21" s="17" t="inlineStr">
        <is>
          <t>updateSettings：SettingsSchema.parse の失敗</t>
        </is>
      </c>
      <c r="C21" s="17" t="inlineStr">
        <is>
          <t>settingsService.ts:251</t>
        </is>
      </c>
    </row>
    <row r="22">
      <c r="A22" s="17" t="inlineStr">
        <is>
          <t>B12</t>
        </is>
      </c>
      <c r="B22" s="17" t="inlineStr">
        <is>
          <t>updateSettings：promptVersion が版の一覧にない</t>
        </is>
      </c>
      <c r="C22" s="17" t="inlineStr">
        <is>
          <t>settingsService.ts:253</t>
        </is>
      </c>
    </row>
    <row r="23">
      <c r="A23" s="17" t="inlineStr">
        <is>
          <t>B13</t>
        </is>
      </c>
      <c r="B23" s="17" t="inlineStr">
        <is>
          <t>updateSettings：現在の世界がない、または archived</t>
        </is>
      </c>
      <c r="C23" s="17" t="inlineStr">
        <is>
          <t>settingsService.ts:266</t>
        </is>
      </c>
    </row>
    <row r="24">
      <c r="A24" s="17" t="inlineStr">
        <is>
          <t>B14</t>
        </is>
      </c>
      <c r="B24" s="17" t="inlineStr">
        <is>
          <t>updateSettings：limit_stopped かつ理由が neurons_limit・runs_limit かつ新しい上限の中</t>
        </is>
      </c>
      <c r="C24" s="17" t="inlineStr">
        <is>
          <t>settingsService.ts:292-297</t>
        </is>
      </c>
    </row>
    <row r="25">
      <c r="A25" s="17" t="inlineStr">
        <is>
          <t>B15</t>
        </is>
      </c>
      <c r="B25" s="17" t="inlineStr">
        <is>
          <t>updateSettings：next_cycle_at が null でなく現在より後</t>
        </is>
      </c>
      <c r="C25" s="17" t="inlineStr">
        <is>
          <t>settingsService.ts:299</t>
        </is>
      </c>
    </row>
    <row r="26">
      <c r="A26" s="17" t="inlineStr">
        <is>
          <t>B16</t>
        </is>
      </c>
      <c r="B26" s="17" t="inlineStr">
        <is>
          <t>updateSettings：running かつ新しい上限の外（enterLimitStopped）</t>
        </is>
      </c>
      <c r="C26" s="17" t="inlineStr">
        <is>
          <t>settingsService.ts:329</t>
        </is>
      </c>
    </row>
    <row r="27">
      <c r="A27" s="17" t="inlineStr">
        <is>
          <t>B17</t>
        </is>
      </c>
      <c r="B27" s="17" t="inlineStr">
        <is>
          <t>resolveScheduler：configureWorldApi で scheduler を渡している</t>
        </is>
      </c>
      <c r="C27" s="17" t="inlineStr">
        <is>
          <t>worldRoutes.ts:53</t>
        </is>
      </c>
    </row>
    <row r="28">
      <c r="A28" s="17" t="inlineStr">
        <is>
          <t>B18</t>
        </is>
      </c>
      <c r="B28" s="17" t="inlineStr">
        <is>
          <t>resolveGenerationConfig：configureWorldApi で generationConfig を渡している</t>
        </is>
      </c>
      <c r="C28" s="17" t="inlineStr">
        <is>
          <t>worldRoutes.ts:69</t>
        </is>
      </c>
    </row>
    <row r="29">
      <c r="A29" s="17" t="inlineStr">
        <is>
          <t>B19</t>
        </is>
      </c>
      <c r="B29" s="17" t="inlineStr">
        <is>
          <t>resolvePromptsDir：promptsDir ?? 既定</t>
        </is>
      </c>
      <c r="C29" s="17" t="inlineStr">
        <is>
          <t>worldRoutes.ts:78</t>
        </is>
      </c>
    </row>
    <row r="30">
      <c r="A30" s="17" t="inlineStr">
        <is>
          <t>B20</t>
        </is>
      </c>
      <c r="B30" s="17" t="inlineStr">
        <is>
          <t>parseJsonBody：本文が JSON でない</t>
        </is>
      </c>
      <c r="C30" s="17" t="inlineStr">
        <is>
          <t>worldRoutes.ts:104</t>
        </is>
      </c>
    </row>
    <row r="31">
      <c r="A31" s="17" t="inlineStr">
        <is>
          <t>B21</t>
        </is>
      </c>
      <c r="B31" s="17" t="inlineStr">
        <is>
          <t>GET /world：現在の世界がない（createInitialWorld）</t>
        </is>
      </c>
      <c r="C31" s="17" t="inlineStr">
        <is>
          <t>worldRoutes.ts:117</t>
        </is>
      </c>
    </row>
    <row r="32">
      <c r="A32" s="17" t="inlineStr">
        <is>
          <t>B22</t>
        </is>
      </c>
      <c r="B32" s="17" t="inlineStr">
        <is>
          <t>POST /world/reset：WorldResetRequestSchema.parse の失敗</t>
        </is>
      </c>
      <c r="C32" s="17" t="inlineStr">
        <is>
          <t>worldRoutes.ts:182</t>
        </is>
      </c>
    </row>
    <row r="34">
      <c r="A34" s="14" t="inlineStr">
        <is>
          <t>確認事項・潜在バグ</t>
        </is>
      </c>
    </row>
    <row r="35" ht="30" customHeight="1">
      <c r="A35" s="18" t="inlineStr">
        <is>
          <t>・疑い 1：PUT /settings で running のまま新しい上限を超えたとき、running → limit_stopped を設定の更新とは別のトランザクション（コミットの後の enterLimitStopped）で行っている。world.md 6章のトランザクション制御の表のとおり、設定の更新と同じトランザクションで行うのが仕様（2026-10-26 Kouhei Tajima の判断）。TC-UT_WLD-066 は enterLimitStopped を何もしない差し替えにして、updateSettings だけで limit_stopped になることを期待するので、実施では NG になる見込み</t>
        </is>
      </c>
    </row>
    <row r="36" ht="30" customHeight="1">
      <c r="A36" s="18" t="inlineStr">
        <is>
          <t>・疑い 2：GET /world・GET /settings は、現在の世界がないとき find と create を別に行う。2回目の createInitialWorld が ux_worlds_current に当たると 500 になりうる。500 は仕様ではない（2026-10-26 Kouhei Tajima の判断）。TC-UT_WLD-067 で同時の2回を見る。ただしハンドラーの find と create は同期の処理で間に await がないため、1つのプロセスの中では割り込まれず、実施では OK になる見込み</t>
        </is>
      </c>
    </row>
    <row r="37" ht="30" customHeight="1">
      <c r="A37" s="18" t="inlineStr">
        <is>
          <t>・確認事項 1：countAgentsByState の active・stopped 以外の state（settingsService.ts:185 の偽）、world_settings がないとき（settingsService.ts:212・270、worldRoutes.ts:119）、楽観の確認で 0 行（settingsService.ts:311）、enterLimitStopped の後に limit_stopped でない（settingsService.ts:333）は、CHECK 制約と同期のトランザクションのため単体テストでは起こせない。分岐の一覧からは外した</t>
        </is>
      </c>
    </row>
    <row r="38" ht="30" customHeight="1">
      <c r="A38" s="18" t="inlineStr">
        <is>
          <t>・確認事項 2：resolveGenerationConfig の既定（B18-F、config/generation.json を読んでキャッシュする）は、TC-NOUS58_DEV-19 が configureWorldApi で scheduler だけを渡すため、リポジトリの config/generation.json を読んで通る。2回目の呼び出しでキャッシュを使う側（worldRoutes.ts:72 の ??= の偽）は、テストごとに resetWorldApi で消すため単体テストでは見ない</t>
        </is>
      </c>
    </row>
  </sheetData>
  <mergeCells count="4">
    <mergeCell ref="A35:C35"/>
    <mergeCell ref="A37:C37"/>
    <mergeCell ref="A38:C38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2026-10-26T05:56:20Z</dcterms:created>
  <dcterms:modified xsi:type="dcterms:W3CDTF">2026-10-26T05:56:20Z</dcterms:modified>
</cp:coreProperties>
</file>