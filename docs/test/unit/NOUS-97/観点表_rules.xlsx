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観点表" sheetId="1" state="visible" r:id="rId1"/>
    <sheet name="サマリ" sheetId="2" state="visible" r:id="rId2"/>
    <sheet name="テストデータ" sheetId="3" state="visible" r:id="rId3"/>
    <sheet name="対象概要" sheetId="4" state="visible" r:id="rId4"/>
  </sheets>
  <definedNames>
    <definedName name="_xlnm._FilterDatabase" localSheetId="0" hidden="1">'観点表'!$A$4:$Q$32</definedName>
    <definedName name="_xlnm.Print_Titles" localSheetId="0">'観点表'!$4:$4</definedName>
    <definedName name="_xlnm._FilterDatabase" localSheetId="2" hidden="1">'テストデータ'!$A$4:$F$32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i val="1"/>
      <color rgb="00595959"/>
      <sz val="9"/>
    </font>
    <font>
      <name val="Meiryo UI"/>
      <b val="1"/>
      <color rgb="00FFFFFF"/>
      <sz val="10"/>
    </font>
    <font>
      <name val="Meiryo UI"/>
      <sz val="10"/>
    </font>
    <font>
      <name val="Meiryo UI"/>
      <b val="1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left" vertical="top" wrapText="1"/>
    </xf>
    <xf numFmtId="0" fontId="5" fillId="4" borderId="0" pivotButton="0" quotePrefix="0" xfId="0"/>
    <xf numFmtId="0" fontId="0" fillId="4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3" fillId="2" borderId="1" applyAlignment="1" pivotButton="0" quotePrefix="0" xfId="0">
      <alignment horizontal="center"/>
    </xf>
    <xf numFmtId="0" fontId="4" fillId="5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3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1" customWidth="1" min="5" max="5"/>
    <col width="30" customWidth="1" min="6" max="6"/>
    <col width="32" customWidth="1" min="7" max="7"/>
    <col width="32" customWidth="1" min="8" max="8"/>
    <col width="13" customWidth="1" min="9" max="9"/>
    <col width="22" customWidth="1" min="10" max="10"/>
    <col width="30" customWidth="1" min="11" max="11"/>
    <col width="26" customWidth="1" min="12" max="12"/>
    <col width="30" customWidth="1" min="13" max="13"/>
    <col width="10" customWidth="1" min="14" max="14"/>
    <col width="11" customWidth="1" min="15" max="15"/>
    <col width="10" customWidth="1" min="16" max="16"/>
    <col width="30" customWidth="1" min="17" max="17"/>
  </cols>
  <sheetData>
    <row r="1">
      <c r="A1" s="1" t="inlineStr">
        <is>
          <t>テスト観点表: 世界の状態遷移の表・上限の判定・世界内時間（world/stateMachine.ts・limits.ts・worldTime.ts）</t>
        </is>
      </c>
    </row>
    <row r="2">
      <c r="A2" s="2" t="inlineStr">
        <is>
          <t>黄色の列（実施結果・実施日・確認者・備考）を記入してください。観点やテストデータを修正した場合は import_test_matrix.py で JSON に取り込めます。</t>
        </is>
      </c>
    </row>
    <row r="4" ht="28" customHeight="1">
      <c r="A4" s="3" t="inlineStr">
        <is>
          <t>No</t>
        </is>
      </c>
      <c r="B4" s="3" t="inlineStr">
        <is>
          <t>ID</t>
        </is>
      </c>
      <c r="C4" s="3" t="inlineStr">
        <is>
          <t>対象</t>
        </is>
      </c>
      <c r="D4" s="3" t="inlineStr">
        <is>
          <t>分類</t>
        </is>
      </c>
      <c r="E4" s="3" t="inlineStr">
        <is>
          <t>技法</t>
        </is>
      </c>
      <c r="F4" s="3" t="inlineStr">
        <is>
          <t>観点</t>
        </is>
      </c>
      <c r="G4" s="3" t="inlineStr">
        <is>
          <t>入力・前提条件</t>
        </is>
      </c>
      <c r="H4" s="3" t="inlineStr">
        <is>
          <t>期待結果</t>
        </is>
      </c>
      <c r="I4" s="3" t="inlineStr">
        <is>
          <t>網羅する分岐</t>
        </is>
      </c>
      <c r="J4" s="3" t="inlineStr">
        <is>
          <t>モック</t>
        </is>
      </c>
      <c r="K4" s="3" t="inlineStr">
        <is>
          <t>テストデータ（具体値）</t>
        </is>
      </c>
      <c r="L4" s="3" t="inlineStr">
        <is>
          <t>データ参照</t>
        </is>
      </c>
      <c r="M4" s="3" t="inlineStr">
        <is>
          <t>テスト関数名</t>
        </is>
      </c>
      <c r="N4" s="3" t="inlineStr">
        <is>
          <t>実施結果</t>
        </is>
      </c>
      <c r="O4" s="3" t="inlineStr">
        <is>
          <t>実施日</t>
        </is>
      </c>
      <c r="P4" s="3" t="inlineStr">
        <is>
          <t>確認者</t>
        </is>
      </c>
      <c r="Q4" s="3" t="inlineStr">
        <is>
          <t>備考</t>
        </is>
      </c>
    </row>
    <row r="5">
      <c r="A5" s="4" t="n">
        <v>1</v>
      </c>
      <c r="B5" s="4" t="inlineStr">
        <is>
          <t>TC-NOUS57_DEV-01</t>
        </is>
      </c>
      <c r="C5" s="5" t="inlineStr">
        <is>
          <t>canTransition</t>
        </is>
      </c>
      <c r="D5" s="4" t="inlineStr">
        <is>
          <t>正常系</t>
        </is>
      </c>
      <c r="E5" s="4" t="inlineStr">
        <is>
          <t>開発者テスト</t>
        </is>
      </c>
      <c r="F5" s="5" t="inlineStr">
        <is>
          <t>遷移の表にある 15 組（12 行を遷移元ごとに展開）はすべて許可する</t>
        </is>
      </c>
      <c r="G5" s="5" t="inlineStr">
        <is>
          <t>前提：なし
入力：rules.test.ts の allowed の 15 組</t>
        </is>
      </c>
      <c r="H5" s="5" t="inlineStr">
        <is>
          <t>すべて true</t>
        </is>
      </c>
      <c r="I5" s="5" t="inlineStr">
        <is>
          <t>B1-T</t>
        </is>
      </c>
      <c r="J5" s="5" t="inlineStr">
        <is>
          <t>なし</t>
        </is>
      </c>
      <c r="K5" s="5" t="inlineStr"/>
      <c r="L5" s="5" t="inlineStr"/>
      <c r="M5" s="5" t="inlineStr">
        <is>
          <t>TC-NOUS57_DEV-01 遷移の表にある組はすべて許可する</t>
        </is>
      </c>
      <c r="N5" s="6" t="inlineStr">
        <is>
          <t>未実施</t>
        </is>
      </c>
      <c r="O5" s="6" t="inlineStr"/>
      <c r="P5" s="6" t="inlineStr"/>
      <c r="Q5" s="7" t="inlineStr">
        <is>
          <t>既存テスト：実装時のテスト（NOUS-57）
allowed に preparing→limit_stopped が入っていない（疑い 1）</t>
        </is>
      </c>
    </row>
    <row r="6">
      <c r="A6" s="4" t="n">
        <v>2</v>
      </c>
      <c r="B6" s="4" t="inlineStr">
        <is>
          <t>TC-NOUS57_DEV-02</t>
        </is>
      </c>
      <c r="C6" s="5" t="inlineStr">
        <is>
          <t>canTransition</t>
        </is>
      </c>
      <c r="D6" s="4" t="inlineStr">
        <is>
          <t>異常系</t>
        </is>
      </c>
      <c r="E6" s="4" t="inlineStr">
        <is>
          <t>開発者テスト</t>
        </is>
      </c>
      <c r="F6" s="5" t="inlineStr">
        <is>
          <t>6 状態×6 状態の全組のうち、表にない組はすべて拒否する</t>
        </is>
      </c>
      <c r="G6" s="5" t="inlineStr">
        <is>
          <t>前提：なし
入力：WORLD_STATES の直積 36 組</t>
        </is>
      </c>
      <c r="H6" s="5" t="inlineStr">
        <is>
          <t>表にある組だけ true、ほかは false</t>
        </is>
      </c>
      <c r="I6" s="5" t="inlineStr">
        <is>
          <t>B1-T, B1-F</t>
        </is>
      </c>
      <c r="J6" s="5" t="inlineStr">
        <is>
          <t>なし</t>
        </is>
      </c>
      <c r="K6" s="5" t="inlineStr"/>
      <c r="L6" s="5" t="inlineStr"/>
      <c r="M6" s="5" t="inlineStr">
        <is>
          <t>TC-NOUS57_DEV-02 遷移の表にない組はすべて拒否する</t>
        </is>
      </c>
      <c r="N6" s="6" t="inlineStr">
        <is>
          <t>未実施</t>
        </is>
      </c>
      <c r="O6" s="6" t="inlineStr"/>
      <c r="P6" s="6" t="inlineStr"/>
      <c r="Q6" s="7" t="inlineStr">
        <is>
          <t>既存テスト：実装時のテスト（NOUS-57）
preparing→limit_stopped を false と期待している（疑い 1）</t>
        </is>
      </c>
    </row>
    <row r="7">
      <c r="A7" s="4" t="n">
        <v>3</v>
      </c>
      <c r="B7" s="4" t="inlineStr">
        <is>
          <t>TC-NOUS57_DEV-03</t>
        </is>
      </c>
      <c r="C7" s="5" t="inlineStr">
        <is>
          <t>canTransition</t>
        </is>
      </c>
      <c r="D7" s="4" t="inlineStr">
        <is>
          <t>異常系</t>
        </is>
      </c>
      <c r="E7" s="4" t="inlineStr">
        <is>
          <t>開発者テスト</t>
        </is>
      </c>
      <c r="F7" s="5" t="inlineStr">
        <is>
          <t>preparing と running からは archived にできない</t>
        </is>
      </c>
      <c r="G7" s="5" t="inlineStr">
        <is>
          <t>前提：なし
入力：(preparing, archived)、(running, archived)</t>
        </is>
      </c>
      <c r="H7" s="5" t="inlineStr">
        <is>
          <t>false</t>
        </is>
      </c>
      <c r="I7" s="5" t="inlineStr">
        <is>
          <t>B1-F</t>
        </is>
      </c>
      <c r="J7" s="5" t="inlineStr">
        <is>
          <t>なし</t>
        </is>
      </c>
      <c r="K7" s="5" t="inlineStr"/>
      <c r="L7" s="5" t="inlineStr"/>
      <c r="M7" s="5" t="inlineStr">
        <is>
          <t>TC-NOUS57_DEV-03 preparing と running からは archived にできない（リセット不可）</t>
        </is>
      </c>
      <c r="N7" s="6" t="inlineStr">
        <is>
          <t>未実施</t>
        </is>
      </c>
      <c r="O7" s="6" t="inlineStr"/>
      <c r="P7" s="6" t="inlineStr"/>
      <c r="Q7" s="7" t="inlineStr">
        <is>
          <t>既存テスト：実装時のテスト（NOUS-57）</t>
        </is>
      </c>
    </row>
    <row r="8">
      <c r="A8" s="4" t="n">
        <v>4</v>
      </c>
      <c r="B8" s="4" t="inlineStr">
        <is>
          <t>TC-NOUS57_DEV-04</t>
        </is>
      </c>
      <c r="C8" s="5" t="inlineStr">
        <is>
          <t>canTransition</t>
        </is>
      </c>
      <c r="D8" s="4" t="inlineStr">
        <is>
          <t>異常系</t>
        </is>
      </c>
      <c r="E8" s="4" t="inlineStr">
        <is>
          <t>開発者テスト</t>
        </is>
      </c>
      <c r="F8" s="5" t="inlineStr">
        <is>
          <t>archived からはどこへも遷移しない</t>
        </is>
      </c>
      <c r="G8" s="5" t="inlineStr">
        <is>
          <t>前提：なし
入力：(archived, 各状態)</t>
        </is>
      </c>
      <c r="H8" s="5" t="inlineStr">
        <is>
          <t>false</t>
        </is>
      </c>
      <c r="I8" s="5" t="inlineStr">
        <is>
          <t>B1-F</t>
        </is>
      </c>
      <c r="J8" s="5" t="inlineStr">
        <is>
          <t>なし</t>
        </is>
      </c>
      <c r="K8" s="5" t="inlineStr"/>
      <c r="L8" s="5" t="inlineStr"/>
      <c r="M8" s="5" t="inlineStr">
        <is>
          <t>TC-NOUS57_DEV-04 archived からはどこへも遷移しない</t>
        </is>
      </c>
      <c r="N8" s="6" t="inlineStr">
        <is>
          <t>未実施</t>
        </is>
      </c>
      <c r="O8" s="6" t="inlineStr"/>
      <c r="P8" s="6" t="inlineStr"/>
      <c r="Q8" s="7" t="inlineStr">
        <is>
          <t>既存テスト：実装時のテスト（NOUS-57）</t>
        </is>
      </c>
    </row>
    <row r="9">
      <c r="A9" s="4" t="n">
        <v>5</v>
      </c>
      <c r="B9" s="4" t="inlineStr">
        <is>
          <t>TC-NOUS57_DEV-05</t>
        </is>
      </c>
      <c r="C9" s="5" t="inlineStr">
        <is>
          <t>isWithinLimits / limitReason</t>
        </is>
      </c>
      <c r="D9" s="4" t="inlineStr">
        <is>
          <t>正常系</t>
        </is>
      </c>
      <c r="E9" s="4" t="inlineStr">
        <is>
          <t>開発者テスト</t>
        </is>
      </c>
      <c r="F9" s="5" t="inlineStr">
        <is>
          <t>Neurons・実行回数とも上限未満なら上限の中</t>
        </is>
      </c>
      <c r="G9" s="5" t="inlineStr">
        <is>
          <t>前提：上限 9,500・480
入力：neurons 9,499.9、runs 479</t>
        </is>
      </c>
      <c r="H9" s="5" t="inlineStr">
        <is>
          <t>isWithinLimits true、limitReason null</t>
        </is>
      </c>
      <c r="I9" s="5" t="inlineStr">
        <is>
          <t>B2-T, B3-T, B4-F, B5-F</t>
        </is>
      </c>
      <c r="J9" s="5" t="inlineStr">
        <is>
          <t>なし</t>
        </is>
      </c>
      <c r="K9" s="5" t="inlineStr"/>
      <c r="L9" s="5" t="inlineStr"/>
      <c r="M9" s="5" t="inlineStr">
        <is>
          <t>TC-NOUS57_DEV-05 両方とも上限未満なら上限の中</t>
        </is>
      </c>
      <c r="N9" s="6" t="inlineStr">
        <is>
          <t>未実施</t>
        </is>
      </c>
      <c r="O9" s="6" t="inlineStr"/>
      <c r="P9" s="6" t="inlineStr"/>
      <c r="Q9" s="7" t="inlineStr">
        <is>
          <t>既存テスト：実装時のテスト（NOUS-57）</t>
        </is>
      </c>
    </row>
    <row r="10">
      <c r="A10" s="4" t="n">
        <v>6</v>
      </c>
      <c r="B10" s="4" t="inlineStr">
        <is>
          <t>TC-NOUS57_DEV-06</t>
        </is>
      </c>
      <c r="C10" s="5" t="inlineStr">
        <is>
          <t>isWithinLimits / limitReason</t>
        </is>
      </c>
      <c r="D10" s="4" t="inlineStr">
        <is>
          <t>異常系</t>
        </is>
      </c>
      <c r="E10" s="4" t="inlineStr">
        <is>
          <t>開発者テスト</t>
        </is>
      </c>
      <c r="F10" s="5" t="inlineStr">
        <is>
          <t>Neurons が上限ちょうどなら neurons_limit</t>
        </is>
      </c>
      <c r="G10" s="5" t="inlineStr">
        <is>
          <t>前提：上限 9,500・480
入力：neurons 9,500、runs 0</t>
        </is>
      </c>
      <c r="H10" s="5" t="inlineStr">
        <is>
          <t>false、neurons_limit</t>
        </is>
      </c>
      <c r="I10" s="5" t="inlineStr">
        <is>
          <t>B2-F, B4-T</t>
        </is>
      </c>
      <c r="J10" s="5" t="inlineStr">
        <is>
          <t>なし</t>
        </is>
      </c>
      <c r="K10" s="5" t="inlineStr"/>
      <c r="L10" s="5" t="inlineStr"/>
      <c r="M10" s="5" t="inlineStr">
        <is>
          <t>TC-NOUS57_DEV-06 Neurons が 9,500 以上なら neurons_limit</t>
        </is>
      </c>
      <c r="N10" s="6" t="inlineStr">
        <is>
          <t>未実施</t>
        </is>
      </c>
      <c r="O10" s="6" t="inlineStr"/>
      <c r="P10" s="6" t="inlineStr"/>
      <c r="Q10" s="7" t="inlineStr">
        <is>
          <t>既存テスト：実装時のテスト（NOUS-57）</t>
        </is>
      </c>
    </row>
    <row r="11">
      <c r="A11" s="4" t="n">
        <v>7</v>
      </c>
      <c r="B11" s="4" t="inlineStr">
        <is>
          <t>TC-NOUS57_DEV-07</t>
        </is>
      </c>
      <c r="C11" s="5" t="inlineStr">
        <is>
          <t>isWithinLimits / limitReason</t>
        </is>
      </c>
      <c r="D11" s="4" t="inlineStr">
        <is>
          <t>異常系</t>
        </is>
      </c>
      <c r="E11" s="4" t="inlineStr">
        <is>
          <t>開発者テスト</t>
        </is>
      </c>
      <c r="F11" s="5" t="inlineStr">
        <is>
          <t>実行回数が上限ちょうどなら runs_limit</t>
        </is>
      </c>
      <c r="G11" s="5" t="inlineStr">
        <is>
          <t>前提：上限 9,500・480
入力：neurons 0、runs 480</t>
        </is>
      </c>
      <c r="H11" s="5" t="inlineStr">
        <is>
          <t>false、runs_limit</t>
        </is>
      </c>
      <c r="I11" s="5" t="inlineStr">
        <is>
          <t>B2-T, B3-F, B4-F, B5-T</t>
        </is>
      </c>
      <c r="J11" s="5" t="inlineStr">
        <is>
          <t>なし</t>
        </is>
      </c>
      <c r="K11" s="5" t="inlineStr"/>
      <c r="L11" s="5" t="inlineStr"/>
      <c r="M11" s="5" t="inlineStr">
        <is>
          <t>TC-NOUS57_DEV-07 実行回数が 480 以上なら runs_limit</t>
        </is>
      </c>
      <c r="N11" s="6" t="inlineStr">
        <is>
          <t>未実施</t>
        </is>
      </c>
      <c r="O11" s="6" t="inlineStr"/>
      <c r="P11" s="6" t="inlineStr"/>
      <c r="Q11" s="7" t="inlineStr">
        <is>
          <t>既存テスト：実装時のテスト（NOUS-57）</t>
        </is>
      </c>
    </row>
    <row r="12">
      <c r="A12" s="4" t="n">
        <v>8</v>
      </c>
      <c r="B12" s="4" t="inlineStr">
        <is>
          <t>TC-NOUS57_DEV-08</t>
        </is>
      </c>
      <c r="C12" s="5" t="inlineStr">
        <is>
          <t>limitReason</t>
        </is>
      </c>
      <c r="D12" s="4" t="inlineStr">
        <is>
          <t>異常系</t>
        </is>
      </c>
      <c r="E12" s="4" t="inlineStr">
        <is>
          <t>開発者テスト</t>
        </is>
      </c>
      <c r="F12" s="5" t="inlineStr">
        <is>
          <t>両方とも上限を超えていれば Neurons を先に見る</t>
        </is>
      </c>
      <c r="G12" s="5" t="inlineStr">
        <is>
          <t>前提：上限 9,500・480
入力：neurons 10,000、runs 500</t>
        </is>
      </c>
      <c r="H12" s="5" t="inlineStr">
        <is>
          <t>neurons_limit</t>
        </is>
      </c>
      <c r="I12" s="5" t="inlineStr">
        <is>
          <t>B4-T</t>
        </is>
      </c>
      <c r="J12" s="5" t="inlineStr">
        <is>
          <t>なし</t>
        </is>
      </c>
      <c r="K12" s="5" t="inlineStr"/>
      <c r="L12" s="5" t="inlineStr"/>
      <c r="M12" s="5" t="inlineStr">
        <is>
          <t>TC-NOUS57_DEV-08 両方とも上限なら neurons_limit を先に返す</t>
        </is>
      </c>
      <c r="N12" s="6" t="inlineStr">
        <is>
          <t>未実施</t>
        </is>
      </c>
      <c r="O12" s="6" t="inlineStr"/>
      <c r="P12" s="6" t="inlineStr"/>
      <c r="Q12" s="7" t="inlineStr">
        <is>
          <t>既存テスト：実装時のテスト（NOUS-57）</t>
        </is>
      </c>
    </row>
    <row r="13">
      <c r="A13" s="4" t="n">
        <v>9</v>
      </c>
      <c r="B13" s="4" t="inlineStr">
        <is>
          <t>TC-NOUS57_DEV-09</t>
        </is>
      </c>
      <c r="C13" s="5" t="inlineStr">
        <is>
          <t>getWorldTimeSec</t>
        </is>
      </c>
      <c r="D13" s="4" t="inlineStr">
        <is>
          <t>正常系</t>
        </is>
      </c>
      <c r="E13" s="4" t="inlineStr">
        <is>
          <t>開発者テスト</t>
        </is>
      </c>
      <c r="F13" s="5" t="inlineStr">
        <is>
          <t>running なら確定分に running_since からの秒（切り捨て）を足す</t>
        </is>
      </c>
      <c r="G13" s="5" t="inlineStr">
        <is>
          <t>前提：確定分 100、running_since 00:00:00
入力：now 00:01:00.999</t>
        </is>
      </c>
      <c r="H13" s="5" t="inlineStr">
        <is>
          <t>160</t>
        </is>
      </c>
      <c r="I13" s="5" t="inlineStr">
        <is>
          <t>B6-F, B7-F</t>
        </is>
      </c>
      <c r="J13" s="5" t="inlineStr">
        <is>
          <t>なし</t>
        </is>
      </c>
      <c r="K13" s="5" t="inlineStr"/>
      <c r="L13" s="5" t="inlineStr"/>
      <c r="M13" s="5" t="inlineStr">
        <is>
          <t>TC-NOUS57_DEV-09 running なら確定分に running_since からの秒（切り捨て）を足す</t>
        </is>
      </c>
      <c r="N13" s="6" t="inlineStr">
        <is>
          <t>未実施</t>
        </is>
      </c>
      <c r="O13" s="6" t="inlineStr"/>
      <c r="P13" s="6" t="inlineStr"/>
      <c r="Q13" s="7" t="inlineStr">
        <is>
          <t>既存テスト：実装時のテスト（NOUS-57）</t>
        </is>
      </c>
    </row>
    <row r="14">
      <c r="A14" s="4" t="n">
        <v>10</v>
      </c>
      <c r="B14" s="4" t="inlineStr">
        <is>
          <t>TC-NOUS57_DEV-10</t>
        </is>
      </c>
      <c r="C14" s="5" t="inlineStr">
        <is>
          <t>getWorldTimeSec</t>
        </is>
      </c>
      <c r="D14" s="4" t="inlineStr">
        <is>
          <t>正常系</t>
        </is>
      </c>
      <c r="E14" s="4" t="inlineStr">
        <is>
          <t>開発者テスト</t>
        </is>
      </c>
      <c r="F14" s="5" t="inlineStr">
        <is>
          <t>running 以外は確定分だけ</t>
        </is>
      </c>
      <c r="G14" s="5" t="inlineStr">
        <is>
          <t>前提：paused、確定分 100
入力：now 05:00</t>
        </is>
      </c>
      <c r="H14" s="5" t="inlineStr">
        <is>
          <t>100</t>
        </is>
      </c>
      <c r="I14" s="5" t="inlineStr">
        <is>
          <t>B6-T</t>
        </is>
      </c>
      <c r="J14" s="5" t="inlineStr">
        <is>
          <t>なし</t>
        </is>
      </c>
      <c r="K14" s="5" t="inlineStr"/>
      <c r="L14" s="5" t="inlineStr"/>
      <c r="M14" s="5" t="inlineStr">
        <is>
          <t>TC-NOUS57_DEV-10 running 以外は確定分だけ</t>
        </is>
      </c>
      <c r="N14" s="6" t="inlineStr">
        <is>
          <t>未実施</t>
        </is>
      </c>
      <c r="O14" s="6" t="inlineStr"/>
      <c r="P14" s="6" t="inlineStr"/>
      <c r="Q14" s="7" t="inlineStr">
        <is>
          <t>既存テスト：実装時のテスト（NOUS-57）</t>
        </is>
      </c>
    </row>
    <row r="15">
      <c r="A15" s="4" t="n">
        <v>11</v>
      </c>
      <c r="B15" s="4" t="inlineStr">
        <is>
          <t>TC-NOUS57_DEV-11</t>
        </is>
      </c>
      <c r="C15" s="5" t="inlineStr">
        <is>
          <t>heartbeatPatch</t>
        </is>
      </c>
      <c r="D15" s="4" t="inlineStr">
        <is>
          <t>正常系</t>
        </is>
      </c>
      <c r="E15" s="4" t="inlineStr">
        <is>
          <t>開発者テスト</t>
        </is>
      </c>
      <c r="F15" s="5" t="inlineStr">
        <is>
          <t>生存時刻が 180 秒を超えて古ければ、最後の生存時刻までを足して running_since を now にする</t>
        </is>
      </c>
      <c r="G15" s="5" t="inlineStr">
        <is>
          <t>前提：running、確定分 100、running_since 00:00、heartbeat_at 00:10
入力：now 02:00</t>
        </is>
      </c>
      <c r="H15" s="5" t="inlineStr">
        <is>
          <t>world_elapsed_sec 700、running_since と heartbeat_at は now</t>
        </is>
      </c>
      <c r="I15" s="5" t="inlineStr">
        <is>
          <t>B9-F, B10-F, B11-T</t>
        </is>
      </c>
      <c r="J15" s="5" t="inlineStr">
        <is>
          <t>なし</t>
        </is>
      </c>
      <c r="K15" s="5" t="inlineStr"/>
      <c r="L15" s="5" t="inlineStr"/>
      <c r="M15" s="5" t="inlineStr">
        <is>
          <t>TC-NOUS57_DEV-11 生存時刻が 180 秒を超えて古ければ、最後の生存時刻までを足して running_since を now にする</t>
        </is>
      </c>
      <c r="N15" s="6" t="inlineStr">
        <is>
          <t>未実施</t>
        </is>
      </c>
      <c r="O15" s="6" t="inlineStr"/>
      <c r="P15" s="6" t="inlineStr"/>
      <c r="Q15" s="7" t="inlineStr">
        <is>
          <t>既存テスト：実装時のテスト（NOUS-57）</t>
        </is>
      </c>
    </row>
    <row r="16">
      <c r="A16" s="4" t="n">
        <v>12</v>
      </c>
      <c r="B16" s="4" t="inlineStr">
        <is>
          <t>TC-NOUS57_DEV-12</t>
        </is>
      </c>
      <c r="C16" s="5" t="inlineStr">
        <is>
          <t>heartbeatPatch</t>
        </is>
      </c>
      <c r="D16" s="4" t="inlineStr">
        <is>
          <t>正常系</t>
        </is>
      </c>
      <c r="E16" s="4" t="inlineStr">
        <is>
          <t>開発者テスト</t>
        </is>
      </c>
      <c r="F16" s="5" t="inlineStr">
        <is>
          <t>生存時刻が 180 秒以内なら heartbeat_at だけを更新する</t>
        </is>
      </c>
      <c r="G16" s="5" t="inlineStr">
        <is>
          <t>前提：running、heartbeat_at 00:10
入力：now 00:13</t>
        </is>
      </c>
      <c r="H16" s="5" t="inlineStr">
        <is>
          <t>確定分と running_since はそのまま、heartbeat_at は now</t>
        </is>
      </c>
      <c r="I16" s="5" t="inlineStr">
        <is>
          <t>B9-F, B10-F, B11-F</t>
        </is>
      </c>
      <c r="J16" s="5" t="inlineStr">
        <is>
          <t>なし</t>
        </is>
      </c>
      <c r="K16" s="5" t="inlineStr"/>
      <c r="L16" s="5" t="inlineStr"/>
      <c r="M16" s="5" t="inlineStr">
        <is>
          <t>TC-NOUS57_DEV-12 生存時刻が 180 秒以内なら heartbeat_at だけを更新する</t>
        </is>
      </c>
      <c r="N16" s="6" t="inlineStr">
        <is>
          <t>未実施</t>
        </is>
      </c>
      <c r="O16" s="6" t="inlineStr"/>
      <c r="P16" s="6" t="inlineStr"/>
      <c r="Q16" s="7" t="inlineStr">
        <is>
          <t>既存テスト：実装時のテスト（NOUS-57）</t>
        </is>
      </c>
    </row>
    <row r="17">
      <c r="A17" s="4" t="n">
        <v>13</v>
      </c>
      <c r="B17" s="4" t="inlineStr">
        <is>
          <t>TC-NOUS57_DEV-13</t>
        </is>
      </c>
      <c r="C17" s="5" t="inlineStr">
        <is>
          <t>startupPatch</t>
        </is>
      </c>
      <c r="D17" s="4" t="inlineStr">
        <is>
          <t>正常系</t>
        </is>
      </c>
      <c r="E17" s="4" t="inlineStr">
        <is>
          <t>開発者テスト</t>
        </is>
      </c>
      <c r="F17" s="5" t="inlineStr">
        <is>
          <t>起動時は最後の生存時刻までを足し、running_since と heartbeat_at を now にする</t>
        </is>
      </c>
      <c r="G17" s="5" t="inlineStr">
        <is>
          <t>前提：running、running_since 00:00:00、heartbeat_at 00:00:30
入力：now 翌日 00:00</t>
        </is>
      </c>
      <c r="H17" s="5" t="inlineStr">
        <is>
          <t>world_elapsed_sec 30、running_since と heartbeat_at は now</t>
        </is>
      </c>
      <c r="I17" s="5" t="inlineStr">
        <is>
          <t>B12-F, B13-F</t>
        </is>
      </c>
      <c r="J17" s="5" t="inlineStr">
        <is>
          <t>なし</t>
        </is>
      </c>
      <c r="K17" s="5" t="inlineStr"/>
      <c r="L17" s="5" t="inlineStr"/>
      <c r="M17" s="5" t="inlineStr">
        <is>
          <t>TC-NOUS57_DEV-13 起動時の補正は、最後の生存時刻までを足して running_since と heartbeat_at を now にする</t>
        </is>
      </c>
      <c r="N17" s="6" t="inlineStr">
        <is>
          <t>未実施</t>
        </is>
      </c>
      <c r="O17" s="6" t="inlineStr"/>
      <c r="P17" s="6" t="inlineStr"/>
      <c r="Q17" s="7" t="inlineStr">
        <is>
          <t>既存テスト：実装時のテスト（NOUS-57）</t>
        </is>
      </c>
    </row>
    <row r="18">
      <c r="A18" s="4" t="n">
        <v>14</v>
      </c>
      <c r="B18" s="4" t="inlineStr">
        <is>
          <t>TC-NOUS57_DEV-14</t>
        </is>
      </c>
      <c r="C18" s="5" t="inlineStr">
        <is>
          <t>heartbeatPatch / startupPatch</t>
        </is>
      </c>
      <c r="D18" s="4" t="inlineStr">
        <is>
          <t>正常系</t>
        </is>
      </c>
      <c r="E18" s="4" t="inlineStr">
        <is>
          <t>開発者テスト</t>
        </is>
      </c>
      <c r="F18" s="5" t="inlineStr">
        <is>
          <t>running でなければ補正しない</t>
        </is>
      </c>
      <c r="G18" s="5" t="inlineStr">
        <is>
          <t>前提：paused
入力：任意の now</t>
        </is>
      </c>
      <c r="H18" s="5" t="inlineStr">
        <is>
          <t>どちらも null</t>
        </is>
      </c>
      <c r="I18" s="5" t="inlineStr">
        <is>
          <t>B9-T, B12-T</t>
        </is>
      </c>
      <c r="J18" s="5" t="inlineStr">
        <is>
          <t>なし</t>
        </is>
      </c>
      <c r="K18" s="5" t="inlineStr"/>
      <c r="L18" s="5" t="inlineStr"/>
      <c r="M18" s="5" t="inlineStr">
        <is>
          <t>TC-NOUS57_DEV-14 running でなければ補正しない</t>
        </is>
      </c>
      <c r="N18" s="6" t="inlineStr">
        <is>
          <t>未実施</t>
        </is>
      </c>
      <c r="O18" s="6" t="inlineStr"/>
      <c r="P18" s="6" t="inlineStr"/>
      <c r="Q18" s="7" t="inlineStr">
        <is>
          <t>既存テスト：実装時のテスト（NOUS-57）</t>
        </is>
      </c>
    </row>
    <row r="19">
      <c r="A19" s="4" t="n">
        <v>15</v>
      </c>
      <c r="B19" s="4" t="inlineStr">
        <is>
          <t>TC-UT_WLD-001</t>
        </is>
      </c>
      <c r="C19" s="5" t="inlineStr">
        <is>
          <t>canTransition</t>
        </is>
      </c>
      <c r="D19" s="4" t="inlineStr">
        <is>
          <t>正常系</t>
        </is>
      </c>
      <c r="E19" s="4" t="inlineStr">
        <is>
          <t>状態遷移</t>
        </is>
      </c>
      <c r="F19" s="5" t="inlineStr">
        <is>
          <t>概要 6章の遷移表にある preparing → limit_stopped を許可する</t>
        </is>
      </c>
      <c r="G19" s="5" t="inlineStr">
        <is>
          <t>前提：なし
入力：from preparing、to limit_stopped</t>
        </is>
      </c>
      <c r="H19" s="5" t="inlineStr">
        <is>
          <t>true</t>
        </is>
      </c>
      <c r="I19" s="5" t="inlineStr">
        <is>
          <t>B1-T</t>
        </is>
      </c>
      <c r="J19" s="5" t="inlineStr">
        <is>
          <t>なし</t>
        </is>
      </c>
      <c r="K19" s="5" t="inlineStr"/>
      <c r="L19" s="5" t="inlineStr"/>
      <c r="M19" s="5" t="inlineStr">
        <is>
          <t>TC-UT_WLD-001 概要 6章の遷移表にある preparing → limit_stopped を許可する</t>
        </is>
      </c>
      <c r="N19" s="6" t="inlineStr">
        <is>
          <t>未実施</t>
        </is>
      </c>
      <c r="O19" s="6" t="inlineStr"/>
      <c r="P19" s="6" t="inlineStr"/>
      <c r="Q19" s="7" t="inlineStr">
        <is>
          <t>既存テスト：一部 TC-NOUS57_DEV-01（この組は allowed に入っていない）
疑い：実装は false を返す（WORLD_TRANSITIONS にこの組がない）。疑い 1
概要 v3.10（NOUS-78）で追加された行</t>
        </is>
      </c>
    </row>
    <row r="20">
      <c r="A20" s="4" t="n">
        <v>16</v>
      </c>
      <c r="B20" s="4" t="inlineStr">
        <is>
          <t>TC-UT_WLD-002</t>
        </is>
      </c>
      <c r="C20" s="5" t="inlineStr">
        <is>
          <t>canTransition</t>
        </is>
      </c>
      <c r="D20" s="4" t="inlineStr">
        <is>
          <t>異常系</t>
        </is>
      </c>
      <c r="E20" s="4" t="inlineStr">
        <is>
          <t>同値分割</t>
        </is>
      </c>
      <c r="F20" s="5" t="inlineStr">
        <is>
          <t>同じ状態への遷移（自己遷移）はすべて拒否する</t>
        </is>
      </c>
      <c r="G20" s="5" t="inlineStr">
        <is>
          <t>前提：なし
入力：from・to とも WORLD_STATES の 6 状態のそれぞれ</t>
        </is>
      </c>
      <c r="H20" s="5" t="inlineStr">
        <is>
          <t>false</t>
        </is>
      </c>
      <c r="I20" s="5" t="inlineStr">
        <is>
          <t>B1-F</t>
        </is>
      </c>
      <c r="J20" s="5" t="inlineStr">
        <is>
          <t>なし</t>
        </is>
      </c>
      <c r="K20" s="5" t="inlineStr"/>
      <c r="L20" s="5" t="inlineStr"/>
      <c r="M20" s="5" t="inlineStr">
        <is>
          <t>TC-UT_WLD-002 同じ状態への遷移は拒否する</t>
        </is>
      </c>
      <c r="N20" s="6" t="inlineStr">
        <is>
          <t>未実施</t>
        </is>
      </c>
      <c r="O20" s="6" t="inlineStr"/>
      <c r="P20" s="6" t="inlineStr"/>
      <c r="Q20" s="7" t="inlineStr">
        <is>
          <t>既存テスト：一部 TC-NOUS57_DEV-02（直積の中に含むが、自己遷移として独立には見ていない）</t>
        </is>
      </c>
    </row>
    <row r="21">
      <c r="A21" s="4" t="n">
        <v>17</v>
      </c>
      <c r="B21" s="4" t="inlineStr">
        <is>
          <t>TC-UT_WLD-003</t>
        </is>
      </c>
      <c r="C21" s="5" t="inlineStr">
        <is>
          <t>isWithinLimits / limitReason</t>
        </is>
      </c>
      <c r="D21" s="4" t="inlineStr">
        <is>
          <t>正常系</t>
        </is>
      </c>
      <c r="E21" s="4" t="inlineStr">
        <is>
          <t>境界値</t>
        </is>
      </c>
      <c r="F21" s="5" t="inlineStr">
        <is>
          <t>上限を下限の 1 にしたとき、利用量 0 は上限の中、1 は上限に達している</t>
        </is>
      </c>
      <c r="G21" s="5" t="inlineStr">
        <is>
          <t>前提：上限 Neurons 1・実行回数 1（SETTINGS_RANGES の下限）
入力：(0,0)、(1,0)、(0,1)</t>
        </is>
      </c>
      <c r="H21" s="5" t="inlineStr">
        <is>
          <t>(0,0) は true と null、(1,0) は neurons_limit、(0,1) は runs_limit</t>
        </is>
      </c>
      <c r="I21" s="5" t="inlineStr">
        <is>
          <t>B2-T, B3-T, B4-T, B4-F, B5-T, B5-F</t>
        </is>
      </c>
      <c r="J21" s="5" t="inlineStr">
        <is>
          <t>なし</t>
        </is>
      </c>
      <c r="K21" s="5" t="inlineStr"/>
      <c r="L21" s="5" t="inlineStr"/>
      <c r="M21" s="5" t="inlineStr">
        <is>
          <t>TC-UT_WLD-003 上限を下限の 1 にしたとき、利用量 0 は上限の中、1 は上限に達している</t>
        </is>
      </c>
      <c r="N21" s="6" t="inlineStr">
        <is>
          <t>未実施</t>
        </is>
      </c>
      <c r="O21" s="6" t="inlineStr"/>
      <c r="P21" s="6" t="inlineStr"/>
      <c r="Q21" s="7" t="inlineStr">
        <is>
          <t>既存テスト：なし（DEV は既定の上限 9,500・480 だけ）</t>
        </is>
      </c>
    </row>
    <row r="22">
      <c r="A22" s="4" t="n">
        <v>18</v>
      </c>
      <c r="B22" s="4" t="inlineStr">
        <is>
          <t>TC-UT_WLD-004</t>
        </is>
      </c>
      <c r="C22" s="5" t="inlineStr">
        <is>
          <t>isWithinLimits / limitReason</t>
        </is>
      </c>
      <c r="D22" s="4" t="inlineStr">
        <is>
          <t>異常系</t>
        </is>
      </c>
      <c r="E22" s="4" t="inlineStr">
        <is>
          <t>境界値</t>
        </is>
      </c>
      <c r="F22" s="5" t="inlineStr">
        <is>
          <t>上限を 1 超えた値も上限の外になる</t>
        </is>
      </c>
      <c r="G22" s="5" t="inlineStr">
        <is>
          <t>前提：上限 9,500・480
入力：(9,501, 0)、(0, 481)</t>
        </is>
      </c>
      <c r="H22" s="5" t="inlineStr">
        <is>
          <t>false と neurons_limit、false と runs_limit</t>
        </is>
      </c>
      <c r="I22" s="5" t="inlineStr">
        <is>
          <t>B2-F, B2-T, B3-F, B4-T, B5-T</t>
        </is>
      </c>
      <c r="J22" s="5" t="inlineStr">
        <is>
          <t>なし</t>
        </is>
      </c>
      <c r="K22" s="5" t="inlineStr"/>
      <c r="L22" s="5" t="inlineStr"/>
      <c r="M22" s="5" t="inlineStr">
        <is>
          <t>TC-UT_WLD-004 上限を超えた値（Neurons 9,501・実行回数 481）も上限の外になる</t>
        </is>
      </c>
      <c r="N22" s="6" t="inlineStr">
        <is>
          <t>未実施</t>
        </is>
      </c>
      <c r="O22" s="6" t="inlineStr"/>
      <c r="P22" s="6" t="inlineStr"/>
      <c r="Q22" s="7" t="inlineStr">
        <is>
          <t>既存テスト：一部 TC-NOUS57_DEV-06・07（上限ちょうどまで）</t>
        </is>
      </c>
    </row>
    <row r="23">
      <c r="A23" s="4" t="n">
        <v>19</v>
      </c>
      <c r="B23" s="4" t="inlineStr">
        <is>
          <t>TC-UT_WLD-005</t>
        </is>
      </c>
      <c r="C23" s="5" t="inlineStr">
        <is>
          <t>getWorldTimeSec</t>
        </is>
      </c>
      <c r="D23" s="4" t="inlineStr">
        <is>
          <t>異常系</t>
        </is>
      </c>
      <c r="E23" s="4" t="inlineStr">
        <is>
          <t>境界値</t>
        </is>
      </c>
      <c r="F23" s="5" t="inlineStr">
        <is>
          <t>running で now が running_since より前なら、確定分だけを返す（負の秒を足さない）</t>
        </is>
      </c>
      <c r="G23" s="5" t="inlineStr">
        <is>
          <t>前提：running、確定分 100、running_since 2026-10-22T00:00:00Z
入力：now 2026-10-21T23:59:00Z</t>
        </is>
      </c>
      <c r="H23" s="5" t="inlineStr">
        <is>
          <t>100</t>
        </is>
      </c>
      <c r="I23" s="5" t="inlineStr">
        <is>
          <t>B6-F, B7-T</t>
        </is>
      </c>
      <c r="J23" s="5" t="inlineStr">
        <is>
          <t>なし</t>
        </is>
      </c>
      <c r="K23" s="5" t="inlineStr"/>
      <c r="L23" s="5" t="inlineStr"/>
      <c r="M23" s="5" t="inlineStr">
        <is>
          <t>TC-UT_WLD-005 running で now が running_since より前なら、確定分だけを返す（負にしない）</t>
        </is>
      </c>
      <c r="N23" s="6" t="inlineStr">
        <is>
          <t>未実施</t>
        </is>
      </c>
      <c r="O23" s="6" t="inlineStr"/>
      <c r="P23" s="6" t="inlineStr"/>
      <c r="Q23" s="7" t="inlineStr">
        <is>
          <t>既存テスト：なし（DEV は now が後のときだけ）</t>
        </is>
      </c>
    </row>
    <row r="24">
      <c r="A24" s="4" t="n">
        <v>20</v>
      </c>
      <c r="B24" s="4" t="inlineStr">
        <is>
          <t>TC-UT_WLD-006</t>
        </is>
      </c>
      <c r="C24" s="5" t="inlineStr">
        <is>
          <t>getWorldTimeSec</t>
        </is>
      </c>
      <c r="D24" s="4" t="inlineStr">
        <is>
          <t>異常系</t>
        </is>
      </c>
      <c r="E24" s="4" t="inlineStr">
        <is>
          <t>分岐網羅</t>
        </is>
      </c>
      <c r="F24" s="5" t="inlineStr">
        <is>
          <t>running でも running_since が null なら確定分だけを返す</t>
        </is>
      </c>
      <c r="G24" s="5" t="inlineStr">
        <is>
          <t>前提：running、確定分 100、running_since null
入力：now 01:00</t>
        </is>
      </c>
      <c r="H24" s="5" t="inlineStr">
        <is>
          <t>100</t>
        </is>
      </c>
      <c r="I24" s="5" t="inlineStr">
        <is>
          <t>B6-T</t>
        </is>
      </c>
      <c r="J24" s="5" t="inlineStr">
        <is>
          <t>なし</t>
        </is>
      </c>
      <c r="K24" s="5" t="inlineStr"/>
      <c r="L24" s="5" t="inlineStr"/>
      <c r="M24" s="5" t="inlineStr">
        <is>
          <t>TC-UT_WLD-006 running でも running_since が null なら、確定分だけを返す</t>
        </is>
      </c>
      <c r="N24" s="6" t="inlineStr">
        <is>
          <t>未実施</t>
        </is>
      </c>
      <c r="O24" s="6" t="inlineStr"/>
      <c r="P24" s="6" t="inlineStr"/>
      <c r="Q24" s="7" t="inlineStr">
        <is>
          <t>既存テスト：なし（DEV-10 は paused で B6 の左辺だけ）
worlds の CHECK では起きない組だが、関数の分岐として確かめる</t>
        </is>
      </c>
    </row>
    <row r="25">
      <c r="A25" s="4" t="n">
        <v>21</v>
      </c>
      <c r="B25" s="4" t="inlineStr">
        <is>
          <t>TC-UT_WLD-007</t>
        </is>
      </c>
      <c r="C25" s="5" t="inlineStr">
        <is>
          <t>getWorldTimeSec</t>
        </is>
      </c>
      <c r="D25" s="4" t="inlineStr">
        <is>
          <t>正常系</t>
        </is>
      </c>
      <c r="E25" s="4" t="inlineStr">
        <is>
          <t>境界値</t>
        </is>
      </c>
      <c r="F25" s="5" t="inlineStr">
        <is>
          <t>running_since から 999 ミリ秒は 0 秒、1,000 ミリ秒は 1 秒と数える（切り捨て）</t>
        </is>
      </c>
      <c r="G25" s="5" t="inlineStr">
        <is>
          <t>前提：running、確定分 0、running_since 00:00:00.000
入力：now 00:00:00.999、00:00:01.000</t>
        </is>
      </c>
      <c r="H25" s="5" t="inlineStr">
        <is>
          <t>0、1</t>
        </is>
      </c>
      <c r="I25" s="5" t="inlineStr">
        <is>
          <t>B6-F, B7-F</t>
        </is>
      </c>
      <c r="J25" s="5" t="inlineStr">
        <is>
          <t>なし</t>
        </is>
      </c>
      <c r="K25" s="5" t="inlineStr"/>
      <c r="L25" s="5" t="inlineStr"/>
      <c r="M25" s="5" t="inlineStr">
        <is>
          <t>TC-UT_WLD-007 running_since から 999 ミリ秒は 0 秒、1,000 ミリ秒は 1 秒と数える</t>
        </is>
      </c>
      <c r="N25" s="6" t="inlineStr">
        <is>
          <t>未実施</t>
        </is>
      </c>
      <c r="O25" s="6" t="inlineStr"/>
      <c r="P25" s="6" t="inlineStr"/>
      <c r="Q25" s="7" t="inlineStr">
        <is>
          <t>既存テスト：一部 TC-NOUS57_DEV-09（60.999 秒の切り捨てだけ）</t>
        </is>
      </c>
    </row>
    <row r="26">
      <c r="A26" s="4" t="n">
        <v>22</v>
      </c>
      <c r="B26" s="4" t="inlineStr">
        <is>
          <t>TC-UT_WLD-008</t>
        </is>
      </c>
      <c r="C26" s="5" t="inlineStr">
        <is>
          <t>heartbeatPatch</t>
        </is>
      </c>
      <c r="D26" s="4" t="inlineStr">
        <is>
          <t>正常系</t>
        </is>
      </c>
      <c r="E26" s="4" t="inlineStr">
        <is>
          <t>境界値</t>
        </is>
      </c>
      <c r="F26" s="5" t="inlineStr">
        <is>
          <t>生存時刻からちょうど 180 秒なら補正しない（180 秒を「超えて」古いときだけ補正）</t>
        </is>
      </c>
      <c r="G26" s="5" t="inlineStr">
        <is>
          <t>前提：running、確定分 100、heartbeat_at 00:10:00
入力：now 00:13:00</t>
        </is>
      </c>
      <c r="H26" s="5" t="inlineStr">
        <is>
          <t>確定分 100 と running_since はそのまま、heartbeat_at は now</t>
        </is>
      </c>
      <c r="I26" s="5" t="inlineStr">
        <is>
          <t>B9-F, B10-F, B11-F</t>
        </is>
      </c>
      <c r="J26" s="5" t="inlineStr">
        <is>
          <t>なし</t>
        </is>
      </c>
      <c r="K26" s="5" t="inlineStr"/>
      <c r="L26" s="5" t="inlineStr"/>
      <c r="M26" s="5" t="inlineStr">
        <is>
          <t>TC-UT_WLD-008 生存時刻からちょうど 180 秒なら補正せず、heartbeat_at だけを now にする</t>
        </is>
      </c>
      <c r="N26" s="6" t="inlineStr">
        <is>
          <t>未実施</t>
        </is>
      </c>
      <c r="O26" s="6" t="inlineStr"/>
      <c r="P26" s="6" t="inlineStr"/>
      <c r="Q26" s="7" t="inlineStr">
        <is>
          <t>既存テスト：一部 TC-NOUS57_DEV-12（ちょうど 180 秒の値で見ている。境界として独立に置く）</t>
        </is>
      </c>
    </row>
    <row r="27">
      <c r="A27" s="4" t="n">
        <v>23</v>
      </c>
      <c r="B27" s="4" t="inlineStr">
        <is>
          <t>TC-UT_WLD-009</t>
        </is>
      </c>
      <c r="C27" s="5" t="inlineStr">
        <is>
          <t>heartbeatPatch</t>
        </is>
      </c>
      <c r="D27" s="4" t="inlineStr">
        <is>
          <t>正常系</t>
        </is>
      </c>
      <c r="E27" s="4" t="inlineStr">
        <is>
          <t>境界値</t>
        </is>
      </c>
      <c r="F27" s="5" t="inlineStr">
        <is>
          <t>生存時刻から 181 秒なら補正し、最後の生存時刻までを足して running_since を now にする</t>
        </is>
      </c>
      <c r="G27" s="5" t="inlineStr">
        <is>
          <t>前提：running、確定分 100、running_since 00:00、heartbeat_at 00:10:00
入力：now 00:13:01</t>
        </is>
      </c>
      <c r="H27" s="5" t="inlineStr">
        <is>
          <t>world_elapsed_sec 700、running_since と heartbeat_at は now</t>
        </is>
      </c>
      <c r="I27" s="5" t="inlineStr">
        <is>
          <t>B9-F, B10-F, B11-T</t>
        </is>
      </c>
      <c r="J27" s="5" t="inlineStr">
        <is>
          <t>なし</t>
        </is>
      </c>
      <c r="K27" s="5" t="inlineStr"/>
      <c r="L27" s="5" t="inlineStr"/>
      <c r="M27" s="5" t="inlineStr">
        <is>
          <t>TC-UT_WLD-009 生存時刻から 181 秒なら補正し、最後の生存時刻までを足して running_since を now にする</t>
        </is>
      </c>
      <c r="N27" s="6" t="inlineStr">
        <is>
          <t>未実施</t>
        </is>
      </c>
      <c r="O27" s="6" t="inlineStr"/>
      <c r="P27" s="6" t="inlineStr"/>
      <c r="Q27" s="7" t="inlineStr">
        <is>
          <t>既存テスト：一部 TC-NOUS57_DEV-11（1 時間 50 分空いたときだけ）</t>
        </is>
      </c>
    </row>
    <row r="28">
      <c r="A28" s="4" t="n">
        <v>24</v>
      </c>
      <c r="B28" s="4" t="inlineStr">
        <is>
          <t>TC-UT_WLD-010</t>
        </is>
      </c>
      <c r="C28" s="5" t="inlineStr">
        <is>
          <t>heartbeatPatch</t>
        </is>
      </c>
      <c r="D28" s="4" t="inlineStr">
        <is>
          <t>正常系</t>
        </is>
      </c>
      <c r="E28" s="4" t="inlineStr">
        <is>
          <t>分岐網羅</t>
        </is>
      </c>
      <c r="F28" s="5" t="inlineStr">
        <is>
          <t>heartbeat_at が null なら running_since を最後の生存時刻として補正する</t>
        </is>
      </c>
      <c r="G28" s="5" t="inlineStr">
        <is>
          <t>前提：running、確定分 100、running_since 00:00、heartbeat_at null
入力：now 01:00</t>
        </is>
      </c>
      <c r="H28" s="5" t="inlineStr">
        <is>
          <t>world_elapsed_sec 100（足す秒は 0）、running_since と heartbeat_at は now</t>
        </is>
      </c>
      <c r="I28" s="5" t="inlineStr">
        <is>
          <t>B9-F, B10-T, B11-T</t>
        </is>
      </c>
      <c r="J28" s="5" t="inlineStr">
        <is>
          <t>なし</t>
        </is>
      </c>
      <c r="K28" s="5" t="inlineStr"/>
      <c r="L28" s="5" t="inlineStr"/>
      <c r="M28" s="5" t="inlineStr">
        <is>
          <t>TC-UT_WLD-010 heartbeat_at が null なら running_since を最後の生存時刻として補正する</t>
        </is>
      </c>
      <c r="N28" s="6" t="inlineStr">
        <is>
          <t>未実施</t>
        </is>
      </c>
      <c r="O28" s="6" t="inlineStr"/>
      <c r="P28" s="6" t="inlineStr"/>
      <c r="Q28" s="7" t="inlineStr">
        <is>
          <t>既存テスト：なし（DEV は heartbeat_at が入っているときだけ）</t>
        </is>
      </c>
    </row>
    <row r="29">
      <c r="A29" s="4" t="n">
        <v>25</v>
      </c>
      <c r="B29" s="4" t="inlineStr">
        <is>
          <t>TC-UT_WLD-011</t>
        </is>
      </c>
      <c r="C29" s="5" t="inlineStr">
        <is>
          <t>startupPatch</t>
        </is>
      </c>
      <c r="D29" s="4" t="inlineStr">
        <is>
          <t>正常系</t>
        </is>
      </c>
      <c r="E29" s="4" t="inlineStr">
        <is>
          <t>分岐網羅</t>
        </is>
      </c>
      <c r="F29" s="5" t="inlineStr">
        <is>
          <t>起動時の補正で heartbeat_at が null なら、確定分は変えずに running_since と heartbeat_at を now にする</t>
        </is>
      </c>
      <c r="G29" s="5" t="inlineStr">
        <is>
          <t>前提：running、確定分 42、heartbeat_at null
入力：now 2026-10-23T00:00Z</t>
        </is>
      </c>
      <c r="H29" s="5" t="inlineStr">
        <is>
          <t>world_elapsed_sec 42、running_since と heartbeat_at は now</t>
        </is>
      </c>
      <c r="I29" s="5" t="inlineStr">
        <is>
          <t>B12-F, B13-T</t>
        </is>
      </c>
      <c r="J29" s="5" t="inlineStr">
        <is>
          <t>なし</t>
        </is>
      </c>
      <c r="K29" s="5" t="inlineStr"/>
      <c r="L29" s="5" t="inlineStr"/>
      <c r="M29" s="5" t="inlineStr">
        <is>
          <t>TC-UT_WLD-011 起動時の補正で heartbeat_at が null なら、確定分は変えずに running_since と heartbeat_at を now にする</t>
        </is>
      </c>
      <c r="N29" s="6" t="inlineStr">
        <is>
          <t>未実施</t>
        </is>
      </c>
      <c r="O29" s="6" t="inlineStr"/>
      <c r="P29" s="6" t="inlineStr"/>
      <c r="Q29" s="7" t="inlineStr">
        <is>
          <t>既存テスト：なし（DEV-13 は heartbeat_at があるとき）</t>
        </is>
      </c>
    </row>
    <row r="30">
      <c r="A30" s="4" t="n">
        <v>26</v>
      </c>
      <c r="B30" s="4" t="inlineStr">
        <is>
          <t>TC-UT_WLD-012</t>
        </is>
      </c>
      <c r="C30" s="5" t="inlineStr">
        <is>
          <t>startupPatch</t>
        </is>
      </c>
      <c r="D30" s="4" t="inlineStr">
        <is>
          <t>異常系</t>
        </is>
      </c>
      <c r="E30" s="4" t="inlineStr">
        <is>
          <t>境界値</t>
        </is>
      </c>
      <c r="F30" s="5" t="inlineStr">
        <is>
          <t>heartbeat_at が running_since より前（不整合）なら、足す秒は 0 にする</t>
        </is>
      </c>
      <c r="G30" s="5" t="inlineStr">
        <is>
          <t>前提：running、確定分 42、running_since 2026-10-22T00:00Z、heartbeat_at 2026-10-21T23:00Z
入力：now 2026-10-23T00:00Z</t>
        </is>
      </c>
      <c r="H30" s="5" t="inlineStr">
        <is>
          <t>world_elapsed_sec 42</t>
        </is>
      </c>
      <c r="I30" s="5" t="inlineStr">
        <is>
          <t>B12-F, B13-F, B7-T</t>
        </is>
      </c>
      <c r="J30" s="5" t="inlineStr">
        <is>
          <t>なし</t>
        </is>
      </c>
      <c r="K30" s="5" t="inlineStr"/>
      <c r="L30" s="5" t="inlineStr"/>
      <c r="M30" s="5" t="inlineStr">
        <is>
          <t>TC-UT_WLD-012 起動時の補正で heartbeat_at が running_since より前なら、足す秒は 0 にする</t>
        </is>
      </c>
      <c r="N30" s="6" t="inlineStr">
        <is>
          <t>未実施</t>
        </is>
      </c>
      <c r="O30" s="6" t="inlineStr"/>
      <c r="P30" s="6" t="inlineStr"/>
      <c r="Q30" s="7" t="inlineStr">
        <is>
          <t>既存テスト：なし</t>
        </is>
      </c>
    </row>
    <row r="31">
      <c r="A31" s="4" t="n">
        <v>27</v>
      </c>
      <c r="B31" s="4" t="inlineStr">
        <is>
          <t>TC-UT_WLD-013</t>
        </is>
      </c>
      <c r="C31" s="5" t="inlineStr">
        <is>
          <t>settleWorldTime</t>
        </is>
      </c>
      <c r="D31" s="4" t="inlineStr">
        <is>
          <t>正常系</t>
        </is>
      </c>
      <c r="E31" s="4" t="inlineStr">
        <is>
          <t>同値分割</t>
        </is>
      </c>
      <c r="F31" s="5" t="inlineStr">
        <is>
          <t>running の世界の世界内時間を確定し、遷移先の state と同じ UPDATE で書いて確定した秒を返す</t>
        </is>
      </c>
      <c r="G31" s="5" t="inlineStr">
        <is>
          <t>前提：worlds に running の世界（確定分 100、running_since 00:00:00）
入力：now 00:01:30、next { state: paused, stop_reason: manual_pause }</t>
        </is>
      </c>
      <c r="H31" s="5" t="inlineStr">
        <is>
          <t>戻り値 190。worlds は paused・manual_pause・world_elapsed_sec 190・running_since null</t>
        </is>
      </c>
      <c r="I31" s="5" t="inlineStr">
        <is>
          <t>B6-F, B8-F</t>
        </is>
      </c>
      <c r="J31" s="5" t="inlineStr">
        <is>
          <t>一時 DB（createTestDb）</t>
        </is>
      </c>
      <c r="K31" s="5" t="inlineStr"/>
      <c r="L31" s="5" t="inlineStr"/>
      <c r="M31" s="5" t="inlineStr">
        <is>
          <t>TC-UT_WLD-013 running の世界の世界内時間を確定し、遷移先の state と同じ UPDATE で書いて確定した秒を返す</t>
        </is>
      </c>
      <c r="N31" s="6" t="inlineStr">
        <is>
          <t>未実施</t>
        </is>
      </c>
      <c r="O31" s="6" t="inlineStr"/>
      <c r="P31" s="6" t="inlineStr"/>
      <c r="Q31" s="7" t="inlineStr">
        <is>
          <t>既存テスト：なし（DEV は worldService 経由でだけ見ている）</t>
        </is>
      </c>
    </row>
    <row r="32">
      <c r="A32" s="4" t="n">
        <v>28</v>
      </c>
      <c r="B32" s="4" t="inlineStr">
        <is>
          <t>TC-UT_WLD-014</t>
        </is>
      </c>
      <c r="C32" s="5" t="inlineStr">
        <is>
          <t>settleWorldTime</t>
        </is>
      </c>
      <c r="D32" s="4" t="inlineStr">
        <is>
          <t>異常系</t>
        </is>
      </c>
      <c r="E32" s="4" t="inlineStr">
        <is>
          <t>状態遷移</t>
        </is>
      </c>
      <c r="F32" s="5" t="inlineStr">
        <is>
          <t>読んだときと state が違えば書かずに null を返す（楽観の確認）</t>
        </is>
      </c>
      <c r="G32" s="5" t="inlineStr">
        <is>
          <t>前提：worlds に running の世界
入力：読んだ値の state を paused に書き換えた world、next { state: emergency_stopped }</t>
        </is>
      </c>
      <c r="H32" s="5" t="inlineStr">
        <is>
          <t>戻り値 null。worlds は running・確定分 100・running_since のまま</t>
        </is>
      </c>
      <c r="I32" s="5" t="inlineStr">
        <is>
          <t>B8-T</t>
        </is>
      </c>
      <c r="J32" s="5" t="inlineStr">
        <is>
          <t>一時 DB（createTestDb）</t>
        </is>
      </c>
      <c r="K32" s="5" t="inlineStr"/>
      <c r="L32" s="5" t="inlineStr"/>
      <c r="M32" s="5" t="inlineStr">
        <is>
          <t>TC-UT_WLD-014 読んだときと state が違えば書かずに null を返す（楽観の確認）</t>
        </is>
      </c>
      <c r="N32" s="6" t="inlineStr">
        <is>
          <t>未実施</t>
        </is>
      </c>
      <c r="O32" s="6" t="inlineStr"/>
      <c r="P32" s="6" t="inlineStr"/>
      <c r="Q32" s="7" t="inlineStr">
        <is>
          <t>既存テスト：なし（並行の更新は DEV にない）</t>
        </is>
      </c>
    </row>
  </sheetData>
  <autoFilter ref="A4:Q32"/>
  <conditionalFormatting sqref="A5:Q82">
    <cfRule type="expression" priority="1" dxfId="0">
      <formula>$N5="NG"</formula>
    </cfRule>
    <cfRule type="expression" priority="2" dxfId="1">
      <formula>$N5="OK"</formula>
    </cfRule>
    <cfRule type="expression" priority="3" dxfId="2">
      <formula>$N5="保留"</formula>
    </cfRule>
  </conditionalFormatting>
  <dataValidations count="2">
    <dataValidation sqref="N5:N82" showDropDown="0" showInputMessage="0" showErrorMessage="0" allowBlank="1" type="list">
      <formula1>"未実施,OK,NG,保留,対象外"</formula1>
    </dataValidation>
    <dataValidation sqref="D5:D82" showDropDown="0" showInputMessage="0" showErrorMessage="0" allowBlank="1" type="list">
      <formula1>"正常系,異常系"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集計サマリ</t>
        </is>
      </c>
    </row>
    <row r="2">
      <c r="A2" s="2" t="inlineStr">
        <is>
          <t>観点表シートの内容から自動集計されます（手入力不要）。</t>
        </is>
      </c>
    </row>
    <row r="4">
      <c r="A4" s="8" t="inlineStr">
        <is>
          <t>ケース数</t>
        </is>
      </c>
      <c r="B4" s="9" t="n"/>
      <c r="C4" s="9" t="n"/>
    </row>
    <row r="5">
      <c r="A5" s="10" t="inlineStr">
        <is>
          <t>総ケース数</t>
        </is>
      </c>
      <c r="B5" s="10">
        <f>COUNTA(観点表!$B$5:$B$82)</f>
        <v/>
      </c>
    </row>
    <row r="6">
      <c r="A6" s="10" t="inlineStr">
        <is>
          <t>正常系</t>
        </is>
      </c>
      <c r="B6" s="10">
        <f>COUNTIF(観点表!$D$5:$D$82,"正常系")</f>
        <v/>
      </c>
    </row>
    <row r="7">
      <c r="A7" s="10" t="inlineStr">
        <is>
          <t>異常系</t>
        </is>
      </c>
      <c r="B7" s="10">
        <f>COUNTIF(観点表!$D$5:$D$82,"異常系")</f>
        <v/>
      </c>
    </row>
    <row r="9">
      <c r="A9" s="8" t="inlineStr">
        <is>
          <t>技法別</t>
        </is>
      </c>
      <c r="B9" s="9" t="n"/>
      <c r="C9" s="9" t="n"/>
    </row>
    <row r="10">
      <c r="A10" s="10" t="inlineStr">
        <is>
          <t>分岐網羅</t>
        </is>
      </c>
      <c r="B10" s="10">
        <f>COUNTIF(観点表!$E$5:$E$82,"分岐網羅")</f>
        <v/>
      </c>
    </row>
    <row r="11">
      <c r="A11" s="10" t="inlineStr">
        <is>
          <t>同値分割</t>
        </is>
      </c>
      <c r="B11" s="10">
        <f>COUNTIF(観点表!$E$5:$E$82,"同値分割")</f>
        <v/>
      </c>
    </row>
    <row r="12">
      <c r="A12" s="10" t="inlineStr">
        <is>
          <t>境界値</t>
        </is>
      </c>
      <c r="B12" s="10">
        <f>COUNTIF(観点表!$E$5:$E$82,"境界値")</f>
        <v/>
      </c>
    </row>
    <row r="13">
      <c r="A13" s="10" t="inlineStr">
        <is>
          <t>状態遷移</t>
        </is>
      </c>
      <c r="B13" s="10">
        <f>COUNTIF(観点表!$E$5:$E$82,"状態遷移")</f>
        <v/>
      </c>
    </row>
    <row r="14">
      <c r="A14" s="10" t="inlineStr">
        <is>
          <t>開発者テスト</t>
        </is>
      </c>
      <c r="B14" s="10">
        <f>COUNTIF(観点表!$E$5:$E$82,"開発者テスト")</f>
        <v/>
      </c>
    </row>
    <row r="16">
      <c r="A16" s="8" t="inlineStr">
        <is>
          <t>テストデータ</t>
        </is>
      </c>
      <c r="B16" s="9" t="n"/>
      <c r="C16" s="9" t="n"/>
    </row>
    <row r="17">
      <c r="A17" s="10" t="inlineStr">
        <is>
          <t>作成済み</t>
        </is>
      </c>
      <c r="B17" s="10">
        <f>COUNTIF(観点表!$K$5:$K$82,"?*")</f>
        <v/>
      </c>
    </row>
    <row r="18">
      <c r="A18" s="10" t="inlineStr">
        <is>
          <t>未作成</t>
        </is>
      </c>
      <c r="B18" s="10">
        <f>B5-B17</f>
        <v/>
      </c>
    </row>
    <row r="20">
      <c r="A20" s="8" t="inlineStr">
        <is>
          <t>実施状況</t>
        </is>
      </c>
      <c r="B20" s="9" t="n"/>
      <c r="C20" s="9" t="n"/>
    </row>
    <row r="21">
      <c r="A21" s="10" t="inlineStr">
        <is>
          <t>未実施</t>
        </is>
      </c>
      <c r="B21" s="10">
        <f>COUNTIF(観点表!$N$5:$N$82,"未実施")</f>
        <v/>
      </c>
    </row>
    <row r="22">
      <c r="A22" s="10" t="inlineStr">
        <is>
          <t>OK</t>
        </is>
      </c>
      <c r="B22" s="10">
        <f>COUNTIF(観点表!$N$5:$N$82,"OK")</f>
        <v/>
      </c>
    </row>
    <row r="23">
      <c r="A23" s="10" t="inlineStr">
        <is>
          <t>NG</t>
        </is>
      </c>
      <c r="B23" s="10">
        <f>COUNTIF(観点表!$N$5:$N$82,"NG")</f>
        <v/>
      </c>
    </row>
    <row r="24">
      <c r="A24" s="10" t="inlineStr">
        <is>
          <t>保留</t>
        </is>
      </c>
      <c r="B24" s="10">
        <f>COUNTIF(観点表!$N$5:$N$82,"保留")</f>
        <v/>
      </c>
    </row>
    <row r="25">
      <c r="A25" s="10" t="inlineStr">
        <is>
          <t>対象外</t>
        </is>
      </c>
      <c r="B25" s="10">
        <f>COUNTIF(観点表!$N$5:$N$82,"対象外")</f>
        <v/>
      </c>
    </row>
    <row r="26">
      <c r="A26" s="10" t="inlineStr">
        <is>
          <t>消化率（未実施以外 / 総数）</t>
        </is>
      </c>
      <c r="B26" s="11">
        <f>IF(B5=0,0,(B5-B21)/B5)</f>
        <v/>
      </c>
    </row>
    <row r="27">
      <c r="A27" s="10" t="inlineStr">
        <is>
          <t>合格率（OK / (総数-対象外)）</t>
        </is>
      </c>
      <c r="B27" s="11">
        <f>IF(B5-B25=0,0,B22/(B5-B25))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9" customWidth="1" min="3" max="3"/>
    <col width="22" customWidth="1" min="4" max="4"/>
    <col width="40" customWidth="1" min="5" max="5"/>
    <col width="30" customWidth="1" min="6" max="6"/>
  </cols>
  <sheetData>
    <row r="1">
      <c r="A1" s="1" t="inlineStr">
        <is>
          <t>テストデータ一覧</t>
        </is>
      </c>
    </row>
    <row r="2">
      <c r="A2" s="2" t="inlineStr">
        <is>
          <t>観点表の各ケースで使う具体値を項目単位に展開したもの（参照用。編集は観点表の「テストデータ（具体値）」列で行う）。</t>
        </is>
      </c>
    </row>
    <row r="4">
      <c r="A4" s="12" t="inlineStr">
        <is>
          <t>ID</t>
        </is>
      </c>
      <c r="B4" s="12" t="inlineStr">
        <is>
          <t>観点</t>
        </is>
      </c>
      <c r="C4" s="12" t="inlineStr">
        <is>
          <t>区分</t>
        </is>
      </c>
      <c r="D4" s="12" t="inlineStr">
        <is>
          <t>項目</t>
        </is>
      </c>
      <c r="E4" s="12" t="inlineStr">
        <is>
          <t>値</t>
        </is>
      </c>
      <c r="F4" s="12" t="inlineStr">
        <is>
          <t>データ参照</t>
        </is>
      </c>
    </row>
    <row r="5">
      <c r="A5" s="13" t="inlineStr">
        <is>
          <t>TC-NOUS57_DEV-01</t>
        </is>
      </c>
      <c r="B5" s="13" t="inlineStr">
        <is>
          <t>遷移の表にある 15 組（12 行を遷移元ごとに展開）はすべて許可する</t>
        </is>
      </c>
      <c r="C5" s="13" t="inlineStr">
        <is>
          <t>未作成</t>
        </is>
      </c>
      <c r="D5" s="13" t="inlineStr"/>
      <c r="E5" s="13" t="inlineStr"/>
      <c r="F5" s="13" t="inlineStr"/>
    </row>
    <row r="6">
      <c r="A6" s="13" t="inlineStr">
        <is>
          <t>TC-NOUS57_DEV-02</t>
        </is>
      </c>
      <c r="B6" s="13" t="inlineStr">
        <is>
          <t>6 状態×6 状態の全組のうち、表にない組はすべて拒否する</t>
        </is>
      </c>
      <c r="C6" s="13" t="inlineStr">
        <is>
          <t>未作成</t>
        </is>
      </c>
      <c r="D6" s="13" t="inlineStr"/>
      <c r="E6" s="13" t="inlineStr"/>
      <c r="F6" s="13" t="inlineStr"/>
    </row>
    <row r="7">
      <c r="A7" s="13" t="inlineStr">
        <is>
          <t>TC-NOUS57_DEV-03</t>
        </is>
      </c>
      <c r="B7" s="13" t="inlineStr">
        <is>
          <t>preparing と running からは archived にできない</t>
        </is>
      </c>
      <c r="C7" s="13" t="inlineStr">
        <is>
          <t>未作成</t>
        </is>
      </c>
      <c r="D7" s="13" t="inlineStr"/>
      <c r="E7" s="13" t="inlineStr"/>
      <c r="F7" s="13" t="inlineStr"/>
    </row>
    <row r="8">
      <c r="A8" s="13" t="inlineStr">
        <is>
          <t>TC-NOUS57_DEV-04</t>
        </is>
      </c>
      <c r="B8" s="13" t="inlineStr">
        <is>
          <t>archived からはどこへも遷移しない</t>
        </is>
      </c>
      <c r="C8" s="13" t="inlineStr">
        <is>
          <t>未作成</t>
        </is>
      </c>
      <c r="D8" s="13" t="inlineStr"/>
      <c r="E8" s="13" t="inlineStr"/>
      <c r="F8" s="13" t="inlineStr"/>
    </row>
    <row r="9">
      <c r="A9" s="13" t="inlineStr">
        <is>
          <t>TC-NOUS57_DEV-05</t>
        </is>
      </c>
      <c r="B9" s="13" t="inlineStr">
        <is>
          <t>Neurons・実行回数とも上限未満なら上限の中</t>
        </is>
      </c>
      <c r="C9" s="13" t="inlineStr">
        <is>
          <t>未作成</t>
        </is>
      </c>
      <c r="D9" s="13" t="inlineStr"/>
      <c r="E9" s="13" t="inlineStr"/>
      <c r="F9" s="13" t="inlineStr"/>
    </row>
    <row r="10">
      <c r="A10" s="13" t="inlineStr">
        <is>
          <t>TC-NOUS57_DEV-06</t>
        </is>
      </c>
      <c r="B10" s="13" t="inlineStr">
        <is>
          <t>Neurons が上限ちょうどなら neurons_limit</t>
        </is>
      </c>
      <c r="C10" s="13" t="inlineStr">
        <is>
          <t>未作成</t>
        </is>
      </c>
      <c r="D10" s="13" t="inlineStr"/>
      <c r="E10" s="13" t="inlineStr"/>
      <c r="F10" s="13" t="inlineStr"/>
    </row>
    <row r="11">
      <c r="A11" s="13" t="inlineStr">
        <is>
          <t>TC-NOUS57_DEV-07</t>
        </is>
      </c>
      <c r="B11" s="13" t="inlineStr">
        <is>
          <t>実行回数が上限ちょうどなら runs_limit</t>
        </is>
      </c>
      <c r="C11" s="13" t="inlineStr">
        <is>
          <t>未作成</t>
        </is>
      </c>
      <c r="D11" s="13" t="inlineStr"/>
      <c r="E11" s="13" t="inlineStr"/>
      <c r="F11" s="13" t="inlineStr"/>
    </row>
    <row r="12">
      <c r="A12" s="13" t="inlineStr">
        <is>
          <t>TC-NOUS57_DEV-08</t>
        </is>
      </c>
      <c r="B12" s="13" t="inlineStr">
        <is>
          <t>両方とも上限を超えていれば Neurons を先に見る</t>
        </is>
      </c>
      <c r="C12" s="13" t="inlineStr">
        <is>
          <t>未作成</t>
        </is>
      </c>
      <c r="D12" s="13" t="inlineStr"/>
      <c r="E12" s="13" t="inlineStr"/>
      <c r="F12" s="13" t="inlineStr"/>
    </row>
    <row r="13">
      <c r="A13" s="13" t="inlineStr">
        <is>
          <t>TC-NOUS57_DEV-09</t>
        </is>
      </c>
      <c r="B13" s="13" t="inlineStr">
        <is>
          <t>running なら確定分に running_since からの秒（切り捨て）を足す</t>
        </is>
      </c>
      <c r="C13" s="13" t="inlineStr">
        <is>
          <t>未作成</t>
        </is>
      </c>
      <c r="D13" s="13" t="inlineStr"/>
      <c r="E13" s="13" t="inlineStr"/>
      <c r="F13" s="13" t="inlineStr"/>
    </row>
    <row r="14">
      <c r="A14" s="13" t="inlineStr">
        <is>
          <t>TC-NOUS57_DEV-10</t>
        </is>
      </c>
      <c r="B14" s="13" t="inlineStr">
        <is>
          <t>running 以外は確定分だけ</t>
        </is>
      </c>
      <c r="C14" s="13" t="inlineStr">
        <is>
          <t>未作成</t>
        </is>
      </c>
      <c r="D14" s="13" t="inlineStr"/>
      <c r="E14" s="13" t="inlineStr"/>
      <c r="F14" s="13" t="inlineStr"/>
    </row>
    <row r="15">
      <c r="A15" s="13" t="inlineStr">
        <is>
          <t>TC-NOUS57_DEV-11</t>
        </is>
      </c>
      <c r="B15" s="13" t="inlineStr">
        <is>
          <t>生存時刻が 180 秒を超えて古ければ、最後の生存時刻までを足して running_since を now にする</t>
        </is>
      </c>
      <c r="C15" s="13" t="inlineStr">
        <is>
          <t>未作成</t>
        </is>
      </c>
      <c r="D15" s="13" t="inlineStr"/>
      <c r="E15" s="13" t="inlineStr"/>
      <c r="F15" s="13" t="inlineStr"/>
    </row>
    <row r="16">
      <c r="A16" s="13" t="inlineStr">
        <is>
          <t>TC-NOUS57_DEV-12</t>
        </is>
      </c>
      <c r="B16" s="13" t="inlineStr">
        <is>
          <t>生存時刻が 180 秒以内なら heartbeat_at だけを更新する</t>
        </is>
      </c>
      <c r="C16" s="13" t="inlineStr">
        <is>
          <t>未作成</t>
        </is>
      </c>
      <c r="D16" s="13" t="inlineStr"/>
      <c r="E16" s="13" t="inlineStr"/>
      <c r="F16" s="13" t="inlineStr"/>
    </row>
    <row r="17">
      <c r="A17" s="13" t="inlineStr">
        <is>
          <t>TC-NOUS57_DEV-13</t>
        </is>
      </c>
      <c r="B17" s="13" t="inlineStr">
        <is>
          <t>起動時は最後の生存時刻までを足し、running_since と heartbeat_at を now にする</t>
        </is>
      </c>
      <c r="C17" s="13" t="inlineStr">
        <is>
          <t>未作成</t>
        </is>
      </c>
      <c r="D17" s="13" t="inlineStr"/>
      <c r="E17" s="13" t="inlineStr"/>
      <c r="F17" s="13" t="inlineStr"/>
    </row>
    <row r="18">
      <c r="A18" s="13" t="inlineStr">
        <is>
          <t>TC-NOUS57_DEV-14</t>
        </is>
      </c>
      <c r="B18" s="13" t="inlineStr">
        <is>
          <t>running でなければ補正しない</t>
        </is>
      </c>
      <c r="C18" s="13" t="inlineStr">
        <is>
          <t>未作成</t>
        </is>
      </c>
      <c r="D18" s="13" t="inlineStr"/>
      <c r="E18" s="13" t="inlineStr"/>
      <c r="F18" s="13" t="inlineStr"/>
    </row>
    <row r="19">
      <c r="A19" s="13" t="inlineStr">
        <is>
          <t>TC-UT_WLD-001</t>
        </is>
      </c>
      <c r="B19" s="13" t="inlineStr">
        <is>
          <t>概要 6章の遷移表にある preparing → limit_stopped を許可する</t>
        </is>
      </c>
      <c r="C19" s="13" t="inlineStr">
        <is>
          <t>未作成</t>
        </is>
      </c>
      <c r="D19" s="13" t="inlineStr"/>
      <c r="E19" s="13" t="inlineStr"/>
      <c r="F19" s="13" t="inlineStr"/>
    </row>
    <row r="20">
      <c r="A20" s="13" t="inlineStr">
        <is>
          <t>TC-UT_WLD-002</t>
        </is>
      </c>
      <c r="B20" s="13" t="inlineStr">
        <is>
          <t>同じ状態への遷移（自己遷移）はすべて拒否する</t>
        </is>
      </c>
      <c r="C20" s="13" t="inlineStr">
        <is>
          <t>未作成</t>
        </is>
      </c>
      <c r="D20" s="13" t="inlineStr"/>
      <c r="E20" s="13" t="inlineStr"/>
      <c r="F20" s="13" t="inlineStr"/>
    </row>
    <row r="21">
      <c r="A21" s="13" t="inlineStr">
        <is>
          <t>TC-UT_WLD-003</t>
        </is>
      </c>
      <c r="B21" s="13" t="inlineStr">
        <is>
          <t>上限を下限の 1 にしたとき、利用量 0 は上限の中、1 は上限に達している</t>
        </is>
      </c>
      <c r="C21" s="13" t="inlineStr">
        <is>
          <t>未作成</t>
        </is>
      </c>
      <c r="D21" s="13" t="inlineStr"/>
      <c r="E21" s="13" t="inlineStr"/>
      <c r="F21" s="13" t="inlineStr"/>
    </row>
    <row r="22">
      <c r="A22" s="13" t="inlineStr">
        <is>
          <t>TC-UT_WLD-004</t>
        </is>
      </c>
      <c r="B22" s="13" t="inlineStr">
        <is>
          <t>上限を 1 超えた値も上限の外になる</t>
        </is>
      </c>
      <c r="C22" s="13" t="inlineStr">
        <is>
          <t>未作成</t>
        </is>
      </c>
      <c r="D22" s="13" t="inlineStr"/>
      <c r="E22" s="13" t="inlineStr"/>
      <c r="F22" s="13" t="inlineStr"/>
    </row>
    <row r="23">
      <c r="A23" s="13" t="inlineStr">
        <is>
          <t>TC-UT_WLD-005</t>
        </is>
      </c>
      <c r="B23" s="13" t="inlineStr">
        <is>
          <t>running で now が running_since より前なら、確定分だけを返す（負の秒を足さない）</t>
        </is>
      </c>
      <c r="C23" s="13" t="inlineStr">
        <is>
          <t>未作成</t>
        </is>
      </c>
      <c r="D23" s="13" t="inlineStr"/>
      <c r="E23" s="13" t="inlineStr"/>
      <c r="F23" s="13" t="inlineStr"/>
    </row>
    <row r="24">
      <c r="A24" s="13" t="inlineStr">
        <is>
          <t>TC-UT_WLD-006</t>
        </is>
      </c>
      <c r="B24" s="13" t="inlineStr">
        <is>
          <t>running でも running_since が null なら確定分だけを返す</t>
        </is>
      </c>
      <c r="C24" s="13" t="inlineStr">
        <is>
          <t>未作成</t>
        </is>
      </c>
      <c r="D24" s="13" t="inlineStr"/>
      <c r="E24" s="13" t="inlineStr"/>
      <c r="F24" s="13" t="inlineStr"/>
    </row>
    <row r="25">
      <c r="A25" s="13" t="inlineStr">
        <is>
          <t>TC-UT_WLD-007</t>
        </is>
      </c>
      <c r="B25" s="13" t="inlineStr">
        <is>
          <t>running_since から 999 ミリ秒は 0 秒、1,000 ミリ秒は 1 秒と数える（切り捨て）</t>
        </is>
      </c>
      <c r="C25" s="13" t="inlineStr">
        <is>
          <t>未作成</t>
        </is>
      </c>
      <c r="D25" s="13" t="inlineStr"/>
      <c r="E25" s="13" t="inlineStr"/>
      <c r="F25" s="13" t="inlineStr"/>
    </row>
    <row r="26">
      <c r="A26" s="13" t="inlineStr">
        <is>
          <t>TC-UT_WLD-008</t>
        </is>
      </c>
      <c r="B26" s="13" t="inlineStr">
        <is>
          <t>生存時刻からちょうど 180 秒なら補正しない（180 秒を「超えて」古いときだけ補正）</t>
        </is>
      </c>
      <c r="C26" s="13" t="inlineStr">
        <is>
          <t>未作成</t>
        </is>
      </c>
      <c r="D26" s="13" t="inlineStr"/>
      <c r="E26" s="13" t="inlineStr"/>
      <c r="F26" s="13" t="inlineStr"/>
    </row>
    <row r="27">
      <c r="A27" s="13" t="inlineStr">
        <is>
          <t>TC-UT_WLD-009</t>
        </is>
      </c>
      <c r="B27" s="13" t="inlineStr">
        <is>
          <t>生存時刻から 181 秒なら補正し、最後の生存時刻までを足して running_since を now にする</t>
        </is>
      </c>
      <c r="C27" s="13" t="inlineStr">
        <is>
          <t>未作成</t>
        </is>
      </c>
      <c r="D27" s="13" t="inlineStr"/>
      <c r="E27" s="13" t="inlineStr"/>
      <c r="F27" s="13" t="inlineStr"/>
    </row>
    <row r="28">
      <c r="A28" s="13" t="inlineStr">
        <is>
          <t>TC-UT_WLD-010</t>
        </is>
      </c>
      <c r="B28" s="13" t="inlineStr">
        <is>
          <t>heartbeat_at が null なら running_since を最後の生存時刻として補正する</t>
        </is>
      </c>
      <c r="C28" s="13" t="inlineStr">
        <is>
          <t>未作成</t>
        </is>
      </c>
      <c r="D28" s="13" t="inlineStr"/>
      <c r="E28" s="13" t="inlineStr"/>
      <c r="F28" s="13" t="inlineStr"/>
    </row>
    <row r="29">
      <c r="A29" s="13" t="inlineStr">
        <is>
          <t>TC-UT_WLD-011</t>
        </is>
      </c>
      <c r="B29" s="13" t="inlineStr">
        <is>
          <t>起動時の補正で heartbeat_at が null なら、確定分は変えずに running_since と heartbeat_at を now にする</t>
        </is>
      </c>
      <c r="C29" s="13" t="inlineStr">
        <is>
          <t>未作成</t>
        </is>
      </c>
      <c r="D29" s="13" t="inlineStr"/>
      <c r="E29" s="13" t="inlineStr"/>
      <c r="F29" s="13" t="inlineStr"/>
    </row>
    <row r="30">
      <c r="A30" s="13" t="inlineStr">
        <is>
          <t>TC-UT_WLD-012</t>
        </is>
      </c>
      <c r="B30" s="13" t="inlineStr">
        <is>
          <t>heartbeat_at が running_since より前（不整合）なら、足す秒は 0 にする</t>
        </is>
      </c>
      <c r="C30" s="13" t="inlineStr">
        <is>
          <t>未作成</t>
        </is>
      </c>
      <c r="D30" s="13" t="inlineStr"/>
      <c r="E30" s="13" t="inlineStr"/>
      <c r="F30" s="13" t="inlineStr"/>
    </row>
    <row r="31">
      <c r="A31" s="13" t="inlineStr">
        <is>
          <t>TC-UT_WLD-013</t>
        </is>
      </c>
      <c r="B31" s="13" t="inlineStr">
        <is>
          <t>running の世界の世界内時間を確定し、遷移先の state と同じ UPDATE で書いて確定した秒を返す</t>
        </is>
      </c>
      <c r="C31" s="13" t="inlineStr">
        <is>
          <t>未作成</t>
        </is>
      </c>
      <c r="D31" s="13" t="inlineStr"/>
      <c r="E31" s="13" t="inlineStr"/>
      <c r="F31" s="13" t="inlineStr"/>
    </row>
    <row r="32">
      <c r="A32" s="13" t="inlineStr">
        <is>
          <t>TC-UT_WLD-014</t>
        </is>
      </c>
      <c r="B32" s="13" t="inlineStr">
        <is>
          <t>読んだときと state が違えば書かずに null を返す（楽観の確認）</t>
        </is>
      </c>
      <c r="C32" s="13" t="inlineStr">
        <is>
          <t>未作成</t>
        </is>
      </c>
      <c r="D32" s="13" t="inlineStr"/>
      <c r="E32" s="13" t="inlineStr"/>
      <c r="F32" s="13" t="inlineStr"/>
    </row>
  </sheetData>
  <autoFilter ref="A4:F32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30" customWidth="1" min="3" max="3"/>
  </cols>
  <sheetData>
    <row r="1">
      <c r="A1" s="1" t="inlineStr">
        <is>
          <t>対象概要</t>
        </is>
      </c>
    </row>
    <row r="3">
      <c r="A3" s="14" t="inlineStr">
        <is>
          <t>タイトル</t>
        </is>
      </c>
      <c r="B3" s="15" t="inlineStr">
        <is>
          <t>世界の状態遷移の表・上限の判定・世界内時間（world/stateMachine.ts・limits.ts・worldTime.ts）</t>
        </is>
      </c>
    </row>
    <row r="4">
      <c r="A4" s="14" t="inlineStr">
        <is>
          <t>対象ファイル</t>
        </is>
      </c>
      <c r="B4" s="15" t="inlineStr">
        <is>
          <t>apps/server/src/world/stateMachine.ts, apps/server/src/world/limits.ts, apps/server/src/world/worldTime.ts</t>
        </is>
      </c>
    </row>
    <row r="5">
      <c r="A5" s="14" t="inlineStr">
        <is>
          <t>言語 / フレームワーク</t>
        </is>
      </c>
      <c r="B5" s="15" t="inlineStr">
        <is>
          <t>TypeScript / Vitest 2.1.9（environment: node）</t>
        </is>
      </c>
    </row>
    <row r="6">
      <c r="A6" s="14" t="inlineStr">
        <is>
          <t>テストファイル</t>
        </is>
      </c>
      <c r="B6" s="15" t="inlineStr">
        <is>
          <t>apps/server/src/world/rules.test.ts（実装時、NOUS-57）, apps/server/src/world/stateMachine.ut.test.ts（単体テストで追加）, apps/server/src/world/limits.ut.test.ts（単体テストで追加）, apps/server/src/world/worldTime.ut.test.ts（単体テストで追加）</t>
        </is>
      </c>
    </row>
    <row r="7">
      <c r="A7" s="14" t="inlineStr">
        <is>
          <t>外部依存</t>
        </is>
      </c>
      <c r="B7" s="15" t="inlineStr">
        <is>
          <t>DB（settleWorldTime のみ。一時 DB を使う）, 時刻（引数の now。Date を直接渡す）</t>
        </is>
      </c>
    </row>
    <row r="8">
      <c r="A8" s="14" t="inlineStr">
        <is>
          <t>作成日</t>
        </is>
      </c>
      <c r="B8" s="15" t="inlineStr">
        <is>
          <t>2026-10-23</t>
        </is>
      </c>
    </row>
    <row r="10">
      <c r="A10" s="16" t="inlineStr">
        <is>
          <t>分岐ID</t>
        </is>
      </c>
      <c r="B10" s="16" t="inlineStr">
        <is>
          <t>条件</t>
        </is>
      </c>
      <c r="C10" s="16" t="inlineStr">
        <is>
          <t>場所</t>
        </is>
      </c>
    </row>
    <row r="11">
      <c r="A11" s="17" t="inlineStr">
        <is>
          <t>B1</t>
        </is>
      </c>
      <c r="B11" s="17" t="inlineStr">
        <is>
          <t>WORLD_TRANSITIONS に from→to の組がある</t>
        </is>
      </c>
      <c r="C11" s="17" t="inlineStr">
        <is>
          <t>stateMachine.ts:28</t>
        </is>
      </c>
    </row>
    <row r="12">
      <c r="A12" s="17" t="inlineStr">
        <is>
          <t>B2</t>
        </is>
      </c>
      <c r="B12" s="17" t="inlineStr">
        <is>
          <t>isWithinLimits：neurons &lt; daily_neurons_limit</t>
        </is>
      </c>
      <c r="C12" s="17" t="inlineStr">
        <is>
          <t>limits.ts:20</t>
        </is>
      </c>
    </row>
    <row r="13">
      <c r="A13" s="17" t="inlineStr">
        <is>
          <t>B3</t>
        </is>
      </c>
      <c r="B13" s="17" t="inlineStr">
        <is>
          <t>isWithinLimits：runs &lt; daily_runs_limit（&amp;&amp; の右辺）</t>
        </is>
      </c>
      <c r="C13" s="17" t="inlineStr">
        <is>
          <t>limits.ts:20</t>
        </is>
      </c>
    </row>
    <row r="14">
      <c r="A14" s="17" t="inlineStr">
        <is>
          <t>B4</t>
        </is>
      </c>
      <c r="B14" s="17" t="inlineStr">
        <is>
          <t>limitReason：neurons &gt;= daily_neurons_limit</t>
        </is>
      </c>
      <c r="C14" s="17" t="inlineStr">
        <is>
          <t>limits.ts:25</t>
        </is>
      </c>
    </row>
    <row r="15">
      <c r="A15" s="17" t="inlineStr">
        <is>
          <t>B5</t>
        </is>
      </c>
      <c r="B15" s="17" t="inlineStr">
        <is>
          <t>limitReason：runs &gt;= daily_runs_limit</t>
        </is>
      </c>
      <c r="C15" s="17" t="inlineStr">
        <is>
          <t>limits.ts:26</t>
        </is>
      </c>
    </row>
    <row r="16">
      <c r="A16" s="17" t="inlineStr">
        <is>
          <t>B6</t>
        </is>
      </c>
      <c r="B16" s="17" t="inlineStr">
        <is>
          <t>getWorldTimeSec：state !== 'running' || running_since === null</t>
        </is>
      </c>
      <c r="C16" s="17" t="inlineStr">
        <is>
          <t>worldTime.ts:25</t>
        </is>
      </c>
    </row>
    <row r="17">
      <c r="A17" s="17" t="inlineStr">
        <is>
          <t>B7</t>
        </is>
      </c>
      <c r="B17" s="17" t="inlineStr">
        <is>
          <t>elapsedSec：差が負なら Math.max で 0</t>
        </is>
      </c>
      <c r="C17" s="17" t="inlineStr">
        <is>
          <t>worldTime.ts:20-21</t>
        </is>
      </c>
    </row>
    <row r="18">
      <c r="A18" s="17" t="inlineStr">
        <is>
          <t>B8</t>
        </is>
      </c>
      <c r="B18" s="17" t="inlineStr">
        <is>
          <t>settleWorldTime：UPDATE が 0 行（読んだときと state が違う）</t>
        </is>
      </c>
      <c r="C18" s="17" t="inlineStr">
        <is>
          <t>worldTime.ts:48</t>
        </is>
      </c>
    </row>
    <row r="19">
      <c r="A19" s="17" t="inlineStr">
        <is>
          <t>B9</t>
        </is>
      </c>
      <c r="B19" s="17" t="inlineStr">
        <is>
          <t>heartbeatPatch：state !== 'running' || running_since === null</t>
        </is>
      </c>
      <c r="C19" s="17" t="inlineStr">
        <is>
          <t>worldTime.ts:64</t>
        </is>
      </c>
    </row>
    <row r="20">
      <c r="A20" s="17" t="inlineStr">
        <is>
          <t>B10</t>
        </is>
      </c>
      <c r="B20" s="17" t="inlineStr">
        <is>
          <t>heartbeatPatch：heartbeat_at ?? running_since（heartbeat_at が null）</t>
        </is>
      </c>
      <c r="C20" s="17" t="inlineStr">
        <is>
          <t>worldTime.ts:66</t>
        </is>
      </c>
    </row>
    <row r="21">
      <c r="A21" s="17" t="inlineStr">
        <is>
          <t>B11</t>
        </is>
      </c>
      <c r="B21" s="17" t="inlineStr">
        <is>
          <t>heartbeatPatch：生存時刻からの秒 &gt; 180</t>
        </is>
      </c>
      <c r="C21" s="17" t="inlineStr">
        <is>
          <t>worldTime.ts:67</t>
        </is>
      </c>
    </row>
    <row r="22">
      <c r="A22" s="17" t="inlineStr">
        <is>
          <t>B12</t>
        </is>
      </c>
      <c r="B22" s="17" t="inlineStr">
        <is>
          <t>startupPatch：state !== 'running' || running_since === null</t>
        </is>
      </c>
      <c r="C22" s="17" t="inlineStr">
        <is>
          <t>worldTime.ts:82</t>
        </is>
      </c>
    </row>
    <row r="23">
      <c r="A23" s="17" t="inlineStr">
        <is>
          <t>B13</t>
        </is>
      </c>
      <c r="B23" s="17" t="inlineStr">
        <is>
          <t>startupPatch：heartbeat_at ?? running_since（heartbeat_at が null）</t>
        </is>
      </c>
      <c r="C23" s="17" t="inlineStr">
        <is>
          <t>worldTime.ts:84</t>
        </is>
      </c>
    </row>
    <row r="25">
      <c r="A25" s="14" t="inlineStr">
        <is>
          <t>確認事項・潜在バグ</t>
        </is>
      </c>
    </row>
    <row r="26" ht="30" customHeight="1">
      <c r="A26" s="18" t="inlineStr">
        <is>
          <t>・疑い 1：基本設計書（概要）v3.10（NOUS-78）で遷移表に preparing → limit_stopped を足したが、stateMachine.ts の WORLD_TRANSITIONS には入っておらず、canTransition('preparing', 'limit_stopped') が false を返す。world.md 4章は canTransition を「基本設計書 6章の遷移の表を定数で持つ」としている。startWorld は canTransition を使わずに準備中かどうかで判定するため、今の動作への影響はない。TC-UT_WLD-001 は仕様どおり true を期待するので、実施では NG になる見込み。あわせて TC-NOUS57_DEV-01・02 の期待（allowed の一覧）も表と合わない</t>
        </is>
      </c>
    </row>
    <row r="27" ht="30" customHeight="1">
      <c r="A27" s="18" t="inlineStr">
        <is>
          <t>・確認事項 1：遷移表の「running・paused・limit_stopped → emergency_stopped」と「preparing 以外 → archived」は複数の遷移元をまとめた行のため、観点表では遷移元ごとの組（15 組）で数えた。状態ごとの操作（start・pause・resume・emergency-stop・reset）からの遷移は 観点表_worldService.json で見る</t>
        </is>
      </c>
    </row>
  </sheetData>
  <mergeCells count="2">
    <mergeCell ref="A27:C27"/>
    <mergeCell ref="A26:C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2026-10-26T05:56:20Z</dcterms:created>
  <dcterms:modified xsi:type="dcterms:W3CDTF">2026-10-26T05:56:20Z</dcterms:modified>
</cp:coreProperties>
</file>