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'観点表'!$A$4:$Q$52</definedName>
    <definedName name="_xlnm.Print_Titles" localSheetId="0">'観点表'!$4:$4</definedName>
    <definedName name="_xlnm._FilterDatabase" localSheetId="2" hidden="1">'テストデータ'!$A$4:$F$52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Cloudflare Workers AI の実装と LlmClient の選択（llm/cloudflareClient.ts・llm/createLlmClient.ts）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TC-NOUS51_DEV-01</t>
        </is>
      </c>
      <c r="C5" s="5" t="inlineStr">
        <is>
          <t>callCloudflare / CloudflareClient.generate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URL・ヘッダー・本文を 2章どおりに送り、本文と usage を返す</t>
        </is>
      </c>
      <c r="G5" s="5" t="inlineStr">
        <is>
          <t>前提：なし
入力：Gemma 4、system・user、maxTokens 300</t>
        </is>
      </c>
      <c r="H5" s="5" t="inlineStr">
        <is>
          <t>POST、Bearer トークン、本文（messages・max_tokens・temperature 0.9・chat_template_kwargs）、LlmResult（usage の値と durationMs 965）</t>
        </is>
      </c>
      <c r="I5" s="5" t="inlineStr">
        <is>
          <t>B1-T, B4-F, B9-T, B11-T, B15-T, B16-F, B17-F, B18-F, B19-F, B20-F, B21-F, B22-F, B23-T, B24-F</t>
        </is>
      </c>
      <c r="J5" s="5" t="inlineStr">
        <is>
          <t>fetch → 200（success true、choices[0].message.content、usage）、nowMs の差し替え</t>
        </is>
      </c>
      <c r="K5" s="5" t="inlineStr"/>
      <c r="L5" s="5" t="inlineStr"/>
      <c r="M5" s="5" t="inlineStr">
        <is>
          <t>TC-NOUS51_DEV-01 URL・ヘッダー・本文を 2章どおりに送り、本文と usage 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既存テスト：実装時のテスト（NOUS-51）</t>
        </is>
      </c>
    </row>
    <row r="6">
      <c r="A6" s="4" t="n">
        <v>2</v>
      </c>
      <c r="B6" s="4" t="inlineStr">
        <is>
          <t>TC-NOUS51_DEV-02</t>
        </is>
      </c>
      <c r="C6" s="5" t="inlineStr">
        <is>
          <t>buildRequestBody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Qwen3 は user の末尾に ' /no_think' を付け、chat_template_kwargs を送らない</t>
        </is>
      </c>
      <c r="G6" s="5" t="inlineStr">
        <is>
          <t>前提：なし
入力：Qwen3、system・user</t>
        </is>
      </c>
      <c r="H6" s="5" t="inlineStr">
        <is>
          <t>user の末尾に /no_think。chat_template_kwargs なし</t>
        </is>
      </c>
      <c r="I6" s="5" t="inlineStr">
        <is>
          <t>B1-F, B2-T, B3-T</t>
        </is>
      </c>
      <c r="J6" s="5" t="inlineStr">
        <is>
          <t>なし</t>
        </is>
      </c>
      <c r="K6" s="5" t="inlineStr"/>
      <c r="L6" s="5" t="inlineStr"/>
      <c r="M6" s="5" t="inlineStr">
        <is>
          <t>TC-NOUS51_DEV-02 Qwen3 は user の末尾に ' /no_think' を付け、chat_template_kwargs を送らない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既存テスト：実装時のテスト（NOUS-51）</t>
        </is>
      </c>
    </row>
    <row r="7">
      <c r="A7" s="4" t="n">
        <v>3</v>
      </c>
      <c r="B7" s="4" t="inlineStr">
        <is>
          <t>TC-NOUS51_DEV-03</t>
        </is>
      </c>
      <c r="C7" s="5" t="inlineStr">
        <is>
          <t>buildRequestBody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buildRequestBody は元の messages を書き換えない</t>
        </is>
      </c>
      <c r="G7" s="5" t="inlineStr">
        <is>
          <t>前提：なし
入力：Qwen3 の依頼</t>
        </is>
      </c>
      <c r="H7" s="5" t="inlineStr">
        <is>
          <t>元の user の content は変わらない</t>
        </is>
      </c>
      <c r="I7" s="5" t="inlineStr">
        <is>
          <t>B2-T, B3-T</t>
        </is>
      </c>
      <c r="J7" s="5" t="inlineStr">
        <is>
          <t>なし</t>
        </is>
      </c>
      <c r="K7" s="5" t="inlineStr"/>
      <c r="L7" s="5" t="inlineStr"/>
      <c r="M7" s="5" t="inlineStr">
        <is>
          <t>TC-NOUS51_DEV-03 buildRequestBody は元の messages を書き換えない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既存テスト：実装時のテスト（NOUS-51）</t>
        </is>
      </c>
    </row>
    <row r="8">
      <c r="A8" s="4" t="n">
        <v>4</v>
      </c>
      <c r="B8" s="4" t="inlineStr">
        <is>
          <t>TC-NOUS51_DEV-04</t>
        </is>
      </c>
      <c r="C8" s="5" t="inlineStr">
        <is>
          <t>callCloudflare / computeNeurons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usage.neurons がなければ単価表から計算する</t>
        </is>
      </c>
      <c r="G8" s="5" t="inlineStr">
        <is>
          <t>前提：なし
入力：usage { prompt_tokens 1000, completion_tokens 100 }</t>
        </is>
      </c>
      <c r="H8" s="5" t="inlineStr">
        <is>
          <t>neurons = (1000×9091 + 100×27273) / 100 万</t>
        </is>
      </c>
      <c r="I8" s="5" t="inlineStr">
        <is>
          <t>B9-F, B10-F, B23-F</t>
        </is>
      </c>
      <c r="J8" s="5" t="inlineStr">
        <is>
          <t>fetch → 200（neurons なし）</t>
        </is>
      </c>
      <c r="K8" s="5" t="inlineStr"/>
      <c r="L8" s="5" t="inlineStr"/>
      <c r="M8" s="5" t="inlineStr">
        <is>
          <t>TC-NOUS51_DEV-04 usage.neurons がなければ単価表から計算する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既存テスト：実装時のテスト（NOUS-51）</t>
        </is>
      </c>
    </row>
    <row r="9">
      <c r="A9" s="4" t="n">
        <v>5</v>
      </c>
      <c r="B9" s="4" t="inlineStr">
        <is>
          <t>TC-NOUS51_DEV-05</t>
        </is>
      </c>
      <c r="C9" s="5" t="inlineStr">
        <is>
          <t>computeNeurons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computeNeurons は Gemma 4・Qwen3 の単価を使い分け、報告値を優先する</t>
        </is>
      </c>
      <c r="G9" s="5" t="inlineStr">
        <is>
          <t>前提：なし
入力：Gemma 4・Qwen3・表にないモデル、報告値 12.3</t>
        </is>
      </c>
      <c r="H9" s="5" t="inlineStr">
        <is>
          <t>各単価の値、報告値 12.3、表にないモデルは高い方の単価</t>
        </is>
      </c>
      <c r="I9" s="5" t="inlineStr">
        <is>
          <t>B9-T, B9-F, B10-T, B10-F</t>
        </is>
      </c>
      <c r="J9" s="5" t="inlineStr">
        <is>
          <t>なし</t>
        </is>
      </c>
      <c r="K9" s="5" t="inlineStr"/>
      <c r="L9" s="5" t="inlineStr"/>
      <c r="M9" s="5" t="inlineStr">
        <is>
          <t>TC-NOUS51_DEV-05 computeNeurons は Gemma 4・Qwen3 の単価を使い分け、報告値を優先する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既存テスト：実装時のテスト（NOUS-51）</t>
        </is>
      </c>
    </row>
    <row r="10">
      <c r="A10" s="4" t="n">
        <v>6</v>
      </c>
      <c r="B10" s="4" t="inlineStr">
        <is>
          <t>TC-NOUS51_DEV-06</t>
        </is>
      </c>
      <c r="C10" s="5" t="inlineStr">
        <is>
          <t>buildUrl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buildUrl は model_id の / をそのままパスに入れる</t>
        </is>
      </c>
      <c r="G10" s="5" t="inlineStr">
        <is>
          <t>前提：なし
入力：アカウント ID、Qwen3</t>
        </is>
      </c>
      <c r="H10" s="5" t="inlineStr">
        <is>
          <t>.../ai/run/@cf/qwen/qwen3-30b-a3b-fp8</t>
        </is>
      </c>
      <c r="I10" s="5" t="inlineStr"/>
      <c r="J10" s="5" t="inlineStr">
        <is>
          <t>なし</t>
        </is>
      </c>
      <c r="K10" s="5" t="inlineStr"/>
      <c r="L10" s="5" t="inlineStr"/>
      <c r="M10" s="5" t="inlineStr">
        <is>
          <t>TC-NOUS51_DEV-06 buildUrl は model_id の / をそのままパスに入れる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既存テスト：実装時のテスト（NOUS-51）</t>
        </is>
      </c>
    </row>
    <row r="11">
      <c r="A11" s="4" t="n">
        <v>7</v>
      </c>
      <c r="B11" s="4" t="inlineStr">
        <is>
          <t>TC-NOUS51_DEV-11</t>
        </is>
      </c>
      <c r="C11" s="5" t="inlineStr">
        <is>
          <t>toLlmError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429・3036 は FreeTierExceededError（再試行しない）</t>
        </is>
      </c>
      <c r="G11" s="5" t="inlineStr">
        <is>
          <t>前提：なし
入力：429、errors [{ code 3036 }]</t>
        </is>
      </c>
      <c r="H11" s="5" t="inlineStr">
        <is>
          <t>FreeTierExceededError、kind free_tier、retryable 偽、detail に 3036</t>
        </is>
      </c>
      <c r="I11" s="5" t="inlineStr">
        <is>
          <t>B4-T, B5-F, B6-T, B7-T, B8-T</t>
        </is>
      </c>
      <c r="J11" s="5" t="inlineStr">
        <is>
          <t>なし</t>
        </is>
      </c>
      <c r="K11" s="5" t="inlineStr"/>
      <c r="L11" s="5" t="inlineStr"/>
      <c r="M11" s="5" t="inlineStr">
        <is>
          <t>TC-NOUS51_DEV-11 429・3036 は FreeTierExceededError（再試行しない）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既存テスト：実装時のテスト（NOUS-51）</t>
        </is>
      </c>
    </row>
    <row r="12">
      <c r="A12" s="4" t="n">
        <v>8</v>
      </c>
      <c r="B12" s="4" t="inlineStr">
        <is>
          <t>TC-NOUS51_DEV-12</t>
        </is>
      </c>
      <c r="C12" s="5" t="inlineStr">
        <is>
          <t>toLlmError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3036 以外の 429 は RateLimitedError（3040・errors なし・JSON でない）</t>
        </is>
      </c>
      <c r="G12" s="5" t="inlineStr">
        <is>
          <t>前提：なし
入力：429 と、3040・errors なし・null の本文</t>
        </is>
      </c>
      <c r="H12" s="5" t="inlineStr">
        <is>
          <t>RateLimitedError、retryable 真</t>
        </is>
      </c>
      <c r="I12" s="5" t="inlineStr">
        <is>
          <t>B4-T, B4-F, B6-F, B7-T, B8-F</t>
        </is>
      </c>
      <c r="J12" s="5" t="inlineStr">
        <is>
          <t>なし</t>
        </is>
      </c>
      <c r="K12" s="5" t="inlineStr"/>
      <c r="L12" s="5" t="inlineStr"/>
      <c r="M12" s="5" t="inlineStr">
        <is>
          <t>TC-NOUS51_DEV-12 3036 以外の 429 は RateLimitedError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既存テスト：実装時のテスト（NOUS-51）</t>
        </is>
      </c>
    </row>
    <row r="13">
      <c r="A13" s="4" t="n">
        <v>9</v>
      </c>
      <c r="B13" s="4" t="inlineStr">
        <is>
          <t>TC-NOUS51_DEV-13</t>
        </is>
      </c>
      <c r="C13" s="5" t="inlineStr">
        <is>
          <t>toLlmError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HTTP 400・401・500・502・503 は ServerError（400・401 だけ再試行しない）</t>
        </is>
      </c>
      <c r="G13" s="5" t="inlineStr">
        <is>
          <t>前提：なし
入力：400・401・500・502・503</t>
        </is>
      </c>
      <c r="H13" s="5" t="inlineStr">
        <is>
          <t>ServerError、retryable は 400・401 だけ偽</t>
        </is>
      </c>
      <c r="I13" s="5" t="inlineStr">
        <is>
          <t>B7-F</t>
        </is>
      </c>
      <c r="J13" s="5" t="inlineStr">
        <is>
          <t>なし</t>
        </is>
      </c>
      <c r="K13" s="5" t="inlineStr"/>
      <c r="L13" s="5" t="inlineStr"/>
      <c r="M13" s="5" t="inlineStr">
        <is>
          <t>TC-NOUS51_DEV-13 HTTP %i は ServerError（再試行 %s）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既存テスト：実装時のテスト（NOUS-51）</t>
        </is>
      </c>
    </row>
    <row r="14">
      <c r="A14" s="4" t="n">
        <v>10</v>
      </c>
      <c r="B14" s="4" t="inlineStr">
        <is>
          <t>TC-NOUS51_DEV-14</t>
        </is>
      </c>
      <c r="C14" s="5" t="inlineStr">
        <is>
          <t>callCloudflare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200 でも success=false なら ServerError</t>
        </is>
      </c>
      <c r="G14" s="5" t="inlineStr">
        <is>
          <t>前提：なし
入力：200、success false</t>
        </is>
      </c>
      <c r="H14" s="5" t="inlineStr">
        <is>
          <t>ServerError、httpStatus 200</t>
        </is>
      </c>
      <c r="I14" s="5" t="inlineStr">
        <is>
          <t>B20-F, B21-T, B7-F</t>
        </is>
      </c>
      <c r="J14" s="5" t="inlineStr">
        <is>
          <t>fetch → 200（success false）</t>
        </is>
      </c>
      <c r="K14" s="5" t="inlineStr"/>
      <c r="L14" s="5" t="inlineStr"/>
      <c r="M14" s="5" t="inlineStr">
        <is>
          <t>TC-NOUS51_DEV-14 200 でも success=false なら ServerError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既存テスト：実装時のテスト（NOUS-51）</t>
        </is>
      </c>
    </row>
    <row r="15">
      <c r="A15" s="4" t="n">
        <v>11</v>
      </c>
      <c r="B15" s="4" t="inlineStr">
        <is>
          <t>TC-NOUS51_DEV-15</t>
        </is>
      </c>
      <c r="C15" s="5" t="inlineStr">
        <is>
          <t>callCloudflare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200 で本文が JSON でない、または choices がなければ ServerError</t>
        </is>
      </c>
      <c r="G15" s="5" t="inlineStr">
        <is>
          <t>前提：なし
入力：200 "&lt;html&gt;"、200 choices []</t>
        </is>
      </c>
      <c r="H15" s="5" t="inlineStr">
        <is>
          <t>どちらも ServerError</t>
        </is>
      </c>
      <c r="I15" s="5" t="inlineStr">
        <is>
          <t>B19-T, B21-T, B21-F, B22-T</t>
        </is>
      </c>
      <c r="J15" s="5" t="inlineStr">
        <is>
          <t>fetch → 200（JSON でない・choices が空）</t>
        </is>
      </c>
      <c r="K15" s="5" t="inlineStr"/>
      <c r="L15" s="5" t="inlineStr"/>
      <c r="M15" s="5" t="inlineStr">
        <is>
          <t>TC-NOUS51_DEV-15 200 で本文が JSON でない、または choices がなければ ServerError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既存テスト：実装時のテスト（NOUS-51）</t>
        </is>
      </c>
    </row>
    <row r="16">
      <c r="A16" s="4" t="n">
        <v>12</v>
      </c>
      <c r="B16" s="4" t="inlineStr">
        <is>
          <t>TC-NOUS51_DEV-16</t>
        </is>
      </c>
      <c r="C16" s="5" t="inlineStr">
        <is>
          <t>CloudflareClient.generate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HTTP の 429・3036 を generate から FreeTierExceededError で投げる</t>
        </is>
      </c>
      <c r="G16" s="5" t="inlineStr">
        <is>
          <t>前提：なし
入力：429、errors [{ code 3036 }]</t>
        </is>
      </c>
      <c r="H16" s="5" t="inlineStr">
        <is>
          <t>FreeTierExceededError</t>
        </is>
      </c>
      <c r="I16" s="5" t="inlineStr">
        <is>
          <t>B20-T, B7-T, B8-T</t>
        </is>
      </c>
      <c r="J16" s="5" t="inlineStr">
        <is>
          <t>fetch → 429</t>
        </is>
      </c>
      <c r="K16" s="5" t="inlineStr"/>
      <c r="L16" s="5" t="inlineStr"/>
      <c r="M16" s="5" t="inlineStr">
        <is>
          <t>TC-NOUS51_DEV-16 HTTP の 429・3036 を generate から FreeTierExceededError で投げる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既存テスト：実装時のテスト（NOUS-51）</t>
        </is>
      </c>
    </row>
    <row r="17">
      <c r="A17" s="4" t="n">
        <v>13</v>
      </c>
      <c r="B17" s="4" t="inlineStr">
        <is>
          <t>TC-NOUS51_DEV-21</t>
        </is>
      </c>
      <c r="C17" s="5" t="inlineStr">
        <is>
          <t>callCloudflare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timeoutMs を超えたら TimeoutError</t>
        </is>
      </c>
      <c r="G17" s="5" t="inlineStr">
        <is>
          <t>前提：なし
入力：timeoutMs 20</t>
        </is>
      </c>
      <c r="H17" s="5" t="inlineStr">
        <is>
          <t>TimeoutError、retryable 真、httpStatus null</t>
        </is>
      </c>
      <c r="I17" s="5" t="inlineStr">
        <is>
          <t>B12-F, B13-T, B18-T, B24-T</t>
        </is>
      </c>
      <c r="J17" s="5" t="inlineStr">
        <is>
          <t>fetch → signal の abort まで返らない</t>
        </is>
      </c>
      <c r="K17" s="5" t="inlineStr"/>
      <c r="L17" s="5" t="inlineStr"/>
      <c r="M17" s="5" t="inlineStr">
        <is>
          <t>TC-NOUS51_DEV-21 timeoutMs を超えたら TimeoutError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既存テスト：実装時のテスト（NOUS-51）</t>
        </is>
      </c>
    </row>
    <row r="18">
      <c r="A18" s="4" t="n">
        <v>14</v>
      </c>
      <c r="B18" s="4" t="inlineStr">
        <is>
          <t>TC-NOUS51_DEV-22</t>
        </is>
      </c>
      <c r="C18" s="5" t="inlineStr">
        <is>
          <t>callCloudflare</t>
        </is>
      </c>
      <c r="D18" s="4" t="inlineStr">
        <is>
          <t>異常系</t>
        </is>
      </c>
      <c r="E18" s="4" t="inlineStr">
        <is>
          <t>開発者テスト</t>
        </is>
      </c>
      <c r="F18" s="5" t="inlineStr">
        <is>
          <t>呼び出し中に signal が abort されたら CancelledError</t>
        </is>
      </c>
      <c r="G18" s="5" t="inlineStr">
        <is>
          <t>前提：なし
入力：呼び出し中に abort</t>
        </is>
      </c>
      <c r="H18" s="5" t="inlineStr">
        <is>
          <t>CancelledError</t>
        </is>
      </c>
      <c r="I18" s="5" t="inlineStr">
        <is>
          <t>B12-T, B18-T</t>
        </is>
      </c>
      <c r="J18" s="5" t="inlineStr">
        <is>
          <t>fetch → signal の abort まで返らない</t>
        </is>
      </c>
      <c r="K18" s="5" t="inlineStr"/>
      <c r="L18" s="5" t="inlineStr"/>
      <c r="M18" s="5" t="inlineStr">
        <is>
          <t>TC-NOUS51_DEV-22 呼び出し中に signal が abort されたら CancelledError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既存テスト：実装時のテスト（NOUS-51）</t>
        </is>
      </c>
    </row>
    <row r="19">
      <c r="A19" s="4" t="n">
        <v>15</v>
      </c>
      <c r="B19" s="4" t="inlineStr">
        <is>
          <t>TC-NOUS51_DEV-23</t>
        </is>
      </c>
      <c r="C19" s="5" t="inlineStr">
        <is>
          <t>callCloudflare</t>
        </is>
      </c>
      <c r="D19" s="4" t="inlineStr">
        <is>
          <t>異常系</t>
        </is>
      </c>
      <c r="E19" s="4" t="inlineStr">
        <is>
          <t>開発者テスト</t>
        </is>
      </c>
      <c r="F19" s="5" t="inlineStr">
        <is>
          <t>呼ぶ前に abort 済みなら fetch を呼ばずに CancelledError</t>
        </is>
      </c>
      <c r="G19" s="5" t="inlineStr">
        <is>
          <t>前提：なし
入力：abort 済みの signal</t>
        </is>
      </c>
      <c r="H19" s="5" t="inlineStr">
        <is>
          <t>CancelledError。fetch は 0 回</t>
        </is>
      </c>
      <c r="I19" s="5" t="inlineStr">
        <is>
          <t>B17-T</t>
        </is>
      </c>
      <c r="J19" s="5" t="inlineStr">
        <is>
          <t>fetch の差し替え</t>
        </is>
      </c>
      <c r="K19" s="5" t="inlineStr"/>
      <c r="L19" s="5" t="inlineStr"/>
      <c r="M19" s="5" t="inlineStr">
        <is>
          <t>TC-NOUS51_DEV-23 呼ぶ前に abort 済みなら fetch を呼ばずに CancelledError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既存テスト：実装時のテスト（NOUS-51）</t>
        </is>
      </c>
    </row>
    <row r="20">
      <c r="A20" s="4" t="n">
        <v>16</v>
      </c>
      <c r="B20" s="4" t="inlineStr">
        <is>
          <t>TC-NOUS51_DEV-24</t>
        </is>
      </c>
      <c r="C20" s="5" t="inlineStr">
        <is>
          <t>callCloudflare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接続の失敗は ServerError（httpStatus なし、再試行の対象）</t>
        </is>
      </c>
      <c r="G20" s="5" t="inlineStr">
        <is>
          <t>前提：なし
入力：fetch が TypeError("fetch failed")</t>
        </is>
      </c>
      <c r="H20" s="5" t="inlineStr">
        <is>
          <t>ServerError、httpStatus null、retryable 真</t>
        </is>
      </c>
      <c r="I20" s="5" t="inlineStr">
        <is>
          <t>B12-F, B13-F, B14-T, B18-T</t>
        </is>
      </c>
      <c r="J20" s="5" t="inlineStr">
        <is>
          <t>fetch → TypeError</t>
        </is>
      </c>
      <c r="K20" s="5" t="inlineStr"/>
      <c r="L20" s="5" t="inlineStr"/>
      <c r="M20" s="5" t="inlineStr">
        <is>
          <t>TC-NOUS51_DEV-24 接続の失敗は ServerError（httpStatus なし、再試行の対象）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既存テスト：実装時のテスト（NOUS-51）</t>
        </is>
      </c>
    </row>
    <row r="21">
      <c r="A21" s="4" t="n">
        <v>17</v>
      </c>
      <c r="B21" s="4" t="inlineStr">
        <is>
          <t>TC-NOUS51_DEV-31</t>
        </is>
      </c>
      <c r="C21" s="5" t="inlineStr">
        <is>
          <t>CloudflareClient.generate</t>
        </is>
      </c>
      <c r="D21" s="4" t="inlineStr">
        <is>
          <t>異常系</t>
        </is>
      </c>
      <c r="E21" s="4" t="inlineStr">
        <is>
          <t>開発者テスト</t>
        </is>
      </c>
      <c r="F21" s="5" t="inlineStr">
        <is>
          <t>失敗（429・3036、500、接続の失敗）のエラーにトークンが含まれない</t>
        </is>
      </c>
      <c r="G21" s="5" t="inlineStr">
        <is>
          <t>前提：なし
入力：3 種の失敗</t>
        </is>
      </c>
      <c r="H21" s="5" t="inlineStr">
        <is>
          <t>エラーの JSON・文字列・stack にトークンがない</t>
        </is>
      </c>
      <c r="I21" s="5" t="inlineStr">
        <is>
          <t>B18-T, B20-T</t>
        </is>
      </c>
      <c r="J21" s="5" t="inlineStr">
        <is>
          <t>fetch → 429・500・TypeError</t>
        </is>
      </c>
      <c r="K21" s="5" t="inlineStr"/>
      <c r="L21" s="5" t="inlineStr"/>
      <c r="M21" s="5" t="inlineStr">
        <is>
          <t>TC-NOUS51_DEV-31 失敗（%s）のエラーにトークンが含まれない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既存テスト：実装時のテスト（NOUS-51）</t>
        </is>
      </c>
    </row>
    <row r="22">
      <c r="A22" s="4" t="n">
        <v>18</v>
      </c>
      <c r="B22" s="4" t="inlineStr">
        <is>
          <t>TC-NOUS51_DEV-32</t>
        </is>
      </c>
      <c r="C22" s="5" t="inlineStr">
        <is>
          <t>CloudflareClient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クライアントを JSON にしても、列挙してもトークンが出ない</t>
        </is>
      </c>
      <c r="G22" s="5" t="inlineStr">
        <is>
          <t>前提：なし
入力：createCloudflareClient</t>
        </is>
      </c>
      <c r="H22" s="5" t="inlineStr">
        <is>
          <t>JSON.stringify・Object.values にトークンがない</t>
        </is>
      </c>
      <c r="I22" s="5" t="inlineStr"/>
      <c r="J22" s="5" t="inlineStr">
        <is>
          <t>なし</t>
        </is>
      </c>
      <c r="K22" s="5" t="inlineStr"/>
      <c r="L22" s="5" t="inlineStr"/>
      <c r="M22" s="5" t="inlineStr">
        <is>
          <t>TC-NOUS51_DEV-32 クライアントを JSON にしても、列挙してもトークンが出ない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既存テスト：実装時のテスト（NOUS-51）</t>
        </is>
      </c>
    </row>
    <row r="23">
      <c r="A23" s="4" t="n">
        <v>19</v>
      </c>
      <c r="B23" s="4" t="inlineStr">
        <is>
          <t>TC-NOUS51_DEV-41</t>
        </is>
      </c>
      <c r="C23" s="5" t="inlineStr">
        <is>
          <t>createLlmClient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AISNS_LLM_MODE=cloudflare なら CloudflareClient、fixed なら FixedClient</t>
        </is>
      </c>
      <c r="G23" s="5" t="inlineStr">
        <is>
          <t>前提：なし
入力：llmMode cloudflare（設定あり）、fixed</t>
        </is>
      </c>
      <c r="H23" s="5" t="inlineStr">
        <is>
          <t>CloudflareClient、FixedClient</t>
        </is>
      </c>
      <c r="I23" s="5" t="inlineStr">
        <is>
          <t>B25-T, B25-F, B26-F, B27-T</t>
        </is>
      </c>
      <c r="J23" s="5" t="inlineStr">
        <is>
          <t>時計の差し替え</t>
        </is>
      </c>
      <c r="K23" s="5" t="inlineStr"/>
      <c r="L23" s="5" t="inlineStr"/>
      <c r="M23" s="5" t="inlineStr">
        <is>
          <t>TC-NOUS51_DEV-41 AISNS_LLM_MODE=cloudflare なら CloudflareClient、fixed なら FixedClient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既存テスト：実装時のテスト（NOUS-51）</t>
        </is>
      </c>
    </row>
    <row r="24">
      <c r="A24" s="4" t="n">
        <v>20</v>
      </c>
      <c r="B24" s="4" t="inlineStr">
        <is>
          <t>TC-NOUS51_DEV-42</t>
        </is>
      </c>
      <c r="C24" s="5" t="inlineStr">
        <is>
          <t>createLlmClient</t>
        </is>
      </c>
      <c r="D24" s="4" t="inlineStr">
        <is>
          <t>異常系</t>
        </is>
      </c>
      <c r="E24" s="4" t="inlineStr">
        <is>
          <t>開発者テスト</t>
        </is>
      </c>
      <c r="F24" s="5" t="inlineStr">
        <is>
          <t>cloudflare で設定がなければ、トークンを含まないエラー</t>
        </is>
      </c>
      <c r="G24" s="5" t="inlineStr">
        <is>
          <t>前提：なし
入力：llmMode cloudflare、cloudflare null</t>
        </is>
      </c>
      <c r="H24" s="5" t="inlineStr">
        <is>
          <t>Error「Cloudflare の設定がありません」</t>
        </is>
      </c>
      <c r="I24" s="5" t="inlineStr">
        <is>
          <t>B25-T, B26-T</t>
        </is>
      </c>
      <c r="J24" s="5" t="inlineStr">
        <is>
          <t>時計の差し替え</t>
        </is>
      </c>
      <c r="K24" s="5" t="inlineStr"/>
      <c r="L24" s="5" t="inlineStr"/>
      <c r="M24" s="5" t="inlineStr">
        <is>
          <t>TC-NOUS51_DEV-42 cloudflare で設定がなければ、トークンを含まないエラー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既存テスト：実装時のテスト（NOUS-51）</t>
        </is>
      </c>
    </row>
    <row r="25">
      <c r="A25" s="4" t="n">
        <v>21</v>
      </c>
      <c r="B25" s="4" t="inlineStr">
        <is>
          <t>TC-NOUS51_DEV-43</t>
        </is>
      </c>
      <c r="C25" s="5" t="inlineStr">
        <is>
          <t>createLlmClient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差し替えた fetch が CloudflareClient に渡る</t>
        </is>
      </c>
      <c r="G25" s="5" t="inlineStr">
        <is>
          <t>前提：なし
入力：llmMode cloudflare、fetch の差し替え</t>
        </is>
      </c>
      <c r="H25" s="5" t="inlineStr">
        <is>
          <t>fetch が 1 回呼ばれる</t>
        </is>
      </c>
      <c r="I25" s="5" t="inlineStr">
        <is>
          <t>B25-T, B26-F</t>
        </is>
      </c>
      <c r="J25" s="5" t="inlineStr">
        <is>
          <t>fetch → 200（success true、choices[0].message.content、usage）</t>
        </is>
      </c>
      <c r="K25" s="5" t="inlineStr"/>
      <c r="L25" s="5" t="inlineStr"/>
      <c r="M25" s="5" t="inlineStr">
        <is>
          <t>TC-NOUS51_DEV-43 差し替えた fetch が CloudflareClient に渡る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既存テスト：実装時のテスト（NOUS-51）</t>
        </is>
      </c>
    </row>
    <row r="26">
      <c r="A26" s="4" t="n">
        <v>22</v>
      </c>
      <c r="B26" s="4" t="inlineStr">
        <is>
          <t>TC-UT_LLM-028</t>
        </is>
      </c>
      <c r="C26" s="5" t="inlineStr">
        <is>
          <t>buildRequestBody</t>
        </is>
      </c>
      <c r="D26" s="4" t="inlineStr">
        <is>
          <t>正常系</t>
        </is>
      </c>
      <c r="E26" s="4" t="inlineStr">
        <is>
          <t>同値分割</t>
        </is>
      </c>
      <c r="F26" s="5" t="inlineStr">
        <is>
          <t>GLM 系のモデルは chat_template_kwargs で思考を止め、' /no_think' は付けない</t>
        </is>
      </c>
      <c r="G26" s="5" t="inlineStr">
        <is>
          <t>前提：なし
入力：modelId "@cf/zai-org/glm-4.7-flash"</t>
        </is>
      </c>
      <c r="H26" s="5" t="inlineStr">
        <is>
          <t>chat_template_kwargs { enable_thinking: false }。user の content は変わらない</t>
        </is>
      </c>
      <c r="I26" s="5" t="inlineStr">
        <is>
          <t>B1-T, B2-F</t>
        </is>
      </c>
      <c r="J26" s="5" t="inlineStr">
        <is>
          <t>なし</t>
        </is>
      </c>
      <c r="K26" s="5" t="inlineStr"/>
      <c r="L26" s="5" t="inlineStr"/>
      <c r="M26" s="5" t="inlineStr">
        <is>
          <t>TC-UT_LLM-028 GLM 系のモデルは chat_template_kwargs で思考を止め、' /no_think' は付けない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既存テスト：なし（DEV は Gemma 4 と Qwen3 だけ）</t>
        </is>
      </c>
    </row>
    <row r="27">
      <c r="A27" s="4" t="n">
        <v>23</v>
      </c>
      <c r="B27" s="4" t="inlineStr">
        <is>
          <t>TC-UT_LLM-029</t>
        </is>
      </c>
      <c r="C27" s="5" t="inlineStr">
        <is>
          <t>buildRequestBody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Gemma 4・GLM・Qwen3 以外のモデルは、どちらの思考の止め方もしない</t>
        </is>
      </c>
      <c r="G27" s="5" t="inlineStr">
        <is>
          <t>前提：なし
入力：modelId "@cf/meta/llama-3.1-8b-instruct"</t>
        </is>
      </c>
      <c r="H27" s="5" t="inlineStr">
        <is>
          <t>chat_template_kwargs なし。messages は元のまま。max_tokens・temperature 0.9 はある</t>
        </is>
      </c>
      <c r="I27" s="5" t="inlineStr">
        <is>
          <t>B1-F, B2-F</t>
        </is>
      </c>
      <c r="J27" s="5" t="inlineStr">
        <is>
          <t>なし</t>
        </is>
      </c>
      <c r="K27" s="5" t="inlineStr"/>
      <c r="L27" s="5" t="inlineStr"/>
      <c r="M27" s="5" t="inlineStr">
        <is>
          <t>TC-UT_LLM-029 Gemma 4・GLM・Qwen3 以外のモデルは、どちらの思考の止め方もしない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
設計書（generation 2章）に、ほかのモデルの扱いの記載なし。実装の値</t>
        </is>
      </c>
    </row>
    <row r="28">
      <c r="A28" s="4" t="n">
        <v>24</v>
      </c>
      <c r="B28" s="4" t="inlineStr">
        <is>
          <t>TC-UT_LLM-030</t>
        </is>
      </c>
      <c r="C28" s="5" t="inlineStr">
        <is>
          <t>buildRequestBody</t>
        </is>
      </c>
      <c r="D28" s="4" t="inlineStr">
        <is>
          <t>正常系</t>
        </is>
      </c>
      <c r="E28" s="4" t="inlineStr">
        <is>
          <t>分岐網羅</t>
        </is>
      </c>
      <c r="F28" s="5" t="inlineStr">
        <is>
          <t>Qwen3 で user のメッセージがなければ、何も付けずに送る</t>
        </is>
      </c>
      <c r="G28" s="5" t="inlineStr">
        <is>
          <t>前提：なし
入力：Qwen3、system だけ</t>
        </is>
      </c>
      <c r="H28" s="5" t="inlineStr">
        <is>
          <t>messages は元のまま（例外にしない）</t>
        </is>
      </c>
      <c r="I28" s="5" t="inlineStr">
        <is>
          <t>B2-T, B3-F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TC-UT_LLM-030 Qwen3 で user のメッセージがなければ、何も付けずに送る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  <row r="29">
      <c r="A29" s="4" t="n">
        <v>25</v>
      </c>
      <c r="B29" s="4" t="inlineStr">
        <is>
          <t>TC-UT_LLM-031</t>
        </is>
      </c>
      <c r="C29" s="5" t="inlineStr">
        <is>
          <t>buildRequestBody</t>
        </is>
      </c>
      <c r="D29" s="4" t="inlineStr">
        <is>
          <t>正常系</t>
        </is>
      </c>
      <c r="E29" s="4" t="inlineStr">
        <is>
          <t>同値分割</t>
        </is>
      </c>
      <c r="F29" s="5" t="inlineStr">
        <is>
          <t>Qwen3 で user が 2 件あれば、最後の user だけに ' /no_think' を付ける</t>
        </is>
      </c>
      <c r="G29" s="5" t="inlineStr">
        <is>
          <t>前提：なし
入力：Qwen3、user・system・user</t>
        </is>
      </c>
      <c r="H29" s="5" t="inlineStr">
        <is>
          <t>最後の user だけ末尾に /no_think。1 件目の user は元のまま</t>
        </is>
      </c>
      <c r="I29" s="5" t="inlineStr">
        <is>
          <t>B2-T, B3-T</t>
        </is>
      </c>
      <c r="J29" s="5" t="inlineStr">
        <is>
          <t>なし</t>
        </is>
      </c>
      <c r="K29" s="5" t="inlineStr"/>
      <c r="L29" s="5" t="inlineStr"/>
      <c r="M29" s="5" t="inlineStr">
        <is>
          <t>TC-UT_LLM-031 Qwen3 で user が 2 件あれば、最後の user だけに ' /no_think' を付ける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既存テスト：なし（DEV-02 は user 1 件）</t>
        </is>
      </c>
    </row>
    <row r="30">
      <c r="A30" s="4" t="n">
        <v>26</v>
      </c>
      <c r="B30" s="4" t="inlineStr">
        <is>
          <t>TC-UT_LLM-032</t>
        </is>
      </c>
      <c r="C30" s="5" t="inlineStr">
        <is>
          <t>buildUrl</t>
        </is>
      </c>
      <c r="D30" s="4" t="inlineStr">
        <is>
          <t>正常系</t>
        </is>
      </c>
      <c r="E30" s="4" t="inlineStr">
        <is>
          <t>同値分割</t>
        </is>
      </c>
      <c r="F30" s="5" t="inlineStr">
        <is>
          <t>アカウント ID はパスの区切りにならないよう符号化する</t>
        </is>
      </c>
      <c r="G30" s="5" t="inlineStr">
        <is>
          <t>前提：なし
入力：accountId "a/b?c"、Gemma 4</t>
        </is>
      </c>
      <c r="H30" s="5" t="inlineStr">
        <is>
          <t>.../accounts/a%2Fb%3Fc/ai/run/@cf/google/gemma-4-26b-a4b-it</t>
        </is>
      </c>
      <c r="I30" s="5" t="inlineStr"/>
      <c r="J30" s="5" t="inlineStr">
        <is>
          <t>なし</t>
        </is>
      </c>
      <c r="K30" s="5" t="inlineStr"/>
      <c r="L30" s="5" t="inlineStr"/>
      <c r="M30" s="5" t="inlineStr">
        <is>
          <t>TC-UT_LLM-032 アカウント ID はパスの区切りにならないよう符号化する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既存テスト：なし（DEV-06 は英数字のアカウント ID）</t>
        </is>
      </c>
    </row>
    <row r="31">
      <c r="A31" s="4" t="n">
        <v>27</v>
      </c>
      <c r="B31" s="4" t="inlineStr">
        <is>
          <t>TC-UT_LLM-033</t>
        </is>
      </c>
      <c r="C31" s="5" t="inlineStr">
        <is>
          <t>toLlmError</t>
        </is>
      </c>
      <c r="D31" s="4" t="inlineStr">
        <is>
          <t>異常系</t>
        </is>
      </c>
      <c r="E31" s="4" t="inlineStr">
        <is>
          <t>同値分割</t>
        </is>
      </c>
      <c r="F31" s="5" t="inlineStr">
        <is>
          <t>errors[].code が文字列の "3036" でも、429 なら無料枠の超過とみなす</t>
        </is>
      </c>
      <c r="G31" s="5" t="inlineStr">
        <is>
          <t>前提：なし
入力：429、errors [{ code: "3036" }]</t>
        </is>
      </c>
      <c r="H31" s="5" t="inlineStr">
        <is>
          <t>FreeTierExceededError</t>
        </is>
      </c>
      <c r="I31" s="5" t="inlineStr">
        <is>
          <t>B7-T, B8-T</t>
        </is>
      </c>
      <c r="J31" s="5" t="inlineStr">
        <is>
          <t>なし</t>
        </is>
      </c>
      <c r="K31" s="5" t="inlineStr"/>
      <c r="L31" s="5" t="inlineStr"/>
      <c r="M31" s="5" t="inlineStr">
        <is>
          <t>TC-UT_LLM-033 errors[].code が文字列の "3036" でも、429 なら無料枠の超過とみなす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既存テスト：なし（DEV-11 は数値の 3036）</t>
        </is>
      </c>
    </row>
    <row r="32">
      <c r="A32" s="4" t="n">
        <v>28</v>
      </c>
      <c r="B32" s="4" t="inlineStr">
        <is>
          <t>TC-UT_LLM-034</t>
        </is>
      </c>
      <c r="C32" s="5" t="inlineStr">
        <is>
          <t>toLlmError</t>
        </is>
      </c>
      <c r="D32" s="4" t="inlineStr">
        <is>
          <t>異常系</t>
        </is>
      </c>
      <c r="E32" s="4" t="inlineStr">
        <is>
          <t>分岐網羅</t>
        </is>
      </c>
      <c r="F32" s="5" t="inlineStr">
        <is>
          <t>errors にオブジェクトでない要素が混ざっていても、オブジェクトの要素だけで判定し、detail に載せる</t>
        </is>
      </c>
      <c r="G32" s="5" t="inlineStr">
        <is>
          <t>前提：なし
入力：429、errors [null, "x", 7, { code: 3036, message: "limit" }]</t>
        </is>
      </c>
      <c r="H32" s="5" t="inlineStr">
        <is>
          <t>FreeTierExceededError、detail は "http 429 3036:limit"</t>
        </is>
      </c>
      <c r="I32" s="5" t="inlineStr">
        <is>
          <t>B4-T, B5-T, B5-F, B6-T, B7-T, B8-T</t>
        </is>
      </c>
      <c r="J32" s="5" t="inlineStr">
        <is>
          <t>なし</t>
        </is>
      </c>
      <c r="K32" s="5" t="inlineStr"/>
      <c r="L32" s="5" t="inlineStr"/>
      <c r="M32" s="5" t="inlineStr">
        <is>
          <t>TC-UT_LLM-034 errors にオブジェクトでない要素が混ざっていても、オブジェクトの要素だけで判定し、detail に載せる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TC-UT_LLM-035</t>
        </is>
      </c>
      <c r="C33" s="5" t="inlineStr">
        <is>
          <t>toLlmError</t>
        </is>
      </c>
      <c r="D33" s="4" t="inlineStr">
        <is>
          <t>異常系</t>
        </is>
      </c>
      <c r="E33" s="4" t="inlineStr">
        <is>
          <t>同値分割</t>
        </is>
      </c>
      <c r="F33" s="5" t="inlineStr">
        <is>
          <t>detail は「http &lt;状態&gt; &lt;code&gt;:&lt;message&gt;」を「; 」でつなぎ、errors がなければ「http &lt;状態&gt;」だけ</t>
        </is>
      </c>
      <c r="G33" s="5" t="inlineStr">
        <is>
          <t>前提：なし
入力：500、errors [{ code 1000, message "a" }, { code 1001, message "b" }]、500、本文 null</t>
        </is>
      </c>
      <c r="H33" s="5" t="inlineStr">
        <is>
          <t>"http 500 1000:a; 1001:b"、"http 500"</t>
        </is>
      </c>
      <c r="I33" s="5" t="inlineStr">
        <is>
          <t>B4-T, B4-F, B6-T, B6-F, B7-F</t>
        </is>
      </c>
      <c r="J33" s="5" t="inlineStr">
        <is>
          <t>なし</t>
        </is>
      </c>
      <c r="K33" s="5" t="inlineStr"/>
      <c r="L33" s="5" t="inlineStr"/>
      <c r="M33" s="5" t="inlineStr">
        <is>
          <t>TC-UT_LLM-035 detail は「http &lt;状態&gt; &lt;code&gt;:&lt;message&gt;」を「; 」でつなぎ、errors がなければ「http &lt;状態&gt;」だけ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TC-NOUS51_DEV-11（3036 を含むことだけ）
書式は設計書に記載なし。実装の値（error_detail に残す内容）</t>
        </is>
      </c>
    </row>
    <row r="34">
      <c r="A34" s="4" t="n">
        <v>30</v>
      </c>
      <c r="B34" s="4" t="inlineStr">
        <is>
          <t>TC-UT_LLM-036</t>
        </is>
      </c>
      <c r="C34" s="5" t="inlineStr">
        <is>
          <t>toLlmError</t>
        </is>
      </c>
      <c r="D34" s="4" t="inlineStr">
        <is>
          <t>異常系</t>
        </is>
      </c>
      <c r="E34" s="4" t="inlineStr">
        <is>
          <t>同値分割</t>
        </is>
      </c>
      <c r="F34" s="5" t="inlineStr">
        <is>
          <t>429 以外で 3036 が返っても、無料枠の超過にはしない</t>
        </is>
      </c>
      <c r="G34" s="5" t="inlineStr">
        <is>
          <t>前提：なし
入力：500、errors [{ code 3036 }]</t>
        </is>
      </c>
      <c r="H34" s="5" t="inlineStr">
        <is>
          <t>ServerError（free_tier にしない）</t>
        </is>
      </c>
      <c r="I34" s="5" t="inlineStr">
        <is>
          <t>B7-F</t>
        </is>
      </c>
      <c r="J34" s="5" t="inlineStr">
        <is>
          <t>なし</t>
        </is>
      </c>
      <c r="K34" s="5" t="inlineStr"/>
      <c r="L34" s="5" t="inlineStr"/>
      <c r="M34" s="5" t="inlineStr">
        <is>
          <t>TC-UT_LLM-036 429 以外で 3036 が返っても、無料枠の超過にはしない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設計書（generation 2章）は「429 かつ 3036」を free_tier とする</t>
        </is>
      </c>
    </row>
    <row r="35">
      <c r="A35" s="4" t="n">
        <v>31</v>
      </c>
      <c r="B35" s="4" t="inlineStr">
        <is>
          <t>TC-UT_LLM-037</t>
        </is>
      </c>
      <c r="C35" s="5" t="inlineStr">
        <is>
          <t>toLlmError</t>
        </is>
      </c>
      <c r="D35" s="4" t="inlineStr">
        <is>
          <t>異常系</t>
        </is>
      </c>
      <c r="E35" s="4" t="inlineStr">
        <is>
          <t>同値分割</t>
        </is>
      </c>
      <c r="F35" s="5" t="inlineStr">
        <is>
          <t>400・401・429 以外の 4xx（403・404・413）は ServerError で、再試行しない</t>
        </is>
      </c>
      <c r="G35" s="5" t="inlineStr">
        <is>
          <t>前提：なし
入力：403・404・413、errors [{ code 1000 }]</t>
        </is>
      </c>
      <c r="H35" s="5" t="inlineStr">
        <is>
          <t>ServerError、retryable 偽（IF-001 の再試行の対象は timeout・429（3036 以外）・5xx に限られる）</t>
        </is>
      </c>
      <c r="I35" s="5" t="inlineStr">
        <is>
          <t>B7-F</t>
        </is>
      </c>
      <c r="J35" s="5" t="inlineStr">
        <is>
          <t>なし</t>
        </is>
      </c>
      <c r="K35" s="5" t="inlineStr"/>
      <c r="L35" s="5" t="inlineStr"/>
      <c r="M35" s="5" t="inlineStr">
        <is>
          <t>TC-UT_LLM-037 400・401・429 以外の 4xx（403・404・413）は ServerError で、再試行しない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既存テスト：なし（DEV-13 は 400・401・5xx だけ）
疑い：ServerError.retryable が 400・401 以外を真にするため、403・404・413 も再試行の対象になる（疑い 1）
期待結果は BE 詳細設計 generation 2章 IF-001 の再試行の欄（2026-10-23 Kouhei Tajima 判断）</t>
        </is>
      </c>
    </row>
    <row r="36">
      <c r="A36" s="4" t="n">
        <v>32</v>
      </c>
      <c r="B36" s="4" t="inlineStr">
        <is>
          <t>TC-UT_LLM-038</t>
        </is>
      </c>
      <c r="C36" s="5" t="inlineStr">
        <is>
          <t>computeNeurons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報告された neurons が 0 なら 0 を使い、単価表で計算しない</t>
        </is>
      </c>
      <c r="G36" s="5" t="inlineStr">
        <is>
          <t>前提：なし
入力：Gemma 4、1000・100、報告値 0</t>
        </is>
      </c>
      <c r="H36" s="5" t="inlineStr">
        <is>
          <t>0</t>
        </is>
      </c>
      <c r="I36" s="5" t="inlineStr">
        <is>
          <t>B9-T</t>
        </is>
      </c>
      <c r="J36" s="5" t="inlineStr">
        <is>
          <t>なし</t>
        </is>
      </c>
      <c r="K36" s="5" t="inlineStr"/>
      <c r="L36" s="5" t="inlineStr"/>
      <c r="M36" s="5" t="inlineStr">
        <is>
          <t>TC-UT_LLM-038 報告された neurons が 0 なら 0 を使い、単価表で計算しない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既存テスト：なし（DEV-05 は 12.3）</t>
        </is>
      </c>
    </row>
    <row r="37">
      <c r="A37" s="4" t="n">
        <v>33</v>
      </c>
      <c r="B37" s="4" t="inlineStr">
        <is>
          <t>TC-UT_LLM-039</t>
        </is>
      </c>
      <c r="C37" s="5" t="inlineStr">
        <is>
          <t>computeNeurons</t>
        </is>
      </c>
      <c r="D37" s="4" t="inlineStr">
        <is>
          <t>正常系</t>
        </is>
      </c>
      <c r="E37" s="4" t="inlineStr">
        <is>
          <t>境界値</t>
        </is>
      </c>
      <c r="F37" s="5" t="inlineStr">
        <is>
          <t>報告された neurons が負・NaN・Infinity なら、単価表から計算する</t>
        </is>
      </c>
      <c r="G37" s="5" t="inlineStr">
        <is>
          <t>前提：なし
入力：Gemma 4、1000000・0、報告値 -0.001・NaN・Infinity</t>
        </is>
      </c>
      <c r="H37" s="5" t="inlineStr">
        <is>
          <t>どれも 9091</t>
        </is>
      </c>
      <c r="I37" s="5" t="inlineStr">
        <is>
          <t>B9-F, B10-T</t>
        </is>
      </c>
      <c r="J37" s="5" t="inlineStr">
        <is>
          <t>なし</t>
        </is>
      </c>
      <c r="K37" s="5" t="inlineStr"/>
      <c r="L37" s="5" t="inlineStr"/>
      <c r="M37" s="5" t="inlineStr">
        <is>
          <t>TC-UT_LLM-039 報告された neurons が負・NaN・Infinity なら、単価表から計算する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</t>
        </is>
      </c>
    </row>
    <row r="38">
      <c r="A38" s="4" t="n">
        <v>34</v>
      </c>
      <c r="B38" s="4" t="inlineStr">
        <is>
          <t>TC-UT_LLM-040</t>
        </is>
      </c>
      <c r="C38" s="5" t="inlineStr">
        <is>
          <t>callCloudflare</t>
        </is>
      </c>
      <c r="D38" s="4" t="inlineStr">
        <is>
          <t>異常系</t>
        </is>
      </c>
      <c r="E38" s="4" t="inlineStr">
        <is>
          <t>分岐網羅</t>
        </is>
      </c>
      <c r="F38" s="5" t="inlineStr">
        <is>
          <t>2xx でない応答の本文が JSON でなくても ServerError にし、detail は「http &lt;状態&gt;」</t>
        </is>
      </c>
      <c r="G38" s="5" t="inlineStr">
        <is>
          <t>前提：なし
入力：502、本文 "&lt;html&gt;Bad Gateway&lt;/html&gt;"</t>
        </is>
      </c>
      <c r="H38" s="5" t="inlineStr">
        <is>
          <t>ServerError、httpStatus 502、detail "http 502"、retryable 真</t>
        </is>
      </c>
      <c r="I38" s="5" t="inlineStr">
        <is>
          <t>B19-T, B20-T, B4-F, B6-F, B7-F</t>
        </is>
      </c>
      <c r="J38" s="5" t="inlineStr">
        <is>
          <t>fetch → 502（HTML）</t>
        </is>
      </c>
      <c r="K38" s="5" t="inlineStr"/>
      <c r="L38" s="5" t="inlineStr"/>
      <c r="M38" s="5" t="inlineStr">
        <is>
          <t>TC-UT_LLM-040 2xx でない応答の本文が JSON でなくても ServerError にし、detail は「http &lt;状態&gt;」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既存テスト：なし（DEV-15 は 200 のとき）</t>
        </is>
      </c>
    </row>
    <row r="39">
      <c r="A39" s="4" t="n">
        <v>35</v>
      </c>
      <c r="B39" s="4" t="inlineStr">
        <is>
          <t>TC-UT_LLM-041</t>
        </is>
      </c>
      <c r="C39" s="5" t="inlineStr">
        <is>
          <t>callCloudflare</t>
        </is>
      </c>
      <c r="D39" s="4" t="inlineStr">
        <is>
          <t>正常系</t>
        </is>
      </c>
      <c r="E39" s="4" t="inlineStr">
        <is>
          <t>同値分割</t>
        </is>
      </c>
      <c r="F39" s="5" t="inlineStr">
        <is>
          <t>usage がなければトークンを 0 とし、neurons も 0 になる</t>
        </is>
      </c>
      <c r="G39" s="5" t="inlineStr">
        <is>
          <t>前提：なし
入力：200、result に usage なし</t>
        </is>
      </c>
      <c r="H39" s="5" t="inlineStr">
        <is>
          <t>promptTokens 0、completionTokens 0、neurons 0</t>
        </is>
      </c>
      <c r="I39" s="5" t="inlineStr">
        <is>
          <t>B11-F, B23-F, B9-F</t>
        </is>
      </c>
      <c r="J39" s="5" t="inlineStr">
        <is>
          <t>fetch → 200（usage なし）</t>
        </is>
      </c>
      <c r="K39" s="5" t="inlineStr"/>
      <c r="L39" s="5" t="inlineStr"/>
      <c r="M39" s="5" t="inlineStr">
        <is>
          <t>TC-UT_LLM-041 usage がなければトークンを 0 とし、neurons も 0 になる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既存テスト：なし（DEV-04 は neurons だけがない）</t>
        </is>
      </c>
    </row>
    <row r="40">
      <c r="A40" s="4" t="n">
        <v>36</v>
      </c>
      <c r="B40" s="4" t="inlineStr">
        <is>
          <t>TC-UT_LLM-042</t>
        </is>
      </c>
      <c r="C40" s="5" t="inlineStr">
        <is>
          <t>callCloudflare</t>
        </is>
      </c>
      <c r="D40" s="4" t="inlineStr">
        <is>
          <t>正常系</t>
        </is>
      </c>
      <c r="E40" s="4" t="inlineStr">
        <is>
          <t>同値分割</t>
        </is>
      </c>
      <c r="F40" s="5" t="inlineStr">
        <is>
          <t>usage のトークンが負・文字列なら 0 として扱う</t>
        </is>
      </c>
      <c r="G40" s="5" t="inlineStr">
        <is>
          <t>前提：なし
入力：prompt_tokens -5、completion_tokens "72"</t>
        </is>
      </c>
      <c r="H40" s="5" t="inlineStr">
        <is>
          <t>promptTokens 0、completionTokens 0</t>
        </is>
      </c>
      <c r="I40" s="5" t="inlineStr">
        <is>
          <t>B11-F</t>
        </is>
      </c>
      <c r="J40" s="5" t="inlineStr">
        <is>
          <t>fetch → 200（usage の値が不正）</t>
        </is>
      </c>
      <c r="K40" s="5" t="inlineStr"/>
      <c r="L40" s="5" t="inlineStr"/>
      <c r="M40" s="5" t="inlineStr">
        <is>
          <t>TC-UT_LLM-042 usage のトークンが負・文字列なら 0 として扱う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TC-UT_LLM-043</t>
        </is>
      </c>
      <c r="C41" s="5" t="inlineStr">
        <is>
          <t>callCloudflare</t>
        </is>
      </c>
      <c r="D41" s="4" t="inlineStr">
        <is>
          <t>正常系</t>
        </is>
      </c>
      <c r="E41" s="4" t="inlineStr">
        <is>
          <t>分岐網羅</t>
        </is>
      </c>
      <c r="F41" s="5" t="inlineStr">
        <is>
          <t>usage.neurons が文字列なら報告値として使わず、単価表から計算する</t>
        </is>
      </c>
      <c r="G41" s="5" t="inlineStr">
        <is>
          <t>前提：なし
入力：usage { prompt_tokens 1000000, completion_tokens 0, neurons "15.4" }</t>
        </is>
      </c>
      <c r="H41" s="5" t="inlineStr">
        <is>
          <t>neurons 9091</t>
        </is>
      </c>
      <c r="I41" s="5" t="inlineStr">
        <is>
          <t>B23-F, B9-F</t>
        </is>
      </c>
      <c r="J41" s="5" t="inlineStr">
        <is>
          <t>fetch → 200（neurons が文字列）</t>
        </is>
      </c>
      <c r="K41" s="5" t="inlineStr"/>
      <c r="L41" s="5" t="inlineStr"/>
      <c r="M41" s="5" t="inlineStr">
        <is>
          <t>TC-UT_LLM-043 usage.neurons が文字列なら報告値として使わず、単価表から計算する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TC-UT_LLM-044</t>
        </is>
      </c>
      <c r="C42" s="5" t="inlineStr">
        <is>
          <t>callCloudflare</t>
        </is>
      </c>
      <c r="D42" s="4" t="inlineStr">
        <is>
          <t>異常系</t>
        </is>
      </c>
      <c r="E42" s="4" t="inlineStr">
        <is>
          <t>同値分割</t>
        </is>
      </c>
      <c r="F42" s="5" t="inlineStr">
        <is>
          <t>choices[0].message.content が文字列でなければ ServerError</t>
        </is>
      </c>
      <c r="G42" s="5" t="inlineStr">
        <is>
          <t>前提：なし
入力：200、content 123、content null</t>
        </is>
      </c>
      <c r="H42" s="5" t="inlineStr">
        <is>
          <t>どちらも ServerError、httpStatus 200</t>
        </is>
      </c>
      <c r="I42" s="5" t="inlineStr">
        <is>
          <t>B21-F, B22-T</t>
        </is>
      </c>
      <c r="J42" s="5" t="inlineStr">
        <is>
          <t>fetch → 200（content が文字列でない）</t>
        </is>
      </c>
      <c r="K42" s="5" t="inlineStr"/>
      <c r="L42" s="5" t="inlineStr"/>
      <c r="M42" s="5" t="inlineStr">
        <is>
          <t>TC-UT_LLM-044 choices[0].message.content が文字列でなければ ServerError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TC-NOUS51_DEV-15（choices が空のときだけ）</t>
        </is>
      </c>
    </row>
    <row r="43">
      <c r="A43" s="4" t="n">
        <v>39</v>
      </c>
      <c r="B43" s="4" t="inlineStr">
        <is>
          <t>TC-UT_LLM-045</t>
        </is>
      </c>
      <c r="C43" s="5" t="inlineStr">
        <is>
          <t>callCloudflare</t>
        </is>
      </c>
      <c r="D43" s="4" t="inlineStr">
        <is>
          <t>正常系</t>
        </is>
      </c>
      <c r="E43" s="4" t="inlineStr">
        <is>
          <t>境界値</t>
        </is>
      </c>
      <c r="F43" s="5" t="inlineStr">
        <is>
          <t>時計が戻っても durationMs は負にならず 0 になる</t>
        </is>
      </c>
      <c r="G43" s="5" t="inlineStr">
        <is>
          <t>前提：なし
入力：nowMs が 5000 → 4000 を返す</t>
        </is>
      </c>
      <c r="H43" s="5" t="inlineStr">
        <is>
          <t>durationMs 0</t>
        </is>
      </c>
      <c r="I43" s="5" t="inlineStr">
        <is>
          <t>B16-F</t>
        </is>
      </c>
      <c r="J43" s="5" t="inlineStr">
        <is>
          <t>fetch → 200（success true、choices[0].message.content、usage）、nowMs の差し替え</t>
        </is>
      </c>
      <c r="K43" s="5" t="inlineStr"/>
      <c r="L43" s="5" t="inlineStr"/>
      <c r="M43" s="5" t="inlineStr">
        <is>
          <t>TC-UT_LLM-045 時計が戻っても durationMs は負にならず 0 になる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</t>
        </is>
      </c>
    </row>
    <row r="44">
      <c r="A44" s="4" t="n">
        <v>40</v>
      </c>
      <c r="B44" s="4" t="inlineStr">
        <is>
          <t>TC-UT_LLM-046</t>
        </is>
      </c>
      <c r="C44" s="5" t="inlineStr">
        <is>
          <t>callCloudflare</t>
        </is>
      </c>
      <c r="D44" s="4" t="inlineStr">
        <is>
          <t>正常系</t>
        </is>
      </c>
      <c r="E44" s="4" t="inlineStr">
        <is>
          <t>依存</t>
        </is>
      </c>
      <c r="F44" s="5" t="inlineStr">
        <is>
          <t>fetch を渡さなければ globalThis.fetch を、nowMs を渡さなければ Date.now を使う</t>
        </is>
      </c>
      <c r="G44" s="5" t="inlineStr">
        <is>
          <t>前提：なし
入力：CloudflareClient（fetch・nowMs なし）</t>
        </is>
      </c>
      <c r="H44" s="5" t="inlineStr">
        <is>
          <t>globalThis.fetch が 1 回呼ばれる。durationMs は Date.now の差</t>
        </is>
      </c>
      <c r="I44" s="5" t="inlineStr">
        <is>
          <t>B15-F, B16-T</t>
        </is>
      </c>
      <c r="J44" s="5" t="inlineStr">
        <is>
          <t>globalThis.fetch（vi.stubGlobal）、Date.now（vi.spyOn）</t>
        </is>
      </c>
      <c r="K44" s="5" t="inlineStr"/>
      <c r="L44" s="5" t="inlineStr"/>
      <c r="M44" s="5" t="inlineStr">
        <is>
          <t>TC-UT_LLM-046 fetch を渡さなければ globalThis.fetch を、nowMs を渡さなければ Date.now を使う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既存テスト：なし（DEV は fetch を必ず渡している）</t>
        </is>
      </c>
    </row>
    <row r="45">
      <c r="A45" s="4" t="n">
        <v>41</v>
      </c>
      <c r="B45" s="4" t="inlineStr">
        <is>
          <t>TC-UT_LLM-047</t>
        </is>
      </c>
      <c r="C45" s="5" t="inlineStr">
        <is>
          <t>callCloudflare</t>
        </is>
      </c>
      <c r="D45" s="4" t="inlineStr">
        <is>
          <t>正常系</t>
        </is>
      </c>
      <c r="E45" s="4" t="inlineStr">
        <is>
          <t>依存</t>
        </is>
      </c>
      <c r="F45" s="5" t="inlineStr">
        <is>
          <t>timeoutMs を渡さなければ 60 秒で打ち切る</t>
        </is>
      </c>
      <c r="G45" s="5" t="inlineStr">
        <is>
          <t>前提：なし
入力：CloudflareClient（timeoutMs なし）</t>
        </is>
      </c>
      <c r="H45" s="5" t="inlineStr">
        <is>
          <t>AbortSignal.timeout が 60000 で呼ばれる</t>
        </is>
      </c>
      <c r="I45" s="5" t="inlineStr">
        <is>
          <t>B24-F</t>
        </is>
      </c>
      <c r="J45" s="5" t="inlineStr">
        <is>
          <t>fetch → 200（success true、choices[0].message.content、usage）、AbortSignal.timeout（vi.spyOn）</t>
        </is>
      </c>
      <c r="K45" s="5" t="inlineStr"/>
      <c r="L45" s="5" t="inlineStr"/>
      <c r="M45" s="5" t="inlineStr">
        <is>
          <t>TC-UT_LLM-047 timeoutMs を渡さなければ 60 秒で打ち切る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既存テスト：なし（DEV-21 は timeoutMs 20）</t>
        </is>
      </c>
    </row>
    <row r="46">
      <c r="A46" s="4" t="n">
        <v>42</v>
      </c>
      <c r="B46" s="4" t="inlineStr">
        <is>
          <t>TC-UT_LLM-048</t>
        </is>
      </c>
      <c r="C46" s="5" t="inlineStr">
        <is>
          <t>callCloudflare</t>
        </is>
      </c>
      <c r="D46" s="4" t="inlineStr">
        <is>
          <t>異常系</t>
        </is>
      </c>
      <c r="E46" s="4" t="inlineStr">
        <is>
          <t>エラー処理</t>
        </is>
      </c>
      <c r="F46" s="5" t="inlineStr">
        <is>
          <t>本文の読み取り（response.text）が失敗したら ServerError（httpStatus なし）</t>
        </is>
      </c>
      <c r="G46" s="5" t="inlineStr">
        <is>
          <t>前提：なし
入力：fetch は 200 を返すが text() が TypeError</t>
        </is>
      </c>
      <c r="H46" s="5" t="inlineStr">
        <is>
          <t>ServerError、httpStatus null、retryable 真</t>
        </is>
      </c>
      <c r="I46" s="5" t="inlineStr">
        <is>
          <t>B12-F, B13-F, B14-T, B18-T</t>
        </is>
      </c>
      <c r="J46" s="5" t="inlineStr">
        <is>
          <t>fetch → text() が例外の Response</t>
        </is>
      </c>
      <c r="K46" s="5" t="inlineStr"/>
      <c r="L46" s="5" t="inlineStr"/>
      <c r="M46" s="5" t="inlineStr">
        <is>
          <t>TC-UT_LLM-048 本文の読み取り（response.text）が失敗したら ServerError（httpStatus なし）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</t>
        </is>
      </c>
    </row>
    <row r="47">
      <c r="A47" s="4" t="n">
        <v>43</v>
      </c>
      <c r="B47" s="4" t="inlineStr">
        <is>
          <t>TC-UT_LLM-049</t>
        </is>
      </c>
      <c r="C47" s="5" t="inlineStr">
        <is>
          <t>callCloudflare</t>
        </is>
      </c>
      <c r="D47" s="4" t="inlineStr">
        <is>
          <t>異常系</t>
        </is>
      </c>
      <c r="E47" s="4" t="inlineStr">
        <is>
          <t>分岐網羅</t>
        </is>
      </c>
      <c r="F47" s="5" t="inlineStr">
        <is>
          <t>依頼の signal が abort されていないのに AbortError で失敗したら TimeoutError</t>
        </is>
      </c>
      <c r="G47" s="5" t="inlineStr">
        <is>
          <t>前提：なし
入力：fetch が DOMException（AbortError）を投げる</t>
        </is>
      </c>
      <c r="H47" s="5" t="inlineStr">
        <is>
          <t>TimeoutError</t>
        </is>
      </c>
      <c r="I47" s="5" t="inlineStr">
        <is>
          <t>B12-F, B13-T, B18-T</t>
        </is>
      </c>
      <c r="J47" s="5" t="inlineStr">
        <is>
          <t>fetch → DOMException("aborted", "AbortError")</t>
        </is>
      </c>
      <c r="K47" s="5" t="inlineStr"/>
      <c r="L47" s="5" t="inlineStr"/>
      <c r="M47" s="5" t="inlineStr">
        <is>
          <t>TC-UT_LLM-049 依頼の signal が abort されていないのに AbortError で失敗したら TimeoutError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TC-NOUS51_DEV-21（TimeoutError の名前のとき）</t>
        </is>
      </c>
    </row>
    <row r="48">
      <c r="A48" s="4" t="n">
        <v>44</v>
      </c>
      <c r="B48" s="4" t="inlineStr">
        <is>
          <t>TC-UT_LLM-050</t>
        </is>
      </c>
      <c r="C48" s="5" t="inlineStr">
        <is>
          <t>callCloudflare</t>
        </is>
      </c>
      <c r="D48" s="4" t="inlineStr">
        <is>
          <t>異常系</t>
        </is>
      </c>
      <c r="E48" s="4" t="inlineStr">
        <is>
          <t>分岐網羅</t>
        </is>
      </c>
      <c r="F48" s="5" t="inlineStr">
        <is>
          <t>fetch が Error 以外を投げたら ServerError にし、detail に値を文字列で残す</t>
        </is>
      </c>
      <c r="G48" s="5" t="inlineStr">
        <is>
          <t>前提：なし
入力：fetch が "boom" を投げる</t>
        </is>
      </c>
      <c r="H48" s="5" t="inlineStr">
        <is>
          <t>ServerError、detail "fetch : boom"、cause "boom"</t>
        </is>
      </c>
      <c r="I48" s="5" t="inlineStr">
        <is>
          <t>B12-F, B13-F, B14-F, B18-T</t>
        </is>
      </c>
      <c r="J48" s="5" t="inlineStr">
        <is>
          <t>fetch → 文字列を throw</t>
        </is>
      </c>
      <c r="K48" s="5" t="inlineStr"/>
      <c r="L48" s="5" t="inlineStr"/>
      <c r="M48" s="5" t="inlineStr">
        <is>
          <t>TC-UT_LLM-050 fetch が Error 以外を投げたら ServerError にし、detail に値を文字列で残す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</t>
        </is>
      </c>
    </row>
    <row r="49">
      <c r="A49" s="4" t="n">
        <v>45</v>
      </c>
      <c r="B49" s="4" t="inlineStr">
        <is>
          <t>TC-UT_LLM-051</t>
        </is>
      </c>
      <c r="C49" s="5" t="inlineStr">
        <is>
          <t>CloudflareClient.generate</t>
        </is>
      </c>
      <c r="D49" s="4" t="inlineStr">
        <is>
          <t>異常系</t>
        </is>
      </c>
      <c r="E49" s="4" t="inlineStr">
        <is>
          <t>エラー処理</t>
        </is>
      </c>
      <c r="F49" s="5" t="inlineStr">
        <is>
          <t>401（認証の失敗）は再試行しない ServerError で、detail・message・stack にトークンが含まれない</t>
        </is>
      </c>
      <c r="G49" s="5" t="inlineStr">
        <is>
          <t>前提：なし
入力：401、errors [{ code 10000, message "Authentication error" }]</t>
        </is>
      </c>
      <c r="H49" s="5" t="inlineStr">
        <is>
          <t>ServerError、retryable 偽、detail "http 401 10000:Authentication error"。エラーの JSON・文字列・stack にトークンがない</t>
        </is>
      </c>
      <c r="I49" s="5" t="inlineStr">
        <is>
          <t>B4-T, B6-T, B7-F, B20-T</t>
        </is>
      </c>
      <c r="J49" s="5" t="inlineStr">
        <is>
          <t>fetch → 401</t>
        </is>
      </c>
      <c r="K49" s="5" t="inlineStr"/>
      <c r="L49" s="5" t="inlineStr"/>
      <c r="M49" s="5" t="inlineStr">
        <is>
          <t>TC-UT_LLM-051 401（認証の失敗）は再試行しない ServerError で、エラーにトークンが含まれない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既存テスト：一部 TC-NOUS51_DEV-31（429・500・接続の失敗だけ）</t>
        </is>
      </c>
    </row>
    <row r="50">
      <c r="A50" s="4" t="n">
        <v>46</v>
      </c>
      <c r="B50" s="4" t="inlineStr">
        <is>
          <t>TC-UT_LLM-052</t>
        </is>
      </c>
      <c r="C50" s="5" t="inlineStr">
        <is>
          <t>createLlmClient</t>
        </is>
      </c>
      <c r="D50" s="4" t="inlineStr">
        <is>
          <t>正常系</t>
        </is>
      </c>
      <c r="E50" s="4" t="inlineStr">
        <is>
          <t>分岐網羅</t>
        </is>
      </c>
      <c r="F50" s="5" t="inlineStr">
        <is>
          <t>固定応答のシナリオの名前を指定すると、そのシナリオのファイルを読む</t>
        </is>
      </c>
      <c r="G50" s="5" t="inlineStr">
        <is>
          <t>前提：mkdtemp の一時ディレクトリに s2/aoi-1.json を置く
入力：llmMode fixed、fixtureScenario "s2"</t>
        </is>
      </c>
      <c r="H50" s="5" t="inlineStr">
        <is>
          <t>s2/aoi-1.json の text を返す</t>
        </is>
      </c>
      <c r="I50" s="5" t="inlineStr">
        <is>
          <t>B25-F, B27-F</t>
        </is>
      </c>
      <c r="J50" s="5" t="inlineStr">
        <is>
          <t>時計の差し替え</t>
        </is>
      </c>
      <c r="K50" s="5" t="inlineStr"/>
      <c r="L50" s="5" t="inlineStr"/>
      <c r="M50" s="5" t="inlineStr">
        <is>
          <t>TC-UT_LLM-052 固定応答のシナリオの名前を指定すると、そのシナリオのファイルを読む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既存テスト：なし（DEV-41 は既定の basic）</t>
        </is>
      </c>
    </row>
    <row r="51">
      <c r="A51" s="4" t="n">
        <v>47</v>
      </c>
      <c r="B51" s="4" t="inlineStr">
        <is>
          <t>TC-UT_LLM-053</t>
        </is>
      </c>
      <c r="C51" s="5" t="inlineStr">
        <is>
          <t>createLlmClient</t>
        </is>
      </c>
      <c r="D51" s="4" t="inlineStr">
        <is>
          <t>正常系</t>
        </is>
      </c>
      <c r="E51" s="4" t="inlineStr">
        <is>
          <t>依存</t>
        </is>
      </c>
      <c r="F51" s="5" t="inlineStr">
        <is>
          <t>cloudflare のとき、durationMs は渡した時計の nowMs で測る</t>
        </is>
      </c>
      <c r="G51" s="5" t="inlineStr">
        <is>
          <t>前提：FakeClock 2026-10-22T09:00:00.000Z
入力：llmMode cloudflare、fetch の中で FakeClock を 1200 ms 進める</t>
        </is>
      </c>
      <c r="H51" s="5" t="inlineStr">
        <is>
          <t>durationMs 1200</t>
        </is>
      </c>
      <c r="I51" s="5" t="inlineStr">
        <is>
          <t>B25-T, B26-F</t>
        </is>
      </c>
      <c r="J51" s="5" t="inlineStr">
        <is>
          <t>fetch → 200（success true、choices[0].message.content、usage）、FakeClock</t>
        </is>
      </c>
      <c r="K51" s="5" t="inlineStr"/>
      <c r="L51" s="5" t="inlineStr"/>
      <c r="M51" s="5" t="inlineStr">
        <is>
          <t>TC-UT_LLM-053 cloudflare のとき、durationMs は渡した時計の nowMs で測る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既存テスト：なし（DEV-41・43 は時計を見ていない）</t>
        </is>
      </c>
    </row>
    <row r="52">
      <c r="A52" s="4" t="n">
        <v>48</v>
      </c>
      <c r="B52" s="4" t="inlineStr">
        <is>
          <t>TC-UT_LLM-054</t>
        </is>
      </c>
      <c r="C52" s="5" t="inlineStr">
        <is>
          <t>createLlmClient</t>
        </is>
      </c>
      <c r="D52" s="4" t="inlineStr">
        <is>
          <t>正常系</t>
        </is>
      </c>
      <c r="E52" s="4" t="inlineStr">
        <is>
          <t>同値分割</t>
        </is>
      </c>
      <c r="F52" s="5" t="inlineStr">
        <is>
          <t>fixed のときは Cloudflare の設定があっても FixedClient を返す</t>
        </is>
      </c>
      <c r="G52" s="5" t="inlineStr">
        <is>
          <t>前提：なし
入力：llmMode fixed、cloudflare { accountId, apiToken }</t>
        </is>
      </c>
      <c r="H52" s="5" t="inlineStr">
        <is>
          <t>FixedClient</t>
        </is>
      </c>
      <c r="I52" s="5" t="inlineStr">
        <is>
          <t>B25-F, B27-T</t>
        </is>
      </c>
      <c r="J52" s="5" t="inlineStr">
        <is>
          <t>時計の差し替え</t>
        </is>
      </c>
      <c r="K52" s="5" t="inlineStr"/>
      <c r="L52" s="5" t="inlineStr"/>
      <c r="M52" s="5" t="inlineStr">
        <is>
          <t>TC-UT_LLM-054 fixed のときは Cloudflare の設定があっても FixedClient を返す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既存テスト：なし</t>
        </is>
      </c>
    </row>
  </sheetData>
  <autoFilter ref="A4:Q52"/>
  <conditionalFormatting sqref="A5:Q102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2" showDropDown="0" showInputMessage="0" showErrorMessage="0" allowBlank="1" type="list">
      <formula1>"未実施,OK,NG,保留,対象外"</formula1>
    </dataValidation>
    <dataValidation sqref="D5:D102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COUNTA(観点表!$B$5:$B$102)</f>
        <v/>
      </c>
    </row>
    <row r="6">
      <c r="A6" s="10" t="inlineStr">
        <is>
          <t>正常系</t>
        </is>
      </c>
      <c r="B6" s="10">
        <f>COUNTIF(観点表!$D$5:$D$102,"正常系")</f>
        <v/>
      </c>
    </row>
    <row r="7">
      <c r="A7" s="10" t="inlineStr">
        <is>
          <t>異常系</t>
        </is>
      </c>
      <c r="B7" s="10">
        <f>COUNTIF(観点表!$D$5:$D$102,"異常系")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COUNTIF(観点表!$E$5:$E$102,"エラー処理")</f>
        <v/>
      </c>
    </row>
    <row r="11">
      <c r="A11" s="10" t="inlineStr">
        <is>
          <t>依存</t>
        </is>
      </c>
      <c r="B11" s="10">
        <f>COUNTIF(観点表!$E$5:$E$102,"依存")</f>
        <v/>
      </c>
    </row>
    <row r="12">
      <c r="A12" s="10" t="inlineStr">
        <is>
          <t>分岐網羅</t>
        </is>
      </c>
      <c r="B12" s="10">
        <f>COUNTIF(観点表!$E$5:$E$102,"分岐網羅")</f>
        <v/>
      </c>
    </row>
    <row r="13">
      <c r="A13" s="10" t="inlineStr">
        <is>
          <t>同値分割</t>
        </is>
      </c>
      <c r="B13" s="10">
        <f>COUNTIF(観点表!$E$5:$E$102,"同値分割")</f>
        <v/>
      </c>
    </row>
    <row r="14">
      <c r="A14" s="10" t="inlineStr">
        <is>
          <t>境界値</t>
        </is>
      </c>
      <c r="B14" s="10">
        <f>COUNTIF(観点表!$E$5:$E$102,"境界値")</f>
        <v/>
      </c>
    </row>
    <row r="15">
      <c r="A15" s="10" t="inlineStr">
        <is>
          <t>開発者テスト</t>
        </is>
      </c>
      <c r="B15" s="10">
        <f>COUNTIF(観点表!$E$5:$E$102,"開発者テスト")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COUNTIF(観点表!$K$5:$K$102,"?*")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COUNTIF(観点表!$N$5:$N$102,"未実施")</f>
        <v/>
      </c>
    </row>
    <row r="23">
      <c r="A23" s="10" t="inlineStr">
        <is>
          <t>OK</t>
        </is>
      </c>
      <c r="B23" s="10">
        <f>COUNTIF(観点表!$N$5:$N$102,"OK")</f>
        <v/>
      </c>
    </row>
    <row r="24">
      <c r="A24" s="10" t="inlineStr">
        <is>
          <t>NG</t>
        </is>
      </c>
      <c r="B24" s="10">
        <f>COUNTIF(観点表!$N$5:$N$102,"NG")</f>
        <v/>
      </c>
    </row>
    <row r="25">
      <c r="A25" s="10" t="inlineStr">
        <is>
          <t>保留</t>
        </is>
      </c>
      <c r="B25" s="10">
        <f>COUNTIF(観点表!$N$5:$N$102,"保留")</f>
        <v/>
      </c>
    </row>
    <row r="26">
      <c r="A26" s="10" t="inlineStr">
        <is>
          <t>対象外</t>
        </is>
      </c>
      <c r="B26" s="10">
        <f>COUNTIF(観点表!$N$5:$N$102,"対象外")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TC-NOUS51_DEV-01</t>
        </is>
      </c>
      <c r="B5" s="13" t="inlineStr">
        <is>
          <t>URL・ヘッダー・本文を 2章どおりに送り、本文と usage を返す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TC-NOUS51_DEV-02</t>
        </is>
      </c>
      <c r="B6" s="13" t="inlineStr">
        <is>
          <t>Qwen3 は user の末尾に ' /no_think' を付け、chat_template_kwargs を送らない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TC-NOUS51_DEV-03</t>
        </is>
      </c>
      <c r="B7" s="13" t="inlineStr">
        <is>
          <t>buildRequestBody は元の messages を書き換えない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TC-NOUS51_DEV-04</t>
        </is>
      </c>
      <c r="B8" s="13" t="inlineStr">
        <is>
          <t>usage.neurons がなければ単価表から計算する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TC-NOUS51_DEV-05</t>
        </is>
      </c>
      <c r="B9" s="13" t="inlineStr">
        <is>
          <t>computeNeurons は Gemma 4・Qwen3 の単価を使い分け、報告値を優先する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TC-NOUS51_DEV-06</t>
        </is>
      </c>
      <c r="B10" s="13" t="inlineStr">
        <is>
          <t>buildUrl は model_id の / をそのままパスに入れる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TC-NOUS51_DEV-11</t>
        </is>
      </c>
      <c r="B11" s="13" t="inlineStr">
        <is>
          <t>429・3036 は FreeTierExceededError（再試行しない）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TC-NOUS51_DEV-12</t>
        </is>
      </c>
      <c r="B12" s="13" t="inlineStr">
        <is>
          <t>3036 以外の 429 は RateLimitedError（3040・errors なし・JSON でない）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TC-NOUS51_DEV-13</t>
        </is>
      </c>
      <c r="B13" s="13" t="inlineStr">
        <is>
          <t>HTTP 400・401・500・502・503 は ServerError（400・401 だけ再試行しない）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TC-NOUS51_DEV-14</t>
        </is>
      </c>
      <c r="B14" s="13" t="inlineStr">
        <is>
          <t>200 でも success=false なら ServerError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TC-NOUS51_DEV-15</t>
        </is>
      </c>
      <c r="B15" s="13" t="inlineStr">
        <is>
          <t>200 で本文が JSON でない、または choices がなければ ServerError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TC-NOUS51_DEV-16</t>
        </is>
      </c>
      <c r="B16" s="13" t="inlineStr">
        <is>
          <t>HTTP の 429・3036 を generate から FreeTierExceededError で投げる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TC-NOUS51_DEV-21</t>
        </is>
      </c>
      <c r="B17" s="13" t="inlineStr">
        <is>
          <t>timeoutMs を超えたら TimeoutError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TC-NOUS51_DEV-22</t>
        </is>
      </c>
      <c r="B18" s="13" t="inlineStr">
        <is>
          <t>呼び出し中に signal が abort されたら CancelledError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TC-NOUS51_DEV-23</t>
        </is>
      </c>
      <c r="B19" s="13" t="inlineStr">
        <is>
          <t>呼ぶ前に abort 済みなら fetch を呼ばずに CancelledError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TC-NOUS51_DEV-24</t>
        </is>
      </c>
      <c r="B20" s="13" t="inlineStr">
        <is>
          <t>接続の失敗は ServerError（httpStatus なし、再試行の対象）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TC-NOUS51_DEV-31</t>
        </is>
      </c>
      <c r="B21" s="13" t="inlineStr">
        <is>
          <t>失敗（429・3036、500、接続の失敗）のエラーにトークンが含まれない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TC-NOUS51_DEV-32</t>
        </is>
      </c>
      <c r="B22" s="13" t="inlineStr">
        <is>
          <t>クライアントを JSON にしても、列挙してもトークンが出ない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TC-NOUS51_DEV-41</t>
        </is>
      </c>
      <c r="B23" s="13" t="inlineStr">
        <is>
          <t>AISNS_LLM_MODE=cloudflare なら CloudflareClient、fixed なら FixedClient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TC-NOUS51_DEV-42</t>
        </is>
      </c>
      <c r="B24" s="13" t="inlineStr">
        <is>
          <t>cloudflare で設定がなければ、トークンを含まないエラー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TC-NOUS51_DEV-43</t>
        </is>
      </c>
      <c r="B25" s="13" t="inlineStr">
        <is>
          <t>差し替えた fetch が CloudflareClient に渡る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TC-UT_LLM-028</t>
        </is>
      </c>
      <c r="B26" s="13" t="inlineStr">
        <is>
          <t>GLM 系のモデルは chat_template_kwargs で思考を止め、' /no_think' は付けない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TC-UT_LLM-029</t>
        </is>
      </c>
      <c r="B27" s="13" t="inlineStr">
        <is>
          <t>Gemma 4・GLM・Qwen3 以外のモデルは、どちらの思考の止め方もしない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TC-UT_LLM-030</t>
        </is>
      </c>
      <c r="B28" s="13" t="inlineStr">
        <is>
          <t>Qwen3 で user のメッセージがなければ、何も付けずに送る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TC-UT_LLM-031</t>
        </is>
      </c>
      <c r="B29" s="13" t="inlineStr">
        <is>
          <t>Qwen3 で user が 2 件あれば、最後の user だけに ' /no_think' を付ける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TC-UT_LLM-032</t>
        </is>
      </c>
      <c r="B30" s="13" t="inlineStr">
        <is>
          <t>アカウント ID はパスの区切りにならないよう符号化する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TC-UT_LLM-033</t>
        </is>
      </c>
      <c r="B31" s="13" t="inlineStr">
        <is>
          <t>errors[].code が文字列の "3036" でも、429 なら無料枠の超過とみなす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TC-UT_LLM-034</t>
        </is>
      </c>
      <c r="B32" s="13" t="inlineStr">
        <is>
          <t>errors にオブジェクトでない要素が混ざっていても、オブジェクトの要素だけで判定し、detail に載せる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TC-UT_LLM-035</t>
        </is>
      </c>
      <c r="B33" s="13" t="inlineStr">
        <is>
          <t>detail は「http &lt;状態&gt; &lt;code&gt;:&lt;message&gt;」を「; 」でつなぎ、errors がなければ「http &lt;状態&gt;」だけ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TC-UT_LLM-036</t>
        </is>
      </c>
      <c r="B34" s="13" t="inlineStr">
        <is>
          <t>429 以外で 3036 が返っても、無料枠の超過にはしない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TC-UT_LLM-037</t>
        </is>
      </c>
      <c r="B35" s="13" t="inlineStr">
        <is>
          <t>400・401・429 以外の 4xx（403・404・413）は ServerError で、再試行しない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TC-UT_LLM-038</t>
        </is>
      </c>
      <c r="B36" s="13" t="inlineStr">
        <is>
          <t>報告された neurons が 0 なら 0 を使い、単価表で計算しない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TC-UT_LLM-039</t>
        </is>
      </c>
      <c r="B37" s="13" t="inlineStr">
        <is>
          <t>報告された neurons が負・NaN・Infinity なら、単価表から計算する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TC-UT_LLM-040</t>
        </is>
      </c>
      <c r="B38" s="13" t="inlineStr">
        <is>
          <t>2xx でない応答の本文が JSON でなくても ServerError にし、detail は「http &lt;状態&gt;」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TC-UT_LLM-041</t>
        </is>
      </c>
      <c r="B39" s="13" t="inlineStr">
        <is>
          <t>usage がなければトークンを 0 とし、neurons も 0 になる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TC-UT_LLM-042</t>
        </is>
      </c>
      <c r="B40" s="13" t="inlineStr">
        <is>
          <t>usage のトークンが負・文字列なら 0 として扱う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TC-UT_LLM-043</t>
        </is>
      </c>
      <c r="B41" s="13" t="inlineStr">
        <is>
          <t>usage.neurons が文字列なら報告値として使わず、単価表から計算する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TC-UT_LLM-044</t>
        </is>
      </c>
      <c r="B42" s="13" t="inlineStr">
        <is>
          <t>choices[0].message.content が文字列でなければ ServerError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TC-UT_LLM-045</t>
        </is>
      </c>
      <c r="B43" s="13" t="inlineStr">
        <is>
          <t>時計が戻っても durationMs は負にならず 0 になる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TC-UT_LLM-046</t>
        </is>
      </c>
      <c r="B44" s="13" t="inlineStr">
        <is>
          <t>fetch を渡さなければ globalThis.fetch を、nowMs を渡さなければ Date.now を使う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TC-UT_LLM-047</t>
        </is>
      </c>
      <c r="B45" s="13" t="inlineStr">
        <is>
          <t>timeoutMs を渡さなければ 60 秒で打ち切る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TC-UT_LLM-048</t>
        </is>
      </c>
      <c r="B46" s="13" t="inlineStr">
        <is>
          <t>本文の読み取り（response.text）が失敗したら ServerError（httpStatus なし）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TC-UT_LLM-049</t>
        </is>
      </c>
      <c r="B47" s="13" t="inlineStr">
        <is>
          <t>依頼の signal が abort されていないのに AbortError で失敗したら TimeoutError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TC-UT_LLM-050</t>
        </is>
      </c>
      <c r="B48" s="13" t="inlineStr">
        <is>
          <t>fetch が Error 以外を投げたら ServerError にし、detail に値を文字列で残す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TC-UT_LLM-051</t>
        </is>
      </c>
      <c r="B49" s="13" t="inlineStr">
        <is>
          <t>401（認証の失敗）は再試行しない ServerError で、detail・message・stack にトークンが含まれない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TC-UT_LLM-052</t>
        </is>
      </c>
      <c r="B50" s="13" t="inlineStr">
        <is>
          <t>固定応答のシナリオの名前を指定すると、そのシナリオのファイルを読む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TC-UT_LLM-053</t>
        </is>
      </c>
      <c r="B51" s="13" t="inlineStr">
        <is>
          <t>cloudflare のとき、durationMs は渡した時計の nowMs で測る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TC-UT_LLM-054</t>
        </is>
      </c>
      <c r="B52" s="13" t="inlineStr">
        <is>
          <t>fixed のときは Cloudflare の設定があっても FixedClient を返す</t>
        </is>
      </c>
      <c r="C52" s="13" t="inlineStr">
        <is>
          <t>未作成</t>
        </is>
      </c>
      <c r="D52" s="13" t="inlineStr"/>
      <c r="E52" s="13" t="inlineStr"/>
      <c r="F52" s="13" t="inlineStr"/>
    </row>
  </sheetData>
  <autoFilter ref="A4:F5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Cloudflare Workers AI の実装と LlmClient の選択（llm/cloudflareClient.ts・llm/createLlmClient.ts）</t>
        </is>
      </c>
    </row>
    <row r="4">
      <c r="A4" s="14" t="inlineStr">
        <is>
          <t>対象ファイル</t>
        </is>
      </c>
      <c r="B4" s="15" t="inlineStr">
        <is>
          <t>apps/server/src/llm/cloudflareClient.ts, apps/server/src/llm/createLlmClient.ts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apps/server/src/llm/cloudflareClient.test.ts（実装時、NOUS-51。createLlmClient の DEV-41〜43 を含む）, apps/server/src/llm/cloudflareClient.ut.test.ts（単体テストで追加）, apps/server/src/llm/createLlmClient.ut.test.ts（単体テストで追加）</t>
        </is>
      </c>
    </row>
    <row r="7">
      <c r="A7" s="14" t="inlineStr">
        <is>
          <t>外部依存</t>
        </is>
      </c>
      <c r="B7" s="15" t="inlineStr">
        <is>
          <t>fetch（Cloudflare Workers AI の REST。テストでは差し替え、実際の API は呼ばない）, 時刻（nowMs。Clock の nowMs か Date.now）, AbortSignal（AbortSignal.timeout の 60 秒と緊急停止の signal を AbortSignal.any で合成）, 環境変数 CLOUDFLARE_ACCOUNT_ID・CLOUDFLARE_API_TOKEN（lib/env.ts が読み、createLlmClient に渡す）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usesThinkingFlag：modelId が gemma-4 か glm を含む</t>
        </is>
      </c>
      <c r="C11" s="17" t="inlineStr">
        <is>
          <t>cloudflareClient.ts:51,74</t>
        </is>
      </c>
    </row>
    <row r="12">
      <c r="A12" s="17" t="inlineStr">
        <is>
          <t>B2</t>
        </is>
      </c>
      <c r="B12" s="17" t="inlineStr">
        <is>
          <t>usesNoThinkSuffix：modelId が qwen3 を含む</t>
        </is>
      </c>
      <c r="C12" s="17" t="inlineStr">
        <is>
          <t>cloudflareClient.ts:56,62</t>
        </is>
      </c>
    </row>
    <row r="13">
      <c r="A13" s="17" t="inlineStr">
        <is>
          <t>B3</t>
        </is>
      </c>
      <c r="B13" s="17" t="inlineStr">
        <is>
          <t>buildRequestBody：最後の user がある（target !== undefined）</t>
        </is>
      </c>
      <c r="C13" s="17" t="inlineStr">
        <is>
          <t>cloudflareClient.ts:65</t>
        </is>
      </c>
    </row>
    <row r="14">
      <c r="A14" s="17" t="inlineStr">
        <is>
          <t>B4</t>
        </is>
      </c>
      <c r="B14" s="17" t="inlineStr">
        <is>
          <t>errorsOf：本文がオブジェクトで errors が配列</t>
        </is>
      </c>
      <c r="C14" s="17" t="inlineStr">
        <is>
          <t>cloudflareClient.ts:88</t>
        </is>
      </c>
    </row>
    <row r="15">
      <c r="A15" s="17" t="inlineStr">
        <is>
          <t>B5</t>
        </is>
      </c>
      <c r="B15" s="17" t="inlineStr">
        <is>
          <t>errorsOf：要素が null でないオブジェクト</t>
        </is>
      </c>
      <c r="C15" s="17" t="inlineStr">
        <is>
          <t>cloudflareClient.ts:89</t>
        </is>
      </c>
    </row>
    <row r="16">
      <c r="A16" s="17" t="inlineStr">
        <is>
          <t>B6</t>
        </is>
      </c>
      <c r="B16" s="17" t="inlineStr">
        <is>
          <t>describeErrors：errors の要素が 1 件以上</t>
        </is>
      </c>
      <c r="C16" s="17" t="inlineStr">
        <is>
          <t>cloudflareClient.ts:97</t>
        </is>
      </c>
    </row>
    <row r="17">
      <c r="A17" s="17" t="inlineStr">
        <is>
          <t>B7</t>
        </is>
      </c>
      <c r="B17" s="17" t="inlineStr">
        <is>
          <t>toLlmError：status === 429</t>
        </is>
      </c>
      <c r="C17" s="17" t="inlineStr">
        <is>
          <t>cloudflareClient.ts:103</t>
        </is>
      </c>
    </row>
    <row r="18">
      <c r="A18" s="17" t="inlineStr">
        <is>
          <t>B8</t>
        </is>
      </c>
      <c r="B18" s="17" t="inlineStr">
        <is>
          <t>toLlmError：errors に code 3036 がある</t>
        </is>
      </c>
      <c r="C18" s="17" t="inlineStr">
        <is>
          <t>cloudflareClient.ts:104-107</t>
        </is>
      </c>
    </row>
    <row r="19">
      <c r="A19" s="17" t="inlineStr">
        <is>
          <t>B9</t>
        </is>
      </c>
      <c r="B19" s="17" t="inlineStr">
        <is>
          <t>computeNeurons：報告値が有限の数で 0 以上</t>
        </is>
      </c>
      <c r="C19" s="17" t="inlineStr">
        <is>
          <t>cloudflareClient.ts:120</t>
        </is>
      </c>
    </row>
    <row r="20">
      <c r="A20" s="17" t="inlineStr">
        <is>
          <t>B10</t>
        </is>
      </c>
      <c r="B20" s="17" t="inlineStr">
        <is>
          <t>computeNeurons：単価表にあるモデル（?? の左）</t>
        </is>
      </c>
      <c r="C20" s="17" t="inlineStr">
        <is>
          <t>cloudflareClient.ts:123</t>
        </is>
      </c>
    </row>
    <row r="21">
      <c r="A21" s="17" t="inlineStr">
        <is>
          <t>B11</t>
        </is>
      </c>
      <c r="B21" s="17" t="inlineStr">
        <is>
          <t>toCount：有限の数で 0 以上</t>
        </is>
      </c>
      <c r="C21" s="17" t="inlineStr">
        <is>
          <t>cloudflareClient.ts:136</t>
        </is>
      </c>
    </row>
    <row r="22">
      <c r="A22" s="17" t="inlineStr">
        <is>
          <t>B12</t>
        </is>
      </c>
      <c r="B22" s="17" t="inlineStr">
        <is>
          <t>toFetchError：依頼の signal が abort 済み</t>
        </is>
      </c>
      <c r="C22" s="17" t="inlineStr">
        <is>
          <t>cloudflareClient.ts:141</t>
        </is>
      </c>
    </row>
    <row r="23">
      <c r="A23" s="17" t="inlineStr">
        <is>
          <t>B13</t>
        </is>
      </c>
      <c r="B23" s="17" t="inlineStr">
        <is>
          <t>toFetchError：例外の名前が TimeoutError か AbortError</t>
        </is>
      </c>
      <c r="C23" s="17" t="inlineStr">
        <is>
          <t>cloudflareClient.ts:145</t>
        </is>
      </c>
    </row>
    <row r="24">
      <c r="A24" s="17" t="inlineStr">
        <is>
          <t>B14</t>
        </is>
      </c>
      <c r="B24" s="17" t="inlineStr">
        <is>
          <t>toFetchError：例外が Error のインスタンス</t>
        </is>
      </c>
      <c r="C24" s="17" t="inlineStr">
        <is>
          <t>cloudflareClient.ts:144,149</t>
        </is>
      </c>
    </row>
    <row r="25">
      <c r="A25" s="17" t="inlineStr">
        <is>
          <t>B15</t>
        </is>
      </c>
      <c r="B25" s="17" t="inlineStr">
        <is>
          <t>callCloudflare：options.fetch がある</t>
        </is>
      </c>
      <c r="C25" s="17" t="inlineStr">
        <is>
          <t>cloudflareClient.ts:155</t>
        </is>
      </c>
    </row>
    <row r="26">
      <c r="A26" s="17" t="inlineStr">
        <is>
          <t>B16</t>
        </is>
      </c>
      <c r="B26" s="17" t="inlineStr">
        <is>
          <t>callCloudflare：options.nowMs がない（Date.now を使う）</t>
        </is>
      </c>
      <c r="C26" s="17" t="inlineStr">
        <is>
          <t>cloudflareClient.ts:156</t>
        </is>
      </c>
    </row>
    <row r="27">
      <c r="A27" s="17" t="inlineStr">
        <is>
          <t>B17</t>
        </is>
      </c>
      <c r="B27" s="17" t="inlineStr">
        <is>
          <t>callCloudflare：呼ぶ前に signal が abort 済み</t>
        </is>
      </c>
      <c r="C27" s="17" t="inlineStr">
        <is>
          <t>cloudflareClient.ts:157</t>
        </is>
      </c>
    </row>
    <row r="28">
      <c r="A28" s="17" t="inlineStr">
        <is>
          <t>B18</t>
        </is>
      </c>
      <c r="B28" s="17" t="inlineStr">
        <is>
          <t>callCloudflare：fetch か response.text() が例外</t>
        </is>
      </c>
      <c r="C28" s="17" t="inlineStr">
        <is>
          <t>cloudflareClient.ts:165-178</t>
        </is>
      </c>
    </row>
    <row r="29">
      <c r="A29" s="17" t="inlineStr">
        <is>
          <t>B19</t>
        </is>
      </c>
      <c r="B29" s="17" t="inlineStr">
        <is>
          <t>callCloudflare：本文の JSON.parse が例外</t>
        </is>
      </c>
      <c r="C29" s="17" t="inlineStr">
        <is>
          <t>cloudflareClient.ts:181-185</t>
        </is>
      </c>
    </row>
    <row r="30">
      <c r="A30" s="17" t="inlineStr">
        <is>
          <t>B20</t>
        </is>
      </c>
      <c r="B30" s="17" t="inlineStr">
        <is>
          <t>callCloudflare：!response.ok</t>
        </is>
      </c>
      <c r="C30" s="17" t="inlineStr">
        <is>
          <t>cloudflareClient.ts:187</t>
        </is>
      </c>
    </row>
    <row r="31">
      <c r="A31" s="17" t="inlineStr">
        <is>
          <t>B21</t>
        </is>
      </c>
      <c r="B31" s="17" t="inlineStr">
        <is>
          <t>callCloudflare：本文が null、または success !== true</t>
        </is>
      </c>
      <c r="C31" s="17" t="inlineStr">
        <is>
          <t>cloudflareClient.ts:191</t>
        </is>
      </c>
    </row>
    <row r="32">
      <c r="A32" s="17" t="inlineStr">
        <is>
          <t>B22</t>
        </is>
      </c>
      <c r="B32" s="17" t="inlineStr">
        <is>
          <t>callCloudflare：choices[0].message.content が文字列でない</t>
        </is>
      </c>
      <c r="C32" s="17" t="inlineStr">
        <is>
          <t>cloudflareClient.ts:195</t>
        </is>
      </c>
    </row>
    <row r="33">
      <c r="A33" s="17" t="inlineStr">
        <is>
          <t>B23</t>
        </is>
      </c>
      <c r="B33" s="17" t="inlineStr">
        <is>
          <t>callCloudflare：usage.neurons が数値</t>
        </is>
      </c>
      <c r="C33" s="17" t="inlineStr">
        <is>
          <t>cloudflareClient.ts:213</t>
        </is>
      </c>
    </row>
    <row r="34">
      <c r="A34" s="17" t="inlineStr">
        <is>
          <t>B24</t>
        </is>
      </c>
      <c r="B34" s="17" t="inlineStr">
        <is>
          <t>callCloudflare：options.timeoutMs がある</t>
        </is>
      </c>
      <c r="C34" s="17" t="inlineStr">
        <is>
          <t>cloudflareClient.ts:162</t>
        </is>
      </c>
    </row>
    <row r="35">
      <c r="A35" s="17" t="inlineStr">
        <is>
          <t>B25</t>
        </is>
      </c>
      <c r="B35" s="17" t="inlineStr">
        <is>
          <t>createLlmClient：llmMode === "cloudflare"</t>
        </is>
      </c>
      <c r="C35" s="17" t="inlineStr">
        <is>
          <t>createLlmClient.ts:25</t>
        </is>
      </c>
    </row>
    <row r="36">
      <c r="A36" s="17" t="inlineStr">
        <is>
          <t>B26</t>
        </is>
      </c>
      <c r="B36" s="17" t="inlineStr">
        <is>
          <t>createLlmClient：env.cloudflare === null</t>
        </is>
      </c>
      <c r="C36" s="17" t="inlineStr">
        <is>
          <t>createLlmClient.ts:26</t>
        </is>
      </c>
    </row>
    <row r="37">
      <c r="A37" s="17" t="inlineStr">
        <is>
          <t>B27</t>
        </is>
      </c>
      <c r="B37" s="17" t="inlineStr">
        <is>
          <t>createLlmClient：fixtureScenario を省略（既定の basic）</t>
        </is>
      </c>
      <c r="C37" s="17" t="inlineStr">
        <is>
          <t>createLlmClient.ts:39</t>
        </is>
      </c>
    </row>
    <row r="39">
      <c r="A39" s="14" t="inlineStr">
        <is>
          <t>確認事項・潜在バグ</t>
        </is>
      </c>
    </row>
    <row r="40" ht="30" customHeight="1">
      <c r="A40" s="18" t="inlineStr">
        <is>
          <t>・疑い 1：toLlmError は 400・401・429 以外の 4xx（403 の権限不足、404 のモデル名の誤り、413 の本文が大きすぎるなど）を ServerError にし、ServerError.retryable が 400・401 以外を真にするため、再試行の対象になっている（llmClient.ts:86、cloudflareClient.ts:109-110）。設計書（generation 2章 IF-001）は再試行の対象を timeout・429（3036 以外）・5xx に限っているので、403・404・413 は再試行しないのが仕様（2026-10-23 Kouhei Tajima 判断）。TC-UT_LLM-037 は仕様どおり「再試行しない」を期待結果にしており、実施のときに NG になる見込み。</t>
        </is>
      </c>
    </row>
    <row r="41" ht="30" customHeight="1">
      <c r="A41" s="18" t="inlineStr">
        <is>
          <t>・確認事項 1：buildRequestBody は、Gemma 4・GLM・Qwen3 以外のモデルでは思考を止める指定を何も送らない（TC-UT_LLM-029）。world_settings.model_id は DB の CHECK で Gemma 4 と Qwen3 の 2 つに限られるため、今は影響がない。モデルを足すときに見直す。</t>
        </is>
      </c>
    </row>
  </sheetData>
  <mergeCells count="2">
    <mergeCell ref="A40:C40"/>
    <mergeCell ref="A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2026-10-23T07:26:59Z</dcterms:created>
  <dcterms:modified xsi:type="dcterms:W3CDTF">2026-10-23T07:26:59Z</dcterms:modified>
</cp:coreProperties>
</file>