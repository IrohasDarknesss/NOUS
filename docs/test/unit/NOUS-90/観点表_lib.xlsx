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'観点表'!$A$4:$Q$77</definedName>
    <definedName name="_xlnm.Print_Titles" localSheetId="0">'観点表'!$4:$4</definedName>
    <definedName name="_xlnm._FilterDatabase" localSheetId="2" hidden="1">'テストデータ'!$A$4:$F$77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サーバーの共通ライブラリ（apps/server/src/lib）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TC-NOUS44_DEV-01</t>
        </is>
      </c>
      <c r="C5" s="5" t="inlineStr">
        <is>
          <t>ERROR_CODES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エラーコードの定数が設計書のコードと状態に一致する</t>
        </is>
      </c>
      <c r="G5" s="5" t="inlineStr">
        <is>
          <t>前提：なし
入力：テストコードのとおり</t>
        </is>
      </c>
      <c r="H5" s="5" t="inlineStr">
        <is>
          <t>エラーコードの定数が設計書のコードと状態に一致する</t>
        </is>
      </c>
      <c r="I5" s="5" t="inlineStr"/>
      <c r="J5" s="5" t="inlineStr">
        <is>
          <t>なし</t>
        </is>
      </c>
      <c r="K5" s="5" t="inlineStr"/>
      <c r="L5" s="5" t="inlineStr"/>
      <c r="M5" s="5" t="inlineStr">
        <is>
          <t>TC-NOUS44_DEV-01 エラーコードの定数が設計書のコードと状態に一致する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既存テスト：実装時のテスト（NOUS-44）</t>
        </is>
      </c>
    </row>
    <row r="6">
      <c r="A6" s="4" t="n">
        <v>2</v>
      </c>
      <c r="B6" s="4" t="inlineStr">
        <is>
          <t>TC-NOUS44_DEV-02</t>
        </is>
      </c>
      <c r="C6" s="5" t="inlineStr">
        <is>
          <t>AppError / isAppError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AppError がコードから status と既定のメッセージを引く</t>
        </is>
      </c>
      <c r="G6" s="5" t="inlineStr">
        <is>
          <t>前提：なし
入力：テストコードのとおり</t>
        </is>
      </c>
      <c r="H6" s="5" t="inlineStr">
        <is>
          <t>AppError がコードから status と既定のメッセージを引く</t>
        </is>
      </c>
      <c r="I6" s="5" t="inlineStr">
        <is>
          <t>B1-F, B2-F</t>
        </is>
      </c>
      <c r="J6" s="5" t="inlineStr">
        <is>
          <t>なし</t>
        </is>
      </c>
      <c r="K6" s="5" t="inlineStr"/>
      <c r="L6" s="5" t="inlineStr"/>
      <c r="M6" s="5" t="inlineStr">
        <is>
          <t>TC-NOUS44_DEV-02 AppError がコードから status と既定のメッセージを引く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既存テスト：実装時のテスト（NOUS-44）</t>
        </is>
      </c>
    </row>
    <row r="7">
      <c r="A7" s="4" t="n">
        <v>3</v>
      </c>
      <c r="B7" s="4" t="inlineStr">
        <is>
          <t>TC-NOUS44_DEV-03</t>
        </is>
      </c>
      <c r="C7" s="5" t="inlineStr">
        <is>
          <t>AppError.toBody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メッセージと fields を差し替え、エラーの本文の形にする</t>
        </is>
      </c>
      <c r="G7" s="5" t="inlineStr">
        <is>
          <t>前提：なし
入力：テストコードのとおり</t>
        </is>
      </c>
      <c r="H7" s="5" t="inlineStr">
        <is>
          <t>メッセージと fields を差し替え、エラーの本文の形にする</t>
        </is>
      </c>
      <c r="I7" s="5" t="inlineStr">
        <is>
          <t>B1-T, B2-T</t>
        </is>
      </c>
      <c r="J7" s="5" t="inlineStr">
        <is>
          <t>なし</t>
        </is>
      </c>
      <c r="K7" s="5" t="inlineStr"/>
      <c r="L7" s="5" t="inlineStr"/>
      <c r="M7" s="5" t="inlineStr">
        <is>
          <t>TC-NOUS44_DEV-03 メッセージと fields を差し替え、エラーの本文の形にする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既存テスト：実装時のテスト（NOUS-44）</t>
        </is>
      </c>
    </row>
    <row r="8">
      <c r="A8" s="4" t="n">
        <v>4</v>
      </c>
      <c r="B8" s="4" t="inlineStr">
        <is>
          <t>TC-NOUS44_DEV-04</t>
        </is>
      </c>
      <c r="C8" s="5" t="inlineStr">
        <is>
          <t>AppError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INTERNAL_ERROR の既定のメッセージが固定の文言である</t>
        </is>
      </c>
      <c r="G8" s="5" t="inlineStr">
        <is>
          <t>前提：なし
入力：テストコードのとおり</t>
        </is>
      </c>
      <c r="H8" s="5" t="inlineStr">
        <is>
          <t>INTERNAL_ERROR の既定のメッセージが固定の文言である</t>
        </is>
      </c>
      <c r="I8" s="5" t="inlineStr">
        <is>
          <t>B1-F</t>
        </is>
      </c>
      <c r="J8" s="5" t="inlineStr">
        <is>
          <t>なし</t>
        </is>
      </c>
      <c r="K8" s="5" t="inlineStr"/>
      <c r="L8" s="5" t="inlineStr"/>
      <c r="M8" s="5" t="inlineStr">
        <is>
          <t>TC-NOUS44_DEV-04 INTERNAL_ERROR の既定のメッセージが固定の文言である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既存テスト：実装時のテスト（NOUS-44）</t>
        </is>
      </c>
    </row>
    <row r="9">
      <c r="A9" s="4" t="n">
        <v>5</v>
      </c>
      <c r="B9" s="4" t="inlineStr">
        <is>
          <t>TC-NOUS44_DEV-05</t>
        </is>
      </c>
      <c r="C9" s="5" t="inlineStr">
        <is>
          <t>ConfigError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ConfigError が問題をすべて持つ</t>
        </is>
      </c>
      <c r="G9" s="5" t="inlineStr">
        <is>
          <t>前提：なし
入力：テストコードのとおり</t>
        </is>
      </c>
      <c r="H9" s="5" t="inlineStr">
        <is>
          <t>ConfigError が問題をすべて持つ</t>
        </is>
      </c>
      <c r="I9" s="5" t="inlineStr">
        <is>
          <t>B3-F</t>
        </is>
      </c>
      <c r="J9" s="5" t="inlineStr">
        <is>
          <t>なし</t>
        </is>
      </c>
      <c r="K9" s="5" t="inlineStr"/>
      <c r="L9" s="5" t="inlineStr"/>
      <c r="M9" s="5" t="inlineStr">
        <is>
          <t>TC-NOUS44_DEV-05 ConfigError が問題をすべて持つ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既存テスト：実装時のテスト（NOUS-44）</t>
        </is>
      </c>
    </row>
    <row r="10">
      <c r="A10" s="4" t="n">
        <v>6</v>
      </c>
      <c r="B10" s="4" t="inlineStr">
        <is>
          <t>TC-NOUS44_DEV-32</t>
        </is>
      </c>
      <c r="C10" s="5" t="inlineStr">
        <is>
          <t>ConfigError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ConfigError が1つの問題の文字列と cause を受ける</t>
        </is>
      </c>
      <c r="G10" s="5" t="inlineStr">
        <is>
          <t>前提：なし
入力：テストコードのとおり</t>
        </is>
      </c>
      <c r="H10" s="5" t="inlineStr">
        <is>
          <t>ConfigError が1つの問題の文字列と cause を受ける</t>
        </is>
      </c>
      <c r="I10" s="5" t="inlineStr">
        <is>
          <t>B3-T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TC-NOUS44_DEV-32 ConfigError が1つの問題の文字列と cause を受ける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既存テスト：実装時のテスト（NOUS-44）</t>
        </is>
      </c>
    </row>
    <row r="11">
      <c r="A11" s="4" t="n">
        <v>7</v>
      </c>
      <c r="B11" s="4" t="inlineStr">
        <is>
          <t>TC-NOUS76_DEV-01</t>
        </is>
      </c>
      <c r="C11" s="5" t="inlineStr">
        <is>
          <t>ConfigError（再輸出）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clock・generationConfig が使う ConfigError は lib/errors.ts のものと同じ</t>
        </is>
      </c>
      <c r="G11" s="5" t="inlineStr">
        <is>
          <t>前提：なし
入力：テストコードのとおり</t>
        </is>
      </c>
      <c r="H11" s="5" t="inlineStr">
        <is>
          <t>clock・generationConfig が使う ConfigError は lib/errors.ts のものと同じ</t>
        </is>
      </c>
      <c r="I11" s="5" t="inlineStr"/>
      <c r="J11" s="5" t="inlineStr">
        <is>
          <t>なし</t>
        </is>
      </c>
      <c r="K11" s="5" t="inlineStr"/>
      <c r="L11" s="5" t="inlineStr"/>
      <c r="M11" s="5" t="inlineStr">
        <is>
          <t>TC-NOUS76_DEV-01 clock・generationConfig が使う ConfigError は lib/errors.ts のものと同じ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既存テスト：実装時のテスト（NOUS-76）</t>
        </is>
      </c>
    </row>
    <row r="12">
      <c r="A12" s="4" t="n">
        <v>8</v>
      </c>
      <c r="B12" s="4" t="inlineStr">
        <is>
          <t>TC-NOUS76_DEV-02</t>
        </is>
      </c>
      <c r="C12" s="5" t="inlineStr">
        <is>
          <t>CancelledError（再輸出）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clock が使う CancelledError は lib/errors.ts のものと同じ</t>
        </is>
      </c>
      <c r="G12" s="5" t="inlineStr">
        <is>
          <t>前提：なし
入力：テストコードのとおり</t>
        </is>
      </c>
      <c r="H12" s="5" t="inlineStr">
        <is>
          <t>clock が使う CancelledError は lib/errors.ts のものと同じ</t>
        </is>
      </c>
      <c r="I12" s="5" t="inlineStr"/>
      <c r="J12" s="5" t="inlineStr">
        <is>
          <t>なし</t>
        </is>
      </c>
      <c r="K12" s="5" t="inlineStr"/>
      <c r="L12" s="5" t="inlineStr"/>
      <c r="M12" s="5" t="inlineStr">
        <is>
          <t>TC-NOUS76_DEV-02 clock が使う CancelledError は lib/errors.ts のものと同じ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既存テスト：実装時のテスト（NOUS-76）</t>
        </is>
      </c>
    </row>
    <row r="13">
      <c r="A13" s="4" t="n">
        <v>9</v>
      </c>
      <c r="B13" s="4" t="inlineStr">
        <is>
          <t>TC-NOUS76_DEV-03</t>
        </is>
      </c>
      <c r="C13" s="5" t="inlineStr">
        <is>
          <t>CancelledError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CancelledError の既定の文言と name、cause を持つ</t>
        </is>
      </c>
      <c r="G13" s="5" t="inlineStr">
        <is>
          <t>前提：なし
入力：テストコードのとおり</t>
        </is>
      </c>
      <c r="H13" s="5" t="inlineStr">
        <is>
          <t>CancelledError の既定の文言と name、cause を持つ</t>
        </is>
      </c>
      <c r="I13" s="5" t="inlineStr"/>
      <c r="J13" s="5" t="inlineStr">
        <is>
          <t>なし</t>
        </is>
      </c>
      <c r="K13" s="5" t="inlineStr"/>
      <c r="L13" s="5" t="inlineStr"/>
      <c r="M13" s="5" t="inlineStr">
        <is>
          <t>TC-NOUS76_DEV-03 CancelledError の既定の文言と name、cause を持つ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既存テスト：実装時のテスト（NOUS-76）</t>
        </is>
      </c>
    </row>
    <row r="14">
      <c r="A14" s="4" t="n">
        <v>10</v>
      </c>
      <c r="B14" s="4" t="inlineStr">
        <is>
          <t>TC-UT_LIB-011</t>
        </is>
      </c>
      <c r="C14" s="5" t="inlineStr">
        <is>
          <t>AppError</t>
        </is>
      </c>
      <c r="D14" s="4" t="inlineStr">
        <is>
          <t>正常系</t>
        </is>
      </c>
      <c r="E14" s="4" t="inlineStr">
        <is>
          <t>同値分割</t>
        </is>
      </c>
      <c r="F14" s="5" t="inlineStr">
        <is>
          <t>AppError は Error の派生で、name と cause を持つ</t>
        </is>
      </c>
      <c r="G14" s="5" t="inlineStr">
        <is>
          <t>前提：なし
入力：new AppError('CONFLICT', { cause })</t>
        </is>
      </c>
      <c r="H14" s="5" t="inlineStr">
        <is>
          <t>Error の派生、name は AppError、cause はそのもの、status は 409</t>
        </is>
      </c>
      <c r="I14" s="5" t="inlineStr">
        <is>
          <t>B1-F, B2-F</t>
        </is>
      </c>
      <c r="J14" s="5" t="inlineStr">
        <is>
          <t>なし</t>
        </is>
      </c>
      <c r="K14" s="5" t="inlineStr"/>
      <c r="L14" s="5" t="inlineStr"/>
      <c r="M14" s="5" t="inlineStr">
        <is>
          <t>TC-UT_LIB-011 AppError は Error の派生で、name と cause を持つ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既存テスト：なし（DEV-02 は name・cause・Error の派生を見ていない）</t>
        </is>
      </c>
    </row>
    <row r="15">
      <c r="A15" s="4" t="n">
        <v>11</v>
      </c>
      <c r="B15" s="4" t="inlineStr">
        <is>
          <t>TC-UT_LIB-012</t>
        </is>
      </c>
      <c r="C15" s="5" t="inlineStr">
        <is>
          <t>AppError</t>
        </is>
      </c>
      <c r="D15" s="4" t="inlineStr">
        <is>
          <t>正常系</t>
        </is>
      </c>
      <c r="E15" s="4" t="inlineStr">
        <is>
          <t>分岐網羅</t>
        </is>
      </c>
      <c r="F15" s="5" t="inlineStr">
        <is>
          <t>message だけを渡すと fields は空、fields だけを渡すと message は既定の文言になる</t>
        </is>
      </c>
      <c r="G15" s="5" t="inlineStr">
        <is>
          <t>前提：なし
入力：message だけ、fields だけを別々に渡す</t>
        </is>
      </c>
      <c r="H15" s="5" t="inlineStr">
        <is>
          <t>message だけ：fields は {}。fields だけ：message は VALIDATION_ERROR の既定の文言</t>
        </is>
      </c>
      <c r="I15" s="5" t="inlineStr">
        <is>
          <t>B1-T, B1-F, B2-T, B2-F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TC-UT_LIB-012 message だけを渡すと fields は空、fields だけを渡すと message は既定の文言になる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TC-NOUS44_DEV-03（両方を同時に渡すだけ）</t>
        </is>
      </c>
    </row>
    <row r="16">
      <c r="A16" s="4" t="n">
        <v>12</v>
      </c>
      <c r="B16" s="4" t="inlineStr">
        <is>
          <t>TC-UT_LIB-013</t>
        </is>
      </c>
      <c r="C16" s="5" t="inlineStr">
        <is>
          <t>isAppError</t>
        </is>
      </c>
      <c r="D16" s="4" t="inlineStr">
        <is>
          <t>異常系</t>
        </is>
      </c>
      <c r="E16" s="4" t="inlineStr">
        <is>
          <t>同値分割</t>
        </is>
      </c>
      <c r="F16" s="5" t="inlineStr">
        <is>
          <t>isAppError は形だけ似たオブジェクト・null・undefined を AppError としない</t>
        </is>
      </c>
      <c r="G16" s="5" t="inlineStr">
        <is>
          <t>前提：なし
入力：AppError と同じ項目を持つただのオブジェクト、null、undefined</t>
        </is>
      </c>
      <c r="H16" s="5" t="inlineStr">
        <is>
          <t>どれも false</t>
        </is>
      </c>
      <c r="I16" s="5" t="inlineStr"/>
      <c r="J16" s="5" t="inlineStr">
        <is>
          <t>なし</t>
        </is>
      </c>
      <c r="K16" s="5" t="inlineStr"/>
      <c r="L16" s="5" t="inlineStr"/>
      <c r="M16" s="5" t="inlineStr">
        <is>
          <t>TC-UT_LIB-013 isAppError は形だけ似たオブジェクト・null・undefined を AppError としない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TC-NOUS44_DEV-02（Error だけ）</t>
        </is>
      </c>
    </row>
    <row r="17">
      <c r="A17" s="4" t="n">
        <v>13</v>
      </c>
      <c r="B17" s="4" t="inlineStr">
        <is>
          <t>TC-UT_LIB-014</t>
        </is>
      </c>
      <c r="C17" s="5" t="inlineStr">
        <is>
          <t>ConfigError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ConfigError に1件だけの配列を渡すと、まとめの文言で1件を持つ</t>
        </is>
      </c>
      <c r="G17" s="5" t="inlineStr">
        <is>
          <t>前提：なし
入力：問題が 1 件だけの配列</t>
        </is>
      </c>
      <c r="H17" s="5" t="inlineStr">
        <is>
          <t>problems は 1 件、message は「設定に誤りがあります: 」付き、Error の派生で AppError ではない</t>
        </is>
      </c>
      <c r="I17" s="5" t="inlineStr">
        <is>
          <t>B3-F</t>
        </is>
      </c>
      <c r="J17" s="5" t="inlineStr">
        <is>
          <t>なし</t>
        </is>
      </c>
      <c r="K17" s="5" t="inlineStr"/>
      <c r="L17" s="5" t="inlineStr"/>
      <c r="M17" s="5" t="inlineStr">
        <is>
          <t>TC-UT_LIB-014 ConfigError に1件だけの配列を渡すと、まとめの文言で1件を持つ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TC-NOUS44_DEV-05（2 件の配列だけ）</t>
        </is>
      </c>
    </row>
    <row r="18">
      <c r="A18" s="4" t="n">
        <v>14</v>
      </c>
      <c r="B18" s="4" t="inlineStr">
        <is>
          <t>TC-UT_LIB-015</t>
        </is>
      </c>
      <c r="C18" s="5" t="inlineStr">
        <is>
          <t>ERROR_CODES（サーバーと @nous/shared）</t>
        </is>
      </c>
      <c r="D18" s="4" t="inlineStr">
        <is>
          <t>正常系</t>
        </is>
      </c>
      <c r="E18" s="4" t="inlineStr">
        <is>
          <t>依存</t>
        </is>
      </c>
      <c r="F18" s="5" t="inlineStr">
        <is>
          <t>サーバーのエラーコードと @nous/shared の ERROR_CODES が同じ集合である</t>
        </is>
      </c>
      <c r="G18" s="5" t="inlineStr">
        <is>
          <t>前提：なし
入力：サーバーの ERROR_CODES のキーと @nous/shared の ERROR_CODES</t>
        </is>
      </c>
      <c r="H18" s="5" t="inlineStr">
        <is>
          <t>同じ 27 種の集合（基本設計書 概要 7章・admin_auth v1.1 の 409 CONFLICT を含む）</t>
        </is>
      </c>
      <c r="I18" s="5" t="inlineStr"/>
      <c r="J18" s="5" t="inlineStr">
        <is>
          <t>なし（@nous/shared を読む）</t>
        </is>
      </c>
      <c r="K18" s="5" t="inlineStr"/>
      <c r="L18" s="5" t="inlineStr"/>
      <c r="M18" s="5" t="inlineStr">
        <is>
          <t>TC-UT_LIB-015 サーバーのエラーコードと @nous/shared の ERROR_CODES が同じ集合である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既存テスト：なし（DEV-01 はサーバー側だけ）
疑い：@nous/shared の ERROR_CODES に CONFLICT がない（26 種）。概要 v3.11・admin_auth v1.1 で追加された 409 CONFLICT が共有の型に入っていない（疑い 1）</t>
        </is>
      </c>
    </row>
    <row r="19">
      <c r="A19" s="4" t="n">
        <v>15</v>
      </c>
      <c r="B19" s="4" t="inlineStr">
        <is>
          <t>TC-NOUS44_DEV-23</t>
        </is>
      </c>
      <c r="C19" s="5" t="inlineStr">
        <is>
          <t>loadEnv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何も設定しなければ概要 9章の既定値になる</t>
        </is>
      </c>
      <c r="G19" s="5" t="inlineStr">
        <is>
          <t>前提：なし
入力：テストコードのとおり</t>
        </is>
      </c>
      <c r="H19" s="5" t="inlineStr">
        <is>
          <t>何も設定しなければ概要 9章の既定値になる</t>
        </is>
      </c>
      <c r="I19" s="5" t="inlineStr">
        <is>
          <t>B4-F, B7-F, B10-F, B11-F, B12-F</t>
        </is>
      </c>
      <c r="J19" s="5" t="inlineStr">
        <is>
          <t>なし</t>
        </is>
      </c>
      <c r="K19" s="5" t="inlineStr"/>
      <c r="L19" s="5" t="inlineStr"/>
      <c r="M19" s="5" t="inlineStr">
        <is>
          <t>TC-NOUS44_DEV-23 何も設定しなければ概要 9章の既定値になる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既存テスト：実装時のテスト（NOUS-44）</t>
        </is>
      </c>
    </row>
    <row r="20">
      <c r="A20" s="4" t="n">
        <v>16</v>
      </c>
      <c r="B20" s="4" t="inlineStr">
        <is>
          <t>TC-NOUS44_DEV-24</t>
        </is>
      </c>
      <c r="C20" s="5" t="inlineStr">
        <is>
          <t>loadEnv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設定した値を読み、ポートを数値にする</t>
        </is>
      </c>
      <c r="G20" s="5" t="inlineStr">
        <is>
          <t>前提：なし
入力：テストコードのとおり</t>
        </is>
      </c>
      <c r="H20" s="5" t="inlineStr">
        <is>
          <t>設定した値を読み、ポートを数値にする</t>
        </is>
      </c>
      <c r="I20" s="5" t="inlineStr">
        <is>
          <t>B5-F, B6-F</t>
        </is>
      </c>
      <c r="J20" s="5" t="inlineStr">
        <is>
          <t>なし</t>
        </is>
      </c>
      <c r="K20" s="5" t="inlineStr"/>
      <c r="L20" s="5" t="inlineStr"/>
      <c r="M20" s="5" t="inlineStr">
        <is>
          <t>TC-NOUS44_DEV-24 設定した値を読み、ポートを数値にする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既存テスト：実装時のテスト（NOUS-44）</t>
        </is>
      </c>
    </row>
    <row r="21">
      <c r="A21" s="4" t="n">
        <v>17</v>
      </c>
      <c r="B21" s="4" t="inlineStr">
        <is>
          <t>TC-NOUS44_DEV-25</t>
        </is>
      </c>
      <c r="C21" s="5" t="inlineStr">
        <is>
          <t>loadEnv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空の文字列は未設定として既定値にする</t>
        </is>
      </c>
      <c r="G21" s="5" t="inlineStr">
        <is>
          <t>前提：なし
入力：テストコードのとおり</t>
        </is>
      </c>
      <c r="H21" s="5" t="inlineStr">
        <is>
          <t>空の文字列は未設定として既定値にする</t>
        </is>
      </c>
      <c r="I21" s="5" t="inlineStr">
        <is>
          <t>B5-T</t>
        </is>
      </c>
      <c r="J21" s="5" t="inlineStr">
        <is>
          <t>なし</t>
        </is>
      </c>
      <c r="K21" s="5" t="inlineStr"/>
      <c r="L21" s="5" t="inlineStr"/>
      <c r="M21" s="5" t="inlineStr">
        <is>
          <t>TC-NOUS44_DEV-25 空の文字列は未設定として既定値にする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既存テスト：実装時のテスト（NOUS-44）</t>
        </is>
      </c>
    </row>
    <row r="22">
      <c r="A22" s="4" t="n">
        <v>18</v>
      </c>
      <c r="B22" s="4" t="inlineStr">
        <is>
          <t>TC-NOUS44_DEV-26</t>
        </is>
      </c>
      <c r="C22" s="5" t="inlineStr">
        <is>
          <t>loadEnv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production の DB の既定は data/aisns.db</t>
        </is>
      </c>
      <c r="G22" s="5" t="inlineStr">
        <is>
          <t>前提：なし
入力：テストコードのとおり</t>
        </is>
      </c>
      <c r="H22" s="5" t="inlineStr">
        <is>
          <t>production の DB の既定は data/aisns.db</t>
        </is>
      </c>
      <c r="I22" s="5" t="inlineStr">
        <is>
          <t>B11-F</t>
        </is>
      </c>
      <c r="J22" s="5" t="inlineStr">
        <is>
          <t>なし</t>
        </is>
      </c>
      <c r="K22" s="5" t="inlineStr"/>
      <c r="L22" s="5" t="inlineStr"/>
      <c r="M22" s="5" t="inlineStr">
        <is>
          <t>TC-NOUS44_DEV-26 production の DB の既定は data/aisns.db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既存テスト：実装時のテスト（NOUS-44）</t>
        </is>
      </c>
    </row>
    <row r="23">
      <c r="A23" s="4" t="n">
        <v>19</v>
      </c>
      <c r="B23" s="4" t="inlineStr">
        <is>
          <t>TC-NOUS44_DEV-27</t>
        </is>
      </c>
      <c r="C23" s="5" t="inlineStr">
        <is>
          <t>loadEnv</t>
        </is>
      </c>
      <c r="D23" s="4" t="inlineStr">
        <is>
          <t>異常系</t>
        </is>
      </c>
      <c r="E23" s="4" t="inlineStr">
        <is>
          <t>開発者テスト</t>
        </is>
      </c>
      <c r="F23" s="5" t="inlineStr">
        <is>
          <t>cloudflare のときは認証情報を読み、なければエラーにする</t>
        </is>
      </c>
      <c r="G23" s="5" t="inlineStr">
        <is>
          <t>前提：なし
入力：テストコードのとおり</t>
        </is>
      </c>
      <c r="H23" s="5" t="inlineStr">
        <is>
          <t>cloudflare のときは認証情報を読み、なければエラーにする</t>
        </is>
      </c>
      <c r="I23" s="5" t="inlineStr">
        <is>
          <t>B7-T, B8-T, B8-F, B9-T, B9-F, B12-T</t>
        </is>
      </c>
      <c r="J23" s="5" t="inlineStr">
        <is>
          <t>なし</t>
        </is>
      </c>
      <c r="K23" s="5" t="inlineStr"/>
      <c r="L23" s="5" t="inlineStr"/>
      <c r="M23" s="5" t="inlineStr">
        <is>
          <t>TC-NOUS44_DEV-27 cloudflare のときは認証情報を読み、なければエラーにする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既存テスト：実装時のテスト（NOUS-44）</t>
        </is>
      </c>
    </row>
    <row r="24">
      <c r="A24" s="4" t="n">
        <v>20</v>
      </c>
      <c r="B24" s="4" t="inlineStr">
        <is>
          <t>TC-NOUS44_DEV-28</t>
        </is>
      </c>
      <c r="C24" s="5" t="inlineStr">
        <is>
          <t>loadEnv</t>
        </is>
      </c>
      <c r="D24" s="4" t="inlineStr">
        <is>
          <t>異常系</t>
        </is>
      </c>
      <c r="E24" s="4" t="inlineStr">
        <is>
          <t>開発者テスト</t>
        </is>
      </c>
      <c r="F24" s="5" t="inlineStr">
        <is>
          <t>列挙の外の値・範囲外のポートをまとめてエラーにする</t>
        </is>
      </c>
      <c r="G24" s="5" t="inlineStr">
        <is>
          <t>前提：なし
入力：テストコードのとおり</t>
        </is>
      </c>
      <c r="H24" s="5" t="inlineStr">
        <is>
          <t>列挙の外の値・範囲外のポートをまとめてエラーにする</t>
        </is>
      </c>
      <c r="I24" s="5" t="inlineStr">
        <is>
          <t>B4-T, B6-T</t>
        </is>
      </c>
      <c r="J24" s="5" t="inlineStr">
        <is>
          <t>なし</t>
        </is>
      </c>
      <c r="K24" s="5" t="inlineStr"/>
      <c r="L24" s="5" t="inlineStr"/>
      <c r="M24" s="5" t="inlineStr">
        <is>
          <t>TC-NOUS44_DEV-28 列挙の外の値・範囲外のポートをまとめてエラーにする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既存テスト：実装時のテスト（NOUS-44）</t>
        </is>
      </c>
    </row>
    <row r="25">
      <c r="A25" s="4" t="n">
        <v>21</v>
      </c>
      <c r="B25" s="4" t="inlineStr">
        <is>
          <t>TC-NOUS44_DEV-29</t>
        </is>
      </c>
      <c r="C25" s="5" t="inlineStr">
        <is>
          <t>loadEnv</t>
        </is>
      </c>
      <c r="D25" s="4" t="inlineStr">
        <is>
          <t>異常系</t>
        </is>
      </c>
      <c r="E25" s="4" t="inlineStr">
        <is>
          <t>開発者テスト</t>
        </is>
      </c>
      <c r="F25" s="5" t="inlineStr">
        <is>
          <t>観察と管理のポートが同じならエラーにする</t>
        </is>
      </c>
      <c r="G25" s="5" t="inlineStr">
        <is>
          <t>前提：なし
入力：テストコードのとおり</t>
        </is>
      </c>
      <c r="H25" s="5" t="inlineStr">
        <is>
          <t>観察と管理のポートが同じならエラーにする</t>
        </is>
      </c>
      <c r="I25" s="5" t="inlineStr">
        <is>
          <t>B10-T, B12-T</t>
        </is>
      </c>
      <c r="J25" s="5" t="inlineStr">
        <is>
          <t>なし</t>
        </is>
      </c>
      <c r="K25" s="5" t="inlineStr"/>
      <c r="L25" s="5" t="inlineStr"/>
      <c r="M25" s="5" t="inlineStr">
        <is>
          <t>TC-NOUS44_DEV-29 観察と管理のポートが同じならエラーにする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既存テスト：実装時のテスト（NOUS-44）</t>
        </is>
      </c>
    </row>
    <row r="26">
      <c r="A26" s="4" t="n">
        <v>22</v>
      </c>
      <c r="B26" s="4" t="inlineStr">
        <is>
          <t>TC-NOUS44_DEV-30</t>
        </is>
      </c>
      <c r="C26" s="5" t="inlineStr">
        <is>
          <t>loadEnv</t>
        </is>
      </c>
      <c r="D26" s="4" t="inlineStr">
        <is>
          <t>異常系</t>
        </is>
      </c>
      <c r="E26" s="4" t="inlineStr">
        <is>
          <t>開発者テスト</t>
        </is>
      </c>
      <c r="F26" s="5" t="inlineStr">
        <is>
          <t>production で fake の時計はエラーにする</t>
        </is>
      </c>
      <c r="G26" s="5" t="inlineStr">
        <is>
          <t>前提：なし
入力：テストコードのとおり</t>
        </is>
      </c>
      <c r="H26" s="5" t="inlineStr">
        <is>
          <t>production で fake の時計はエラーにする</t>
        </is>
      </c>
      <c r="I26" s="5" t="inlineStr">
        <is>
          <t>B11-T, B12-T</t>
        </is>
      </c>
      <c r="J26" s="5" t="inlineStr">
        <is>
          <t>なし</t>
        </is>
      </c>
      <c r="K26" s="5" t="inlineStr"/>
      <c r="L26" s="5" t="inlineStr"/>
      <c r="M26" s="5" t="inlineStr">
        <is>
          <t>TC-NOUS44_DEV-30 production で fake の時計はエラーにする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既存テスト：実装時のテスト（NOUS-44）</t>
        </is>
      </c>
    </row>
    <row r="27">
      <c r="A27" s="4" t="n">
        <v>23</v>
      </c>
      <c r="B27" s="4" t="inlineStr">
        <is>
          <t>TC-NOUS44_DEV-31</t>
        </is>
      </c>
      <c r="C27" s="5" t="inlineStr">
        <is>
          <t>loadEnv</t>
        </is>
      </c>
      <c r="D27" s="4" t="inlineStr">
        <is>
          <t>異常系</t>
        </is>
      </c>
      <c r="E27" s="4" t="inlineStr">
        <is>
          <t>開発者テスト</t>
        </is>
      </c>
      <c r="F27" s="5" t="inlineStr">
        <is>
          <t>エラーのメッセージに API トークンの値を出さない</t>
        </is>
      </c>
      <c r="G27" s="5" t="inlineStr">
        <is>
          <t>前提：なし
入力：テストコードのとおり</t>
        </is>
      </c>
      <c r="H27" s="5" t="inlineStr">
        <is>
          <t>エラーのメッセージに API トークンの値を出さない</t>
        </is>
      </c>
      <c r="I27" s="5" t="inlineStr">
        <is>
          <t>B4-T</t>
        </is>
      </c>
      <c r="J27" s="5" t="inlineStr">
        <is>
          <t>なし</t>
        </is>
      </c>
      <c r="K27" s="5" t="inlineStr"/>
      <c r="L27" s="5" t="inlineStr"/>
      <c r="M27" s="5" t="inlineStr">
        <is>
          <t>TC-NOUS44_DEV-31 エラーのメッセージに API トークンの値を出さない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既存テスト：実装時のテスト（NOUS-44）</t>
        </is>
      </c>
    </row>
    <row r="28">
      <c r="A28" s="4" t="n">
        <v>24</v>
      </c>
      <c r="B28" s="4" t="inlineStr">
        <is>
          <t>TC-UT_LIB-016</t>
        </is>
      </c>
      <c r="C28" s="5" t="inlineStr">
        <is>
          <t>loadEnv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ポートの下限・上限を受け付ける</t>
        </is>
      </c>
      <c r="G28" s="5" t="inlineStr">
        <is>
          <t>前提：なし
入力：AISNS_ADMIN_PORT = "1"、"65535"</t>
        </is>
      </c>
      <c r="H28" s="5" t="inlineStr">
        <is>
          <t>adminPort が 1、65535（数値）</t>
        </is>
      </c>
      <c r="I28" s="5" t="inlineStr">
        <is>
          <t>B4-F, B6-F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TC-UT_LIB-016 ポートの下限・上限を受け付ける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TC-NOUS44_DEV-28（範囲外の 0・65536 だけ）</t>
        </is>
      </c>
    </row>
    <row r="29">
      <c r="A29" s="4" t="n">
        <v>25</v>
      </c>
      <c r="B29" s="4" t="inlineStr">
        <is>
          <t>TC-UT_LIB-017</t>
        </is>
      </c>
      <c r="C29" s="5" t="inlineStr">
        <is>
          <t>loadEnv</t>
        </is>
      </c>
      <c r="D29" s="4" t="inlineStr">
        <is>
          <t>異常系</t>
        </is>
      </c>
      <c r="E29" s="4" t="inlineStr">
        <is>
          <t>同値分割</t>
        </is>
      </c>
      <c r="F29" s="5" t="inlineStr">
        <is>
          <t>整数の字だけでないポートはエラーにする</t>
        </is>
      </c>
      <c r="G29" s="5" t="inlineStr">
        <is>
          <t>前提：なし
入力：AISNS_OBSERVER_PORT = "-1"、"80.5"、"0x50"、"8080a"</t>
        </is>
      </c>
      <c r="H29" s="5" t="inlineStr">
        <is>
          <t>ConfigError。問題はすべて AISNS_OBSERVER_PORT のもの</t>
        </is>
      </c>
      <c r="I29" s="5" t="inlineStr">
        <is>
          <t>B4-T, B6-T</t>
        </is>
      </c>
      <c r="J29" s="5" t="inlineStr">
        <is>
          <t>なし</t>
        </is>
      </c>
      <c r="K29" s="5" t="inlineStr"/>
      <c r="L29" s="5" t="inlineStr"/>
      <c r="M29" s="5" t="inlineStr">
        <is>
          <t>TC-UT_LIB-017 整数の字だけでないポートはエラーにする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TC-NOUS44_DEV-28（"abc" だけ）
"-1"・"8080a" では同じ文言の問題が 2 件並ぶ（確認事項 4）</t>
        </is>
      </c>
    </row>
    <row r="30">
      <c r="A30" s="4" t="n">
        <v>26</v>
      </c>
      <c r="B30" s="4" t="inlineStr">
        <is>
          <t>TC-UT_LIB-018</t>
        </is>
      </c>
      <c r="C30" s="5" t="inlineStr">
        <is>
          <t>loadEnv</t>
        </is>
      </c>
      <c r="D30" s="4" t="inlineStr">
        <is>
          <t>異常系</t>
        </is>
      </c>
      <c r="E30" s="4" t="inlineStr">
        <is>
          <t>分岐網羅</t>
        </is>
      </c>
      <c r="F30" s="5" t="inlineStr">
        <is>
          <t>管理のポートだけを 8080 にすると、観察の既定のポートとぶつかってエラーにする</t>
        </is>
      </c>
      <c r="G30" s="5" t="inlineStr">
        <is>
          <t>前提：なし
入力：AISNS_ADMIN_PORT = "8080" だけ（観察は既定の 8080）</t>
        </is>
      </c>
      <c r="H30" s="5" t="inlineStr">
        <is>
          <t>問題は「AISNS_ADMIN_PORT: AISNS_OBSERVER_PORT と別のポートにしてください」の 1 件</t>
        </is>
      </c>
      <c r="I30" s="5" t="inlineStr">
        <is>
          <t>B10-T, B12-T</t>
        </is>
      </c>
      <c r="J30" s="5" t="inlineStr">
        <is>
          <t>なし</t>
        </is>
      </c>
      <c r="K30" s="5" t="inlineStr"/>
      <c r="L30" s="5" t="inlineStr"/>
      <c r="M30" s="5" t="inlineStr">
        <is>
          <t>TC-UT_LIB-018 管理のポートだけを 8080 にすると、観察の既定のポートとぶつかってエラーにする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TC-NOUS44_DEV-29（両方を指定したときだけ）</t>
        </is>
      </c>
    </row>
    <row r="31">
      <c r="A31" s="4" t="n">
        <v>27</v>
      </c>
      <c r="B31" s="4" t="inlineStr">
        <is>
          <t>TC-UT_LIB-019</t>
        </is>
      </c>
      <c r="C31" s="5" t="inlineStr">
        <is>
          <t>loadEnv</t>
        </is>
      </c>
      <c r="D31" s="4" t="inlineStr">
        <is>
          <t>異常系</t>
        </is>
      </c>
      <c r="E31" s="4" t="inlineStr">
        <is>
          <t>分岐網羅</t>
        </is>
      </c>
      <c r="F31" s="5" t="inlineStr">
        <is>
          <t>cloudflare で アカウント ID だけがあれば、API トークンの不足だけをエラーにする</t>
        </is>
      </c>
      <c r="G31" s="5" t="inlineStr">
        <is>
          <t>前提：なし
入力：AISNS_LLM_MODE = cloudflare、CLOUDFLARE_ACCOUNT_ID だけ</t>
        </is>
      </c>
      <c r="H31" s="5" t="inlineStr">
        <is>
          <t>問題は CLOUDFLARE_API_TOKEN の不足の 1 件だけ</t>
        </is>
      </c>
      <c r="I31" s="5" t="inlineStr">
        <is>
          <t>B7-T, B8-F, B9-T, B12-T</t>
        </is>
      </c>
      <c r="J31" s="5" t="inlineStr">
        <is>
          <t>なし</t>
        </is>
      </c>
      <c r="K31" s="5" t="inlineStr"/>
      <c r="L31" s="5" t="inlineStr"/>
      <c r="M31" s="5" t="inlineStr">
        <is>
          <t>TC-UT_LIB-019 cloudflare で アカウント ID だけがあれば、API トークンの不足だけをエラーにする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TC-NOUS44_DEV-27（両方が無いときだけ）</t>
        </is>
      </c>
    </row>
    <row r="32">
      <c r="A32" s="4" t="n">
        <v>28</v>
      </c>
      <c r="B32" s="4" t="inlineStr">
        <is>
          <t>TC-UT_LIB-020</t>
        </is>
      </c>
      <c r="C32" s="5" t="inlineStr">
        <is>
          <t>loadEnv</t>
        </is>
      </c>
      <c r="D32" s="4" t="inlineStr">
        <is>
          <t>異常系</t>
        </is>
      </c>
      <c r="E32" s="4" t="inlineStr">
        <is>
          <t>境界値</t>
        </is>
      </c>
      <c r="F32" s="5" t="inlineStr">
        <is>
          <t>cloudflare で API トークンが空白だけなら、未設定としてエラーにする</t>
        </is>
      </c>
      <c r="G32" s="5" t="inlineStr">
        <is>
          <t>前提：なし
入力：cloudflare、CLOUDFLARE_API_TOKEN = 空白 2 字</t>
        </is>
      </c>
      <c r="H32" s="5" t="inlineStr">
        <is>
          <t>空白だけは未設定として、CLOUDFLARE_API_TOKEN の不足の 1 件</t>
        </is>
      </c>
      <c r="I32" s="5" t="inlineStr">
        <is>
          <t>B5-T, B7-T, B9-T, B12-T</t>
        </is>
      </c>
      <c r="J32" s="5" t="inlineStr">
        <is>
          <t>なし</t>
        </is>
      </c>
      <c r="K32" s="5" t="inlineStr"/>
      <c r="L32" s="5" t="inlineStr"/>
      <c r="M32" s="5" t="inlineStr">
        <is>
          <t>TC-UT_LIB-020 cloudflare で API トークンが空白だけなら、未設定としてエラーにする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既存テスト：なし（DEV-25 は NODE_ENV・ポートの空だけ）</t>
        </is>
      </c>
    </row>
    <row r="33">
      <c r="A33" s="4" t="n">
        <v>29</v>
      </c>
      <c r="B33" s="4" t="inlineStr">
        <is>
          <t>TC-UT_LIB-021</t>
        </is>
      </c>
      <c r="C33" s="5" t="inlineStr">
        <is>
          <t>loadEnv</t>
        </is>
      </c>
      <c r="D33" s="4" t="inlineStr">
        <is>
          <t>正常系</t>
        </is>
      </c>
      <c r="E33" s="4" t="inlineStr">
        <is>
          <t>分岐網羅</t>
        </is>
      </c>
      <c r="F33" s="5" t="inlineStr">
        <is>
          <t>fixed のときは Cloudflare の認証情報があっても読まない</t>
        </is>
      </c>
      <c r="G33" s="5" t="inlineStr">
        <is>
          <t>前提：なし
入力：AISNS_LLM_MODE = fixed、Cloudflare の認証情報あり</t>
        </is>
      </c>
      <c r="H33" s="5" t="inlineStr">
        <is>
          <t>cloudflare は null（認証情報を持ち回らない）</t>
        </is>
      </c>
      <c r="I33" s="5" t="inlineStr">
        <is>
          <t>B7-F</t>
        </is>
      </c>
      <c r="J33" s="5" t="inlineStr">
        <is>
          <t>なし</t>
        </is>
      </c>
      <c r="K33" s="5" t="inlineStr"/>
      <c r="L33" s="5" t="inlineStr"/>
      <c r="M33" s="5" t="inlineStr">
        <is>
          <t>TC-UT_LIB-021 fixed のときは Cloudflare の認証情報があっても読まない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TC-NOUS44_DEV-23（認証情報が無いときだけ）</t>
        </is>
      </c>
    </row>
    <row r="34">
      <c r="A34" s="4" t="n">
        <v>30</v>
      </c>
      <c r="B34" s="4" t="inlineStr">
        <is>
          <t>TC-UT_LIB-022</t>
        </is>
      </c>
      <c r="C34" s="5" t="inlineStr">
        <is>
          <t>loadEnv</t>
        </is>
      </c>
      <c r="D34" s="4" t="inlineStr">
        <is>
          <t>異常系</t>
        </is>
      </c>
      <c r="E34" s="4" t="inlineStr">
        <is>
          <t>エラー処理</t>
        </is>
      </c>
      <c r="F34" s="5" t="inlineStr">
        <is>
          <t>意味の誤り（認証情報の不足・ポートの重複・production の fake）をまとめて1つの ConfigError にする</t>
        </is>
      </c>
      <c r="G34" s="5" t="inlineStr">
        <is>
          <t>前提：なし
入力：production・cloudflare（認証情報なし）・両ポート 9000・fake の時計</t>
        </is>
      </c>
      <c r="H34" s="5" t="inlineStr">
        <is>
          <t>4 件の問題を 1 つの ConfigError に、検査の順に並べる</t>
        </is>
      </c>
      <c r="I34" s="5" t="inlineStr">
        <is>
          <t>B7-T, B8-T, B9-T, B10-T, B11-T, B12-T</t>
        </is>
      </c>
      <c r="J34" s="5" t="inlineStr">
        <is>
          <t>なし</t>
        </is>
      </c>
      <c r="K34" s="5" t="inlineStr"/>
      <c r="L34" s="5" t="inlineStr"/>
      <c r="M34" s="5" t="inlineStr">
        <is>
          <t>TC-UT_LIB-022 意味の誤り（認証情報の不足・ポートの重複・production の fake）をまとめて1つの ConfigError にする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既存テスト：なし（DEV は 1 種類ずつ）</t>
        </is>
      </c>
    </row>
    <row r="35">
      <c r="A35" s="4" t="n">
        <v>31</v>
      </c>
      <c r="B35" s="4" t="inlineStr">
        <is>
          <t>TC-UT_LIB-023</t>
        </is>
      </c>
      <c r="C35" s="5" t="inlineStr">
        <is>
          <t>loadEnv</t>
        </is>
      </c>
      <c r="D35" s="4" t="inlineStr">
        <is>
          <t>正常系</t>
        </is>
      </c>
      <c r="E35" s="4" t="inlineStr">
        <is>
          <t>分岐網羅</t>
        </is>
      </c>
      <c r="F35" s="5" t="inlineStr">
        <is>
          <t>production 以外では fake の時計を受け付ける</t>
        </is>
      </c>
      <c r="G35" s="5" t="inlineStr">
        <is>
          <t>前提：なし
入力：NODE_ENV = development・test、AISNS_CLOCK = fake</t>
        </is>
      </c>
      <c r="H35" s="5" t="inlineStr">
        <is>
          <t>clock は fake、dbPath は data/dev.db</t>
        </is>
      </c>
      <c r="I35" s="5" t="inlineStr">
        <is>
          <t>B11-F</t>
        </is>
      </c>
      <c r="J35" s="5" t="inlineStr">
        <is>
          <t>なし</t>
        </is>
      </c>
      <c r="K35" s="5" t="inlineStr"/>
      <c r="L35" s="5" t="inlineStr"/>
      <c r="M35" s="5" t="inlineStr">
        <is>
          <t>TC-UT_LIB-023 production 以外では fake の時計を受け付ける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TC-NOUS44_DEV-24（test だけ）</t>
        </is>
      </c>
    </row>
    <row r="36">
      <c r="A36" s="4" t="n">
        <v>32</v>
      </c>
      <c r="B36" s="4" t="inlineStr">
        <is>
          <t>TC-UT_LIB-024</t>
        </is>
      </c>
      <c r="C36" s="5" t="inlineStr">
        <is>
          <t>loadEnv</t>
        </is>
      </c>
      <c r="D36" s="4" t="inlineStr">
        <is>
          <t>正常系</t>
        </is>
      </c>
      <c r="E36" s="4" t="inlineStr">
        <is>
          <t>同値分割</t>
        </is>
      </c>
      <c r="F36" s="5" t="inlineStr">
        <is>
          <t>バックアップ・固定応答の置き場所と、production の cloudflare の設定を読む</t>
        </is>
      </c>
      <c r="G36" s="5" t="inlineStr">
        <is>
          <t>前提：なし
入力：production・cloudflare（認証情報あり）・AISNS_BACKUP_DIR・AISNS_FIXTURE_DIR・AISNS_LOG_LEVEL = error</t>
        </is>
      </c>
      <c r="H36" s="5" t="inlineStr">
        <is>
          <t>すべての項目を読み、dbPath は data/aisns.db、ポートは既定</t>
        </is>
      </c>
      <c r="I36" s="5" t="inlineStr">
        <is>
          <t>B4-F, B7-T, B8-F, B9-F, B12-F</t>
        </is>
      </c>
      <c r="J36" s="5" t="inlineStr">
        <is>
          <t>なし</t>
        </is>
      </c>
      <c r="K36" s="5" t="inlineStr"/>
      <c r="L36" s="5" t="inlineStr"/>
      <c r="M36" s="5" t="inlineStr">
        <is>
          <t>TC-UT_LIB-024 バックアップ・固定応答の置き場所と、production の cloudflare の設定を読む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既存テスト：なし（DEV はバックアップ・固定応答の置き場所を読んでいない）</t>
        </is>
      </c>
    </row>
    <row r="37">
      <c r="A37" s="4" t="n">
        <v>33</v>
      </c>
      <c r="B37" s="4" t="inlineStr">
        <is>
          <t>TC-NOUS44_DEV-06</t>
        </is>
      </c>
      <c r="C37" s="5" t="inlineStr">
        <is>
          <t>newUlid</t>
        </is>
      </c>
      <c r="D37" s="4" t="inlineStr">
        <is>
          <t>正常系</t>
        </is>
      </c>
      <c r="E37" s="4" t="inlineStr">
        <is>
          <t>開発者テスト</t>
        </is>
      </c>
      <c r="F37" s="5" t="inlineStr">
        <is>
          <t>newUlid が 26 字の ULID を返し、毎回ちがう</t>
        </is>
      </c>
      <c r="G37" s="5" t="inlineStr">
        <is>
          <t>前提：なし
入力：テストコードのとおり</t>
        </is>
      </c>
      <c r="H37" s="5" t="inlineStr">
        <is>
          <t>newUlid が 26 字の ULID を返し、毎回ちがう</t>
        </is>
      </c>
      <c r="I37" s="5" t="inlineStr"/>
      <c r="J37" s="5" t="inlineStr">
        <is>
          <t>なし</t>
        </is>
      </c>
      <c r="K37" s="5" t="inlineStr"/>
      <c r="L37" s="5" t="inlineStr"/>
      <c r="M37" s="5" t="inlineStr">
        <is>
          <t>TC-NOUS44_DEV-06 newUlid が 26 字の ULID を返し、毎回ちがう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既存テスト：実装時のテスト（NOUS-44）</t>
        </is>
      </c>
    </row>
    <row r="38">
      <c r="A38" s="4" t="n">
        <v>34</v>
      </c>
      <c r="B38" s="4" t="inlineStr">
        <is>
          <t>TC-NOUS44_DEV-07</t>
        </is>
      </c>
      <c r="C38" s="5" t="inlineStr">
        <is>
          <t>newUlid</t>
        </is>
      </c>
      <c r="D38" s="4" t="inlineStr">
        <is>
          <t>正常系</t>
        </is>
      </c>
      <c r="E38" s="4" t="inlineStr">
        <is>
          <t>開発者テスト</t>
        </is>
      </c>
      <c r="F38" s="5" t="inlineStr">
        <is>
          <t>渡した時刻が ULID の時刻の部分に入る</t>
        </is>
      </c>
      <c r="G38" s="5" t="inlineStr">
        <is>
          <t>前提：なし
入力：テストコードのとおり</t>
        </is>
      </c>
      <c r="H38" s="5" t="inlineStr">
        <is>
          <t>渡した時刻が ULID の時刻の部分に入る</t>
        </is>
      </c>
      <c r="I38" s="5" t="inlineStr"/>
      <c r="J38" s="5" t="inlineStr">
        <is>
          <t>なし</t>
        </is>
      </c>
      <c r="K38" s="5" t="inlineStr"/>
      <c r="L38" s="5" t="inlineStr"/>
      <c r="M38" s="5" t="inlineStr">
        <is>
          <t>TC-NOUS44_DEV-07 渡した時刻が ULID の時刻の部分に入る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既存テスト：実装時のテスト（NOUS-44）</t>
        </is>
      </c>
    </row>
    <row r="39">
      <c r="A39" s="4" t="n">
        <v>35</v>
      </c>
      <c r="B39" s="4" t="inlineStr">
        <is>
          <t>TC-NOUS44_DEV-08</t>
        </is>
      </c>
      <c r="C39" s="5" t="inlineStr">
        <is>
          <t>isUlid</t>
        </is>
      </c>
      <c r="D39" s="4" t="inlineStr">
        <is>
          <t>異常系</t>
        </is>
      </c>
      <c r="E39" s="4" t="inlineStr">
        <is>
          <t>開発者テスト</t>
        </is>
      </c>
      <c r="F39" s="5" t="inlineStr">
        <is>
          <t>isUlid が形の違う文字列を拒む</t>
        </is>
      </c>
      <c r="G39" s="5" t="inlineStr">
        <is>
          <t>前提：なし
入力：テストコードのとおり</t>
        </is>
      </c>
      <c r="H39" s="5" t="inlineStr">
        <is>
          <t>isUlid が形の違う文字列を拒む</t>
        </is>
      </c>
      <c r="I39" s="5" t="inlineStr"/>
      <c r="J39" s="5" t="inlineStr">
        <is>
          <t>なし</t>
        </is>
      </c>
      <c r="K39" s="5" t="inlineStr"/>
      <c r="L39" s="5" t="inlineStr"/>
      <c r="M39" s="5" t="inlineStr">
        <is>
          <t>TC-NOUS44_DEV-08 isUlid が形の違う文字列を拒む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既存テスト：実装時のテスト（NOUS-44）</t>
        </is>
      </c>
    </row>
    <row r="40">
      <c r="A40" s="4" t="n">
        <v>36</v>
      </c>
      <c r="B40" s="4" t="inlineStr">
        <is>
          <t>TC-UT_LIB-025</t>
        </is>
      </c>
      <c r="C40" s="5" t="inlineStr">
        <is>
          <t>newUlid</t>
        </is>
      </c>
      <c r="D40" s="4" t="inlineStr">
        <is>
          <t>正常系</t>
        </is>
      </c>
      <c r="E40" s="4" t="inlineStr">
        <is>
          <t>境界値</t>
        </is>
      </c>
      <c r="F40" s="5" t="inlineStr">
        <is>
          <t>時刻 0 を渡すと、時刻の部分が 0000000000 の ULID になる</t>
        </is>
      </c>
      <c r="G40" s="5" t="inlineStr">
        <is>
          <t>前提：なし
入力：timeMs = 0</t>
        </is>
      </c>
      <c r="H40" s="5" t="inlineStr">
        <is>
          <t>先頭 10 字が 0000000000、decodeTime は 0、isUlid は true</t>
        </is>
      </c>
      <c r="I40" s="5" t="inlineStr"/>
      <c r="J40" s="5" t="inlineStr">
        <is>
          <t>なし</t>
        </is>
      </c>
      <c r="K40" s="5" t="inlineStr"/>
      <c r="L40" s="5" t="inlineStr"/>
      <c r="M40" s="5" t="inlineStr">
        <is>
          <t>TC-UT_LIB-025 時刻 0 を渡すと、時刻の部分が 0000000000 の ULID になる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TC-NOUS44_DEV-07（2026-10-20 だけ）</t>
        </is>
      </c>
    </row>
    <row r="41">
      <c r="A41" s="4" t="n">
        <v>37</v>
      </c>
      <c r="B41" s="4" t="inlineStr">
        <is>
          <t>TC-UT_LIB-026</t>
        </is>
      </c>
      <c r="C41" s="5" t="inlineStr">
        <is>
          <t>newUlid</t>
        </is>
      </c>
      <c r="D41" s="4" t="inlineStr">
        <is>
          <t>正常系</t>
        </is>
      </c>
      <c r="E41" s="4" t="inlineStr">
        <is>
          <t>依存</t>
        </is>
      </c>
      <c r="F41" s="5" t="inlineStr">
        <is>
          <t>同じ時刻を続けて渡しても、ちがう ULID になる（FakeClock で時刻が止まっているとき）</t>
        </is>
      </c>
      <c r="G41" s="5" t="inlineStr">
        <is>
          <t>前提：時刻が止まっている（FakeClock の使い方を想定）
入力：同じ timeMs で 100 回</t>
        </is>
      </c>
      <c r="H41" s="5" t="inlineStr">
        <is>
          <t>100 件すべてちがい、どれも時刻の部分は同じ</t>
        </is>
      </c>
      <c r="I41" s="5" t="inlineStr"/>
      <c r="J41" s="5" t="inlineStr">
        <is>
          <t>なし</t>
        </is>
      </c>
      <c r="K41" s="5" t="inlineStr"/>
      <c r="L41" s="5" t="inlineStr"/>
      <c r="M41" s="5" t="inlineStr">
        <is>
          <t>TC-UT_LIB-026 同じ時刻を続けて渡しても、ちがう ULID になる（FakeClock で時刻が止まっているとき）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既存テスト：一部 TC-NOUS44_DEV-06（時刻を渡さない 2 件だけ）</t>
        </is>
      </c>
    </row>
    <row r="42">
      <c r="A42" s="4" t="n">
        <v>38</v>
      </c>
      <c r="B42" s="4" t="inlineStr">
        <is>
          <t>TC-UT_LIB-027</t>
        </is>
      </c>
      <c r="C42" s="5" t="inlineStr">
        <is>
          <t>isUlid</t>
        </is>
      </c>
      <c r="D42" s="4" t="inlineStr">
        <is>
          <t>異常系</t>
        </is>
      </c>
      <c r="E42" s="4" t="inlineStr">
        <is>
          <t>同値分割</t>
        </is>
      </c>
      <c r="F42" s="5" t="inlineStr">
        <is>
          <t>Crockford の Base32 で使わない字を含めば ULID としない</t>
        </is>
      </c>
      <c r="G42" s="5" t="inlineStr">
        <is>
          <t>前提：なし
入力：26 字目が I・L・O・U</t>
        </is>
      </c>
      <c r="H42" s="5" t="inlineStr">
        <is>
          <t>どれも false</t>
        </is>
      </c>
      <c r="I42" s="5" t="inlineStr"/>
      <c r="J42" s="5" t="inlineStr">
        <is>
          <t>なし</t>
        </is>
      </c>
      <c r="K42" s="5" t="inlineStr"/>
      <c r="L42" s="5" t="inlineStr"/>
      <c r="M42" s="5" t="inlineStr">
        <is>
          <t>TC-UT_LIB-027 Crockford の Base32 で使わない字を含めば ULID としない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TC-NOUS44_DEV-08（I だけ）</t>
        </is>
      </c>
    </row>
    <row r="43">
      <c r="A43" s="4" t="n">
        <v>39</v>
      </c>
      <c r="B43" s="4" t="inlineStr">
        <is>
          <t>TC-UT_LIB-028</t>
        </is>
      </c>
      <c r="C43" s="5" t="inlineStr">
        <is>
          <t>isUlid</t>
        </is>
      </c>
      <c r="D43" s="4" t="inlineStr">
        <is>
          <t>異常系</t>
        </is>
      </c>
      <c r="E43" s="4" t="inlineStr">
        <is>
          <t>同値分割</t>
        </is>
      </c>
      <c r="F43" s="5" t="inlineStr">
        <is>
          <t>小文字の ULID は ULID としない（ID は大文字で採番する）</t>
        </is>
      </c>
      <c r="G43" s="5" t="inlineStr">
        <is>
          <t>前提：なし
入力：小文字の ULID</t>
        </is>
      </c>
      <c r="H43" s="5" t="inlineStr">
        <is>
          <t>false</t>
        </is>
      </c>
      <c r="I43" s="5" t="inlineStr"/>
      <c r="J43" s="5" t="inlineStr">
        <is>
          <t>なし</t>
        </is>
      </c>
      <c r="K43" s="5" t="inlineStr"/>
      <c r="L43" s="5" t="inlineStr"/>
      <c r="M43" s="5" t="inlineStr">
        <is>
          <t>TC-UT_LIB-028 小文字の ULID は ULID としない（ID は大文字で採番する）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
ID は newUlid の大文字だけを使う前提。小文字を受け付けるかは設計書に記載がなく、実装の値</t>
        </is>
      </c>
    </row>
    <row r="44">
      <c r="A44" s="4" t="n">
        <v>40</v>
      </c>
      <c r="B44" s="4" t="inlineStr">
        <is>
          <t>TC-NOUS44_DEV-13</t>
        </is>
      </c>
      <c r="C44" s="5" t="inlineStr">
        <is>
          <t>escapeLike</t>
        </is>
      </c>
      <c r="D44" s="4" t="inlineStr">
        <is>
          <t>正常系</t>
        </is>
      </c>
      <c r="E44" s="4" t="inlineStr">
        <is>
          <t>開発者テスト</t>
        </is>
      </c>
      <c r="F44" s="5" t="inlineStr">
        <is>
          <t>escapeLike が \\ と % と _ を逃がす</t>
        </is>
      </c>
      <c r="G44" s="5" t="inlineStr">
        <is>
          <t>前提：なし
入力：テストコードのとおり</t>
        </is>
      </c>
      <c r="H44" s="5" t="inlineStr">
        <is>
          <t>escapeLike が \\ と % と _ を逃がす</t>
        </is>
      </c>
      <c r="I44" s="5" t="inlineStr"/>
      <c r="J44" s="5" t="inlineStr">
        <is>
          <t>なし</t>
        </is>
      </c>
      <c r="K44" s="5" t="inlineStr"/>
      <c r="L44" s="5" t="inlineStr"/>
      <c r="M44" s="5" t="inlineStr">
        <is>
          <t>TC-NOUS44_DEV-13 escapeLike が \\ と % と _ を逃がす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既存テスト：実装時のテスト（NOUS-44）</t>
        </is>
      </c>
    </row>
    <row r="45">
      <c r="A45" s="4" t="n">
        <v>41</v>
      </c>
      <c r="B45" s="4" t="inlineStr">
        <is>
          <t>TC-NOUS44_DEV-14</t>
        </is>
      </c>
      <c r="C45" s="5" t="inlineStr">
        <is>
          <t>escapeLike</t>
        </is>
      </c>
      <c r="D45" s="4" t="inlineStr">
        <is>
          <t>正常系</t>
        </is>
      </c>
      <c r="E45" s="4" t="inlineStr">
        <is>
          <t>開発者テスト</t>
        </is>
      </c>
      <c r="F45" s="5" t="inlineStr">
        <is>
          <t>特殊文字のない文字列はそのまま返す</t>
        </is>
      </c>
      <c r="G45" s="5" t="inlineStr">
        <is>
          <t>前提：なし
入力：テストコードのとおり</t>
        </is>
      </c>
      <c r="H45" s="5" t="inlineStr">
        <is>
          <t>特殊文字のない文字列はそのまま返す</t>
        </is>
      </c>
      <c r="I45" s="5" t="inlineStr"/>
      <c r="J45" s="5" t="inlineStr">
        <is>
          <t>なし</t>
        </is>
      </c>
      <c r="K45" s="5" t="inlineStr"/>
      <c r="L45" s="5" t="inlineStr"/>
      <c r="M45" s="5" t="inlineStr">
        <is>
          <t>TC-NOUS44_DEV-14 特殊文字のない文字列はそのまま返す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既存テスト：実装時のテスト（NOUS-44）</t>
        </is>
      </c>
    </row>
    <row r="46">
      <c r="A46" s="4" t="n">
        <v>42</v>
      </c>
      <c r="B46" s="4" t="inlineStr">
        <is>
          <t>TC-NOUS44_DEV-15</t>
        </is>
      </c>
      <c r="C46" s="5" t="inlineStr">
        <is>
          <t>likeContains / LIKE_ESCAPE_CHAR</t>
        </is>
      </c>
      <c r="D46" s="4" t="inlineStr">
        <is>
          <t>正常系</t>
        </is>
      </c>
      <c r="E46" s="4" t="inlineStr">
        <is>
          <t>開発者テスト</t>
        </is>
      </c>
      <c r="F46" s="5" t="inlineStr">
        <is>
          <t>likeContains が部分一致のパターンを作り、ESCAPE の文字が \\ である</t>
        </is>
      </c>
      <c r="G46" s="5" t="inlineStr">
        <is>
          <t>前提：なし
入力：テストコードのとおり</t>
        </is>
      </c>
      <c r="H46" s="5" t="inlineStr">
        <is>
          <t>likeContains が部分一致のパターンを作り、ESCAPE の文字が \\ である</t>
        </is>
      </c>
      <c r="I46" s="5" t="inlineStr"/>
      <c r="J46" s="5" t="inlineStr">
        <is>
          <t>なし</t>
        </is>
      </c>
      <c r="K46" s="5" t="inlineStr"/>
      <c r="L46" s="5" t="inlineStr"/>
      <c r="M46" s="5" t="inlineStr">
        <is>
          <t>TC-NOUS44_DEV-15 likeContains が部分一致のパターンを作り、ESCAPE の文字が \\ である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既存テスト：実装時のテスト（NOUS-44）</t>
        </is>
      </c>
    </row>
    <row r="47">
      <c r="A47" s="4" t="n">
        <v>43</v>
      </c>
      <c r="B47" s="4" t="inlineStr">
        <is>
          <t>TC-UT_LIB-029</t>
        </is>
      </c>
      <c r="C47" s="5" t="inlineStr">
        <is>
          <t>escapeLike</t>
        </is>
      </c>
      <c r="D47" s="4" t="inlineStr">
        <is>
          <t>正常系</t>
        </is>
      </c>
      <c r="E47" s="4" t="inlineStr">
        <is>
          <t>同値分割</t>
        </is>
      </c>
      <c r="F47" s="5" t="inlineStr">
        <is>
          <t>特殊文字が続いても1字ずつ逃がす</t>
        </is>
      </c>
      <c r="G47" s="5" t="inlineStr">
        <is>
          <t>前提：なし
入力："%%__\\\\"（特殊文字が続く）</t>
        </is>
      </c>
      <c r="H47" s="5" t="inlineStr">
        <is>
          <t>"\\%\\%\\_\\_\\\\\\\\"（1 字ずつ前に \ を付ける）</t>
        </is>
      </c>
      <c r="I47" s="5" t="inlineStr"/>
      <c r="J47" s="5" t="inlineStr">
        <is>
          <t>なし</t>
        </is>
      </c>
      <c r="K47" s="5" t="inlineStr"/>
      <c r="L47" s="5" t="inlineStr"/>
      <c r="M47" s="5" t="inlineStr">
        <is>
          <t>TC-UT_LIB-029 特殊文字が続いても1字ずつ逃がす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TC-NOUS44_DEV-13（1 字ずつ離れているだけ）</t>
        </is>
      </c>
    </row>
    <row r="48">
      <c r="A48" s="4" t="n">
        <v>44</v>
      </c>
      <c r="B48" s="4" t="inlineStr">
        <is>
          <t>TC-UT_LIB-030</t>
        </is>
      </c>
      <c r="C48" s="5" t="inlineStr">
        <is>
          <t>likeContains</t>
        </is>
      </c>
      <c r="D48" s="4" t="inlineStr">
        <is>
          <t>正常系</t>
        </is>
      </c>
      <c r="E48" s="4" t="inlineStr">
        <is>
          <t>境界値</t>
        </is>
      </c>
      <c r="F48" s="5" t="inlineStr">
        <is>
          <t>空の文字列の likeContains は %% になる</t>
        </is>
      </c>
      <c r="G48" s="5" t="inlineStr">
        <is>
          <t>前提：なし
入力：""</t>
        </is>
      </c>
      <c r="H48" s="5" t="inlineStr">
        <is>
          <t>"%%"</t>
        </is>
      </c>
      <c r="I48" s="5" t="inlineStr"/>
      <c r="J48" s="5" t="inlineStr">
        <is>
          <t>なし</t>
        </is>
      </c>
      <c r="K48" s="5" t="inlineStr"/>
      <c r="L48" s="5" t="inlineStr"/>
      <c r="M48" s="5" t="inlineStr">
        <is>
          <t>TC-UT_LIB-030 空の文字列の likeContains は %% になる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
呼び出し側は q を 1 字以上に検証している（PostSearchQuerySchema）</t>
        </is>
      </c>
    </row>
    <row r="49">
      <c r="A49" s="4" t="n">
        <v>45</v>
      </c>
      <c r="B49" s="4" t="inlineStr">
        <is>
          <t>TC-UT_LIB-031</t>
        </is>
      </c>
      <c r="C49" s="5" t="inlineStr">
        <is>
          <t>likeContains + SQLite の LIKE ESCAPE</t>
        </is>
      </c>
      <c r="D49" s="4" t="inlineStr">
        <is>
          <t>正常系</t>
        </is>
      </c>
      <c r="E49" s="4" t="inlineStr">
        <is>
          <t>依存</t>
        </is>
      </c>
      <c r="F49" s="5" t="inlineStr">
        <is>
          <t>likeContains の値を ESCAPE '\\' で使うと特殊文字を字のまま探す</t>
        </is>
      </c>
      <c r="G49" s="5" t="inlineStr">
        <is>
          <t>前提：一時 DB
入力：% ・ _ ・ \ を含む検索語と、字のまま含む／含まない本文</t>
        </is>
      </c>
      <c r="H49" s="5" t="inlineStr">
        <is>
          <t>字のまま含む本文だけが一致する</t>
        </is>
      </c>
      <c r="I49" s="5" t="inlineStr"/>
      <c r="J49" s="5" t="inlineStr">
        <is>
          <t>一時 DB（createTestDb）</t>
        </is>
      </c>
      <c r="K49" s="5" t="inlineStr"/>
      <c r="L49" s="5" t="inlineStr"/>
      <c r="M49" s="5" t="inlineStr">
        <is>
          <t>TC-UT_LIB-031 likeContains の値を ESCAPE '\\' で使うと特殊文字を字のまま探す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既存テスト：なし（DEV は文字列の変換だけで、SQLite で一致を見ていない）</t>
        </is>
      </c>
    </row>
    <row r="50">
      <c r="A50" s="4" t="n">
        <v>46</v>
      </c>
      <c r="B50" s="4" t="inlineStr">
        <is>
          <t>TC-NOUS44_DEV-09</t>
        </is>
      </c>
      <c r="C50" s="5" t="inlineStr">
        <is>
          <t>randomToken</t>
        </is>
      </c>
      <c r="D50" s="4" t="inlineStr">
        <is>
          <t>正常系</t>
        </is>
      </c>
      <c r="E50" s="4" t="inlineStr">
        <is>
          <t>開発者テスト</t>
        </is>
      </c>
      <c r="F50" s="5" t="inlineStr">
        <is>
          <t>randomToken(32) が 43 字の Base64URL を返す</t>
        </is>
      </c>
      <c r="G50" s="5" t="inlineStr">
        <is>
          <t>前提：なし
入力：テストコードのとおり</t>
        </is>
      </c>
      <c r="H50" s="5" t="inlineStr">
        <is>
          <t>randomToken(32) が 43 字の Base64URL を返す</t>
        </is>
      </c>
      <c r="I50" s="5" t="inlineStr">
        <is>
          <t>B13-F</t>
        </is>
      </c>
      <c r="J50" s="5" t="inlineStr">
        <is>
          <t>なし</t>
        </is>
      </c>
      <c r="K50" s="5" t="inlineStr"/>
      <c r="L50" s="5" t="inlineStr"/>
      <c r="M50" s="5" t="inlineStr">
        <is>
          <t>TC-NOUS44_DEV-09 randomToken(32) が 43 字の Base64URL を返す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既存テスト：実装時のテスト（NOUS-44）</t>
        </is>
      </c>
    </row>
    <row r="51">
      <c r="A51" s="4" t="n">
        <v>47</v>
      </c>
      <c r="B51" s="4" t="inlineStr">
        <is>
          <t>TC-NOUS44_DEV-10</t>
        </is>
      </c>
      <c r="C51" s="5" t="inlineStr">
        <is>
          <t>randomToken</t>
        </is>
      </c>
      <c r="D51" s="4" t="inlineStr">
        <is>
          <t>異常系</t>
        </is>
      </c>
      <c r="E51" s="4" t="inlineStr">
        <is>
          <t>開発者テスト</t>
        </is>
      </c>
      <c r="F51" s="5" t="inlineStr">
        <is>
          <t>randomToken が 1 未満・整数でない bytes を拒む</t>
        </is>
      </c>
      <c r="G51" s="5" t="inlineStr">
        <is>
          <t>前提：なし
入力：テストコードのとおり</t>
        </is>
      </c>
      <c r="H51" s="5" t="inlineStr">
        <is>
          <t>randomToken が 1 未満・整数でない bytes を拒む</t>
        </is>
      </c>
      <c r="I51" s="5" t="inlineStr">
        <is>
          <t>B13-T</t>
        </is>
      </c>
      <c r="J51" s="5" t="inlineStr">
        <is>
          <t>なし</t>
        </is>
      </c>
      <c r="K51" s="5" t="inlineStr"/>
      <c r="L51" s="5" t="inlineStr"/>
      <c r="M51" s="5" t="inlineStr">
        <is>
          <t>TC-NOUS44_DEV-10 randomToken が 1 未満・整数でない bytes を拒む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既存テスト：実装時のテスト（NOUS-44）</t>
        </is>
      </c>
    </row>
    <row r="52">
      <c r="A52" s="4" t="n">
        <v>48</v>
      </c>
      <c r="B52" s="4" t="inlineStr">
        <is>
          <t>TC-NOUS44_DEV-11</t>
        </is>
      </c>
      <c r="C52" s="5" t="inlineStr">
        <is>
          <t>sha256Hex</t>
        </is>
      </c>
      <c r="D52" s="4" t="inlineStr">
        <is>
          <t>正常系</t>
        </is>
      </c>
      <c r="E52" s="4" t="inlineStr">
        <is>
          <t>開発者テスト</t>
        </is>
      </c>
      <c r="F52" s="5" t="inlineStr">
        <is>
          <t>sha256Hex が 64 字の 16 進を返す</t>
        </is>
      </c>
      <c r="G52" s="5" t="inlineStr">
        <is>
          <t>前提：なし
入力：テストコードのとおり</t>
        </is>
      </c>
      <c r="H52" s="5" t="inlineStr">
        <is>
          <t>sha256Hex が 64 字の 16 進を返す</t>
        </is>
      </c>
      <c r="I52" s="5" t="inlineStr"/>
      <c r="J52" s="5" t="inlineStr">
        <is>
          <t>なし</t>
        </is>
      </c>
      <c r="K52" s="5" t="inlineStr"/>
      <c r="L52" s="5" t="inlineStr"/>
      <c r="M52" s="5" t="inlineStr">
        <is>
          <t>TC-NOUS44_DEV-11 sha256Hex が 64 字の 16 進を返す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既存テスト：実装時のテスト（NOUS-44）</t>
        </is>
      </c>
    </row>
    <row r="53">
      <c r="A53" s="4" t="n">
        <v>49</v>
      </c>
      <c r="B53" s="4" t="inlineStr">
        <is>
          <t>TC-NOUS44_DEV-12</t>
        </is>
      </c>
      <c r="C53" s="5" t="inlineStr">
        <is>
          <t>safeEqual</t>
        </is>
      </c>
      <c r="D53" s="4" t="inlineStr">
        <is>
          <t>正常系</t>
        </is>
      </c>
      <c r="E53" s="4" t="inlineStr">
        <is>
          <t>開発者テスト</t>
        </is>
      </c>
      <c r="F53" s="5" t="inlineStr">
        <is>
          <t>safeEqual が一致・不一致・長さ違いを判定する</t>
        </is>
      </c>
      <c r="G53" s="5" t="inlineStr">
        <is>
          <t>前提：なし
入力：テストコードのとおり</t>
        </is>
      </c>
      <c r="H53" s="5" t="inlineStr">
        <is>
          <t>safeEqual が一致・不一致・長さ違いを判定する</t>
        </is>
      </c>
      <c r="I53" s="5" t="inlineStr">
        <is>
          <t>B14-T, B14-F</t>
        </is>
      </c>
      <c r="J53" s="5" t="inlineStr">
        <is>
          <t>なし</t>
        </is>
      </c>
      <c r="K53" s="5" t="inlineStr"/>
      <c r="L53" s="5" t="inlineStr"/>
      <c r="M53" s="5" t="inlineStr">
        <is>
          <t>TC-NOUS44_DEV-12 safeEqual が一致・不一致・長さ違いを判定する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既存テスト：実装時のテスト（NOUS-44）</t>
        </is>
      </c>
    </row>
    <row r="54">
      <c r="A54" s="4" t="n">
        <v>50</v>
      </c>
      <c r="B54" s="4" t="inlineStr">
        <is>
          <t>TC-UT_LIB-032</t>
        </is>
      </c>
      <c r="C54" s="5" t="inlineStr">
        <is>
          <t>randomToken</t>
        </is>
      </c>
      <c r="D54" s="4" t="inlineStr">
        <is>
          <t>正常系</t>
        </is>
      </c>
      <c r="E54" s="4" t="inlineStr">
        <is>
          <t>境界値</t>
        </is>
      </c>
      <c r="F54" s="5" t="inlineStr">
        <is>
          <t>randomToken は bytes に応じた長さの Base64URL をパディングなしで返す</t>
        </is>
      </c>
      <c r="G54" s="5" t="inlineStr">
        <is>
          <t>前提：なし
入力：bytes = 1、33</t>
        </is>
      </c>
      <c r="H54" s="5" t="inlineStr">
        <is>
          <t>2 字、44 字の Base64URL（= を付けない）</t>
        </is>
      </c>
      <c r="I54" s="5" t="inlineStr">
        <is>
          <t>B13-F</t>
        </is>
      </c>
      <c r="J54" s="5" t="inlineStr">
        <is>
          <t>なし</t>
        </is>
      </c>
      <c r="K54" s="5" t="inlineStr"/>
      <c r="L54" s="5" t="inlineStr"/>
      <c r="M54" s="5" t="inlineStr">
        <is>
          <t>TC-UT_LIB-032 randomToken は bytes に応じた長さの Base64URL をパディングなしで返す</t>
        </is>
      </c>
      <c r="N54" s="6" t="inlineStr">
        <is>
          <t>未実施</t>
        </is>
      </c>
      <c r="O54" s="6" t="inlineStr"/>
      <c r="P54" s="6" t="inlineStr"/>
      <c r="Q54" s="7" t="inlineStr">
        <is>
          <t>既存テスト：一部 TC-NOUS44_DEV-09（32 バイトだけ）</t>
        </is>
      </c>
    </row>
    <row r="55">
      <c r="A55" s="4" t="n">
        <v>51</v>
      </c>
      <c r="B55" s="4" t="inlineStr">
        <is>
          <t>TC-UT_LIB-033</t>
        </is>
      </c>
      <c r="C55" s="5" t="inlineStr">
        <is>
          <t>randomToken</t>
        </is>
      </c>
      <c r="D55" s="4" t="inlineStr">
        <is>
          <t>異常系</t>
        </is>
      </c>
      <c r="E55" s="4" t="inlineStr">
        <is>
          <t>同値分割</t>
        </is>
      </c>
      <c r="F55" s="5" t="inlineStr">
        <is>
          <t>randomToken は負の数・NaN・無限大・数値でない値を RangeError にする</t>
        </is>
      </c>
      <c r="G55" s="5" t="inlineStr">
        <is>
          <t>前提：なし
入力：bytes = -1、NaN、Infinity、文字列 "32"</t>
        </is>
      </c>
      <c r="H55" s="5" t="inlineStr">
        <is>
          <t>どれも RangeError</t>
        </is>
      </c>
      <c r="I55" s="5" t="inlineStr">
        <is>
          <t>B13-T</t>
        </is>
      </c>
      <c r="J55" s="5" t="inlineStr">
        <is>
          <t>なし</t>
        </is>
      </c>
      <c r="K55" s="5" t="inlineStr"/>
      <c r="L55" s="5" t="inlineStr"/>
      <c r="M55" s="5" t="inlineStr">
        <is>
          <t>TC-UT_LIB-033 randomToken は負の数・NaN・無限大・数値でない値を RangeError にする</t>
        </is>
      </c>
      <c r="N55" s="6" t="inlineStr">
        <is>
          <t>未実施</t>
        </is>
      </c>
      <c r="O55" s="6" t="inlineStr"/>
      <c r="P55" s="6" t="inlineStr"/>
      <c r="Q55" s="7" t="inlineStr">
        <is>
          <t>既存テスト：一部 TC-NOUS44_DEV-10（0 と 1.5 だけ）</t>
        </is>
      </c>
    </row>
    <row r="56">
      <c r="A56" s="4" t="n">
        <v>52</v>
      </c>
      <c r="B56" s="4" t="inlineStr">
        <is>
          <t>TC-UT_LIB-034</t>
        </is>
      </c>
      <c r="C56" s="5" t="inlineStr">
        <is>
          <t>sha256Hex</t>
        </is>
      </c>
      <c r="D56" s="4" t="inlineStr">
        <is>
          <t>正常系</t>
        </is>
      </c>
      <c r="E56" s="4" t="inlineStr">
        <is>
          <t>同値分割</t>
        </is>
      </c>
      <c r="F56" s="5" t="inlineStr">
        <is>
          <t>sha256Hex は文字列を UTF-8 として計算する</t>
        </is>
      </c>
      <c r="G56" s="5" t="inlineStr">
        <is>
          <t>前提：なし
入力："あ"（UTF-8 で 3 バイト）</t>
        </is>
      </c>
      <c r="H56" s="5" t="inlineStr">
        <is>
          <t>dc5a4d3d…494d（UTF-8 のバイト列の SHA-256）</t>
        </is>
      </c>
      <c r="I56" s="5" t="inlineStr"/>
      <c r="J56" s="5" t="inlineStr">
        <is>
          <t>なし</t>
        </is>
      </c>
      <c r="K56" s="5" t="inlineStr"/>
      <c r="L56" s="5" t="inlineStr"/>
      <c r="M56" s="5" t="inlineStr">
        <is>
          <t>TC-UT_LIB-034 sha256Hex は文字列を UTF-8 として計算する</t>
        </is>
      </c>
      <c r="N56" s="6" t="inlineStr">
        <is>
          <t>未実施</t>
        </is>
      </c>
      <c r="O56" s="6" t="inlineStr"/>
      <c r="P56" s="6" t="inlineStr"/>
      <c r="Q56" s="7" t="inlineStr">
        <is>
          <t>既存テスト：一部 TC-NOUS44_DEV-11（ASCII だけ）</t>
        </is>
      </c>
    </row>
    <row r="57">
      <c r="A57" s="4" t="n">
        <v>53</v>
      </c>
      <c r="B57" s="4" t="inlineStr">
        <is>
          <t>TC-UT_LIB-035</t>
        </is>
      </c>
      <c r="C57" s="5" t="inlineStr">
        <is>
          <t>safeEqual</t>
        </is>
      </c>
      <c r="D57" s="4" t="inlineStr">
        <is>
          <t>正常系</t>
        </is>
      </c>
      <c r="E57" s="4" t="inlineStr">
        <is>
          <t>境界値</t>
        </is>
      </c>
      <c r="F57" s="5" t="inlineStr">
        <is>
          <t>safeEqual は空の文字列どうしを一致とする</t>
        </is>
      </c>
      <c r="G57" s="5" t="inlineStr">
        <is>
          <t>前提：なし
入力："" と ""</t>
        </is>
      </c>
      <c r="H57" s="5" t="inlineStr">
        <is>
          <t>true</t>
        </is>
      </c>
      <c r="I57" s="5" t="inlineStr">
        <is>
          <t>B14-F</t>
        </is>
      </c>
      <c r="J57" s="5" t="inlineStr">
        <is>
          <t>なし</t>
        </is>
      </c>
      <c r="K57" s="5" t="inlineStr"/>
      <c r="L57" s="5" t="inlineStr"/>
      <c r="M57" s="5" t="inlineStr">
        <is>
          <t>TC-UT_LIB-035 safeEqual は空の文字列どうしを一致とする</t>
        </is>
      </c>
      <c r="N57" s="6" t="inlineStr">
        <is>
          <t>未実施</t>
        </is>
      </c>
      <c r="O57" s="6" t="inlineStr"/>
      <c r="P57" s="6" t="inlineStr"/>
      <c r="Q57" s="7" t="inlineStr">
        <is>
          <t>既存テスト：なし</t>
        </is>
      </c>
    </row>
    <row r="58">
      <c r="A58" s="4" t="n">
        <v>54</v>
      </c>
      <c r="B58" s="4" t="inlineStr">
        <is>
          <t>TC-UT_LIB-036</t>
        </is>
      </c>
      <c r="C58" s="5" t="inlineStr">
        <is>
          <t>safeEqual</t>
        </is>
      </c>
      <c r="D58" s="4" t="inlineStr">
        <is>
          <t>異常系</t>
        </is>
      </c>
      <c r="E58" s="4" t="inlineStr">
        <is>
          <t>境界値</t>
        </is>
      </c>
      <c r="F58" s="5" t="inlineStr">
        <is>
          <t>safeEqual は字数が同じでもバイト数が違えば、例外にせず不一致とする</t>
        </is>
      </c>
      <c r="G58" s="5" t="inlineStr">
        <is>
          <t>前提：なし
入力："あ" と "a"（字数は同じ、バイト数は 3 と 1）</t>
        </is>
      </c>
      <c r="H58" s="5" t="inlineStr">
        <is>
          <t>例外にならず false</t>
        </is>
      </c>
      <c r="I58" s="5" t="inlineStr">
        <is>
          <t>B14-T</t>
        </is>
      </c>
      <c r="J58" s="5" t="inlineStr">
        <is>
          <t>なし</t>
        </is>
      </c>
      <c r="K58" s="5" t="inlineStr"/>
      <c r="L58" s="5" t="inlineStr"/>
      <c r="M58" s="5" t="inlineStr">
        <is>
          <t>TC-UT_LIB-036 safeEqual は字数が同じでもバイト数が違えば、例外にせず不一致とする</t>
        </is>
      </c>
      <c r="N58" s="6" t="inlineStr">
        <is>
          <t>未実施</t>
        </is>
      </c>
      <c r="O58" s="6" t="inlineStr"/>
      <c r="P58" s="6" t="inlineStr"/>
      <c r="Q58" s="7" t="inlineStr">
        <is>
          <t>既存テスト：一部 TC-NOUS44_DEV-12（字数も違うときだけ）</t>
        </is>
      </c>
    </row>
    <row r="59">
      <c r="A59" s="4" t="n">
        <v>55</v>
      </c>
      <c r="B59" s="4" t="inlineStr">
        <is>
          <t>TC-UT_LIB-037</t>
        </is>
      </c>
      <c r="C59" s="5" t="inlineStr">
        <is>
          <t>safeEqual</t>
        </is>
      </c>
      <c r="D59" s="4" t="inlineStr">
        <is>
          <t>異常系</t>
        </is>
      </c>
      <c r="E59" s="4" t="inlineStr">
        <is>
          <t>同値分割</t>
        </is>
      </c>
      <c r="F59" s="5" t="inlineStr">
        <is>
          <t>safeEqual はバイト数が同じで中身が違えば不一致とする</t>
        </is>
      </c>
      <c r="G59" s="5" t="inlineStr">
        <is>
          <t>前提：なし
入力："あ" と "abc"（どちらも 3 バイト）</t>
        </is>
      </c>
      <c r="H59" s="5" t="inlineStr">
        <is>
          <t>false</t>
        </is>
      </c>
      <c r="I59" s="5" t="inlineStr">
        <is>
          <t>B14-F</t>
        </is>
      </c>
      <c r="J59" s="5" t="inlineStr">
        <is>
          <t>なし</t>
        </is>
      </c>
      <c r="K59" s="5" t="inlineStr"/>
      <c r="L59" s="5" t="inlineStr"/>
      <c r="M59" s="5" t="inlineStr">
        <is>
          <t>TC-UT_LIB-037 safeEqual はバイト数が同じで中身が違えば不一致とする</t>
        </is>
      </c>
      <c r="N59" s="6" t="inlineStr">
        <is>
          <t>未実施</t>
        </is>
      </c>
      <c r="O59" s="6" t="inlineStr"/>
      <c r="P59" s="6" t="inlineStr"/>
      <c r="Q59" s="7" t="inlineStr">
        <is>
          <t>既存テスト：なし</t>
        </is>
      </c>
    </row>
    <row r="60">
      <c r="A60" s="4" t="n">
        <v>56</v>
      </c>
      <c r="B60" s="4" t="inlineStr">
        <is>
          <t>TC-NOUS44_DEV-16</t>
        </is>
      </c>
      <c r="C60" s="5" t="inlineStr">
        <is>
          <t>redactSecrets</t>
        </is>
      </c>
      <c r="D60" s="4" t="inlineStr">
        <is>
          <t>正常系</t>
        </is>
      </c>
      <c r="E60" s="4" t="inlineStr">
        <is>
          <t>開発者テスト</t>
        </is>
      </c>
      <c r="F60" s="5" t="inlineStr">
        <is>
          <t>redactSecrets が設計書の秘密のキーと Cookie を伏せる</t>
        </is>
      </c>
      <c r="G60" s="5" t="inlineStr">
        <is>
          <t>前提：なし
入力：テストコードのとおり</t>
        </is>
      </c>
      <c r="H60" s="5" t="inlineStr">
        <is>
          <t>redactSecrets が設計書の秘密のキーと Cookie を伏せる</t>
        </is>
      </c>
      <c r="I60" s="5" t="inlineStr">
        <is>
          <t>B15-T, B19-F, B20-T, B20-F</t>
        </is>
      </c>
      <c r="J60" s="5" t="inlineStr">
        <is>
          <t>なし</t>
        </is>
      </c>
      <c r="K60" s="5" t="inlineStr"/>
      <c r="L60" s="5" t="inlineStr"/>
      <c r="M60" s="5" t="inlineStr">
        <is>
          <t>TC-NOUS44_DEV-16 redactSecrets が設計書の秘密のキーと Cookie を伏せる</t>
        </is>
      </c>
      <c r="N60" s="6" t="inlineStr">
        <is>
          <t>未実施</t>
        </is>
      </c>
      <c r="O60" s="6" t="inlineStr"/>
      <c r="P60" s="6" t="inlineStr"/>
      <c r="Q60" s="7" t="inlineStr">
        <is>
          <t>既存テスト：実装時のテスト（NOUS-44）</t>
        </is>
      </c>
    </row>
    <row r="61">
      <c r="A61" s="4" t="n">
        <v>57</v>
      </c>
      <c r="B61" s="4" t="inlineStr">
        <is>
          <t>TC-NOUS44_DEV-17</t>
        </is>
      </c>
      <c r="C61" s="5" t="inlineStr">
        <is>
          <t>isSecretKey</t>
        </is>
      </c>
      <c r="D61" s="4" t="inlineStr">
        <is>
          <t>正常系</t>
        </is>
      </c>
      <c r="E61" s="4" t="inlineStr">
        <is>
          <t>開発者テスト</t>
        </is>
      </c>
      <c r="F61" s="5" t="inlineStr">
        <is>
          <t>大文字小文字・区切りの違いと、token・password で終わるキーも伏せる</t>
        </is>
      </c>
      <c r="G61" s="5" t="inlineStr">
        <is>
          <t>前提：なし
入力：テストコードのとおり</t>
        </is>
      </c>
      <c r="H61" s="5" t="inlineStr">
        <is>
          <t>大文字小文字・区切りの違いと、token・password で終わるキーも伏せる</t>
        </is>
      </c>
      <c r="I61" s="5" t="inlineStr"/>
      <c r="J61" s="5" t="inlineStr">
        <is>
          <t>なし</t>
        </is>
      </c>
      <c r="K61" s="5" t="inlineStr"/>
      <c r="L61" s="5" t="inlineStr"/>
      <c r="M61" s="5" t="inlineStr">
        <is>
          <t>TC-NOUS44_DEV-17 大文字小文字・区切りの違いと、token・password で終わるキーも伏せる</t>
        </is>
      </c>
      <c r="N61" s="6" t="inlineStr">
        <is>
          <t>未実施</t>
        </is>
      </c>
      <c r="O61" s="6" t="inlineStr"/>
      <c r="P61" s="6" t="inlineStr"/>
      <c r="Q61" s="7" t="inlineStr">
        <is>
          <t>既存テスト：実装時のテスト（NOUS-44）</t>
        </is>
      </c>
    </row>
    <row r="62">
      <c r="A62" s="4" t="n">
        <v>58</v>
      </c>
      <c r="B62" s="4" t="inlineStr">
        <is>
          <t>TC-NOUS44_DEV-18</t>
        </is>
      </c>
      <c r="C62" s="5" t="inlineStr">
        <is>
          <t>redactSecrets</t>
        </is>
      </c>
      <c r="D62" s="4" t="inlineStr">
        <is>
          <t>正常系</t>
        </is>
      </c>
      <c r="E62" s="4" t="inlineStr">
        <is>
          <t>開発者テスト</t>
        </is>
      </c>
      <c r="F62" s="5" t="inlineStr">
        <is>
          <t>入れ子のオブジェクト・配列の中も伏せ、元の値は変えない</t>
        </is>
      </c>
      <c r="G62" s="5" t="inlineStr">
        <is>
          <t>前提：なし
入力：テストコードのとおり</t>
        </is>
      </c>
      <c r="H62" s="5" t="inlineStr">
        <is>
          <t>入れ子のオブジェクト・配列の中も伏せ、元の値は変えない</t>
        </is>
      </c>
      <c r="I62" s="5" t="inlineStr">
        <is>
          <t>B15-F, B17-F, B18-T, B18-F, B20-T</t>
        </is>
      </c>
      <c r="J62" s="5" t="inlineStr">
        <is>
          <t>なし</t>
        </is>
      </c>
      <c r="K62" s="5" t="inlineStr"/>
      <c r="L62" s="5" t="inlineStr"/>
      <c r="M62" s="5" t="inlineStr">
        <is>
          <t>TC-NOUS44_DEV-18 入れ子のオブジェクト・配列の中も伏せ、元の値は変えない</t>
        </is>
      </c>
      <c r="N62" s="6" t="inlineStr">
        <is>
          <t>未実施</t>
        </is>
      </c>
      <c r="O62" s="6" t="inlineStr"/>
      <c r="P62" s="6" t="inlineStr"/>
      <c r="Q62" s="7" t="inlineStr">
        <is>
          <t>既存テスト：実装時のテスト（NOUS-44）</t>
        </is>
      </c>
    </row>
    <row r="63">
      <c r="A63" s="4" t="n">
        <v>59</v>
      </c>
      <c r="B63" s="4" t="inlineStr">
        <is>
          <t>TC-NOUS44_DEV-19</t>
        </is>
      </c>
      <c r="C63" s="5" t="inlineStr">
        <is>
          <t>redactSecrets</t>
        </is>
      </c>
      <c r="D63" s="4" t="inlineStr">
        <is>
          <t>正常系</t>
        </is>
      </c>
      <c r="E63" s="4" t="inlineStr">
        <is>
          <t>開発者テスト</t>
        </is>
      </c>
      <c r="F63" s="5" t="inlineStr">
        <is>
          <t>循環する参照で止まらず、同じ値を2か所で指すだけなら両方出す</t>
        </is>
      </c>
      <c r="G63" s="5" t="inlineStr">
        <is>
          <t>前提：なし
入力：テストコードのとおり</t>
        </is>
      </c>
      <c r="H63" s="5" t="inlineStr">
        <is>
          <t>循環する参照で止まらず、同じ値を2か所で指すだけなら両方出す</t>
        </is>
      </c>
      <c r="I63" s="5" t="inlineStr">
        <is>
          <t>B16-T, B16-F</t>
        </is>
      </c>
      <c r="J63" s="5" t="inlineStr">
        <is>
          <t>なし</t>
        </is>
      </c>
      <c r="K63" s="5" t="inlineStr"/>
      <c r="L63" s="5" t="inlineStr"/>
      <c r="M63" s="5" t="inlineStr">
        <is>
          <t>TC-NOUS44_DEV-19 循環する参照で止まらず、同じ値を2か所で指すだけなら両方出す</t>
        </is>
      </c>
      <c r="N63" s="6" t="inlineStr">
        <is>
          <t>未実施</t>
        </is>
      </c>
      <c r="O63" s="6" t="inlineStr"/>
      <c r="P63" s="6" t="inlineStr"/>
      <c r="Q63" s="7" t="inlineStr">
        <is>
          <t>既存テスト：実装時のテスト（NOUS-44）</t>
        </is>
      </c>
    </row>
    <row r="64">
      <c r="A64" s="4" t="n">
        <v>60</v>
      </c>
      <c r="B64" s="4" t="inlineStr">
        <is>
          <t>TC-NOUS44_DEV-20</t>
        </is>
      </c>
      <c r="C64" s="5" t="inlineStr">
        <is>
          <t>createLogger</t>
        </is>
      </c>
      <c r="D64" s="4" t="inlineStr">
        <is>
          <t>正常系</t>
        </is>
      </c>
      <c r="E64" s="4" t="inlineStr">
        <is>
          <t>開発者テスト</t>
        </is>
      </c>
      <c r="F64" s="5" t="inlineStr">
        <is>
          <t>1行の JSON に時刻・水準・メッセージ・項目を出し、秘密を伏せる</t>
        </is>
      </c>
      <c r="G64" s="5" t="inlineStr">
        <is>
          <t>前提：なし
入力：テストコードのとおり</t>
        </is>
      </c>
      <c r="H64" s="5" t="inlineStr">
        <is>
          <t>1行の JSON に時刻・水準・メッセージ・項目を出し、秘密を伏せる</t>
        </is>
      </c>
      <c r="I64" s="5" t="inlineStr">
        <is>
          <t>B21-F, B22-F, B23-F</t>
        </is>
      </c>
      <c r="J64" s="5" t="inlineStr">
        <is>
          <t>なし</t>
        </is>
      </c>
      <c r="K64" s="5" t="inlineStr"/>
      <c r="L64" s="5" t="inlineStr"/>
      <c r="M64" s="5" t="inlineStr">
        <is>
          <t>TC-NOUS44_DEV-20 1行の JSON に時刻・水準・メッセージ・項目を出し、秘密を伏せる</t>
        </is>
      </c>
      <c r="N64" s="6" t="inlineStr">
        <is>
          <t>未実施</t>
        </is>
      </c>
      <c r="O64" s="6" t="inlineStr"/>
      <c r="P64" s="6" t="inlineStr"/>
      <c r="Q64" s="7" t="inlineStr">
        <is>
          <t>既存テスト：実装時のテスト（NOUS-44）</t>
        </is>
      </c>
    </row>
    <row r="65">
      <c r="A65" s="4" t="n">
        <v>61</v>
      </c>
      <c r="B65" s="4" t="inlineStr">
        <is>
          <t>TC-NOUS44_DEV-21</t>
        </is>
      </c>
      <c r="C65" s="5" t="inlineStr">
        <is>
          <t>createLogger</t>
        </is>
      </c>
      <c r="D65" s="4" t="inlineStr">
        <is>
          <t>正常系</t>
        </is>
      </c>
      <c r="E65" s="4" t="inlineStr">
        <is>
          <t>開発者テスト</t>
        </is>
      </c>
      <c r="F65" s="5" t="inlineStr">
        <is>
          <t>設定した水準より下のログは出さない</t>
        </is>
      </c>
      <c r="G65" s="5" t="inlineStr">
        <is>
          <t>前提：なし
入力：テストコードのとおり</t>
        </is>
      </c>
      <c r="H65" s="5" t="inlineStr">
        <is>
          <t>設定した水準より下のログは出さない</t>
        </is>
      </c>
      <c r="I65" s="5" t="inlineStr">
        <is>
          <t>B21-T, B21-F</t>
        </is>
      </c>
      <c r="J65" s="5" t="inlineStr">
        <is>
          <t>なし</t>
        </is>
      </c>
      <c r="K65" s="5" t="inlineStr"/>
      <c r="L65" s="5" t="inlineStr"/>
      <c r="M65" s="5" t="inlineStr">
        <is>
          <t>TC-NOUS44_DEV-21 設定した水準より下のログは出さない</t>
        </is>
      </c>
      <c r="N65" s="6" t="inlineStr">
        <is>
          <t>未実施</t>
        </is>
      </c>
      <c r="O65" s="6" t="inlineStr"/>
      <c r="P65" s="6" t="inlineStr"/>
      <c r="Q65" s="7" t="inlineStr">
        <is>
          <t>既存テスト：実装時のテスト（NOUS-44）</t>
        </is>
      </c>
    </row>
    <row r="66">
      <c r="A66" s="4" t="n">
        <v>62</v>
      </c>
      <c r="B66" s="4" t="inlineStr">
        <is>
          <t>TC-NOUS44_DEV-22</t>
        </is>
      </c>
      <c r="C66" s="5" t="inlineStr">
        <is>
          <t>createLogger.child / redactSecrets</t>
        </is>
      </c>
      <c r="D66" s="4" t="inlineStr">
        <is>
          <t>正常系</t>
        </is>
      </c>
      <c r="E66" s="4" t="inlineStr">
        <is>
          <t>開発者テスト</t>
        </is>
      </c>
      <c r="F66" s="5" t="inlineStr">
        <is>
          <t>Error をスタック付きで出し、child の項目を毎行に付ける</t>
        </is>
      </c>
      <c r="G66" s="5" t="inlineStr">
        <is>
          <t>前提：なし
入力：テストコードのとおり</t>
        </is>
      </c>
      <c r="H66" s="5" t="inlineStr">
        <is>
          <t>Error をスタック付きで出し、child の項目を毎行に付ける</t>
        </is>
      </c>
      <c r="I66" s="5" t="inlineStr">
        <is>
          <t>B19-T</t>
        </is>
      </c>
      <c r="J66" s="5" t="inlineStr">
        <is>
          <t>なし</t>
        </is>
      </c>
      <c r="K66" s="5" t="inlineStr"/>
      <c r="L66" s="5" t="inlineStr"/>
      <c r="M66" s="5" t="inlineStr">
        <is>
          <t>TC-NOUS44_DEV-22 Error をスタック付きで出し、child の項目を毎行に付ける</t>
        </is>
      </c>
      <c r="N66" s="6" t="inlineStr">
        <is>
          <t>未実施</t>
        </is>
      </c>
      <c r="O66" s="6" t="inlineStr"/>
      <c r="P66" s="6" t="inlineStr"/>
      <c r="Q66" s="7" t="inlineStr">
        <is>
          <t>既存テスト：実装時のテスト（NOUS-44）</t>
        </is>
      </c>
    </row>
    <row r="67">
      <c r="A67" s="4" t="n">
        <v>63</v>
      </c>
      <c r="B67" s="4" t="inlineStr">
        <is>
          <t>TC-UT_LIB-038</t>
        </is>
      </c>
      <c r="C67" s="5" t="inlineStr">
        <is>
          <t>redactSecrets</t>
        </is>
      </c>
      <c r="D67" s="4" t="inlineStr">
        <is>
          <t>正常系</t>
        </is>
      </c>
      <c r="E67" s="4" t="inlineStr">
        <is>
          <t>分岐網羅</t>
        </is>
      </c>
      <c r="F67" s="5" t="inlineStr">
        <is>
          <t>redactSecrets は null・数値・文字列・真偽値をそのまま返す</t>
        </is>
      </c>
      <c r="G67" s="5" t="inlineStr">
        <is>
          <t>前提：なし
入力：null、42、"token"、false</t>
        </is>
      </c>
      <c r="H67" s="5" t="inlineStr">
        <is>
          <t>そのまま返す</t>
        </is>
      </c>
      <c r="I67" s="5" t="inlineStr">
        <is>
          <t>B15-T</t>
        </is>
      </c>
      <c r="J67" s="5" t="inlineStr">
        <is>
          <t>なし</t>
        </is>
      </c>
      <c r="K67" s="5" t="inlineStr"/>
      <c r="L67" s="5" t="inlineStr"/>
      <c r="M67" s="5" t="inlineStr">
        <is>
          <t>TC-UT_LIB-038 redactSecrets は null・数値・文字列・真偽値をそのまま返す</t>
        </is>
      </c>
      <c r="N67" s="6" t="inlineStr">
        <is>
          <t>未実施</t>
        </is>
      </c>
      <c r="O67" s="6" t="inlineStr"/>
      <c r="P67" s="6" t="inlineStr"/>
      <c r="Q67" s="7" t="inlineStr">
        <is>
          <t>既存テスト：なし</t>
        </is>
      </c>
    </row>
    <row r="68">
      <c r="A68" s="4" t="n">
        <v>64</v>
      </c>
      <c r="B68" s="4" t="inlineStr">
        <is>
          <t>TC-UT_LIB-039</t>
        </is>
      </c>
      <c r="C68" s="5" t="inlineStr">
        <is>
          <t>redactSecrets</t>
        </is>
      </c>
      <c r="D68" s="4" t="inlineStr">
        <is>
          <t>正常系</t>
        </is>
      </c>
      <c r="E68" s="4" t="inlineStr">
        <is>
          <t>分岐網羅</t>
        </is>
      </c>
      <c r="F68" s="5" t="inlineStr">
        <is>
          <t>Date は ISO 8601 の文字列にする（いちばん外と入れ子の両方）</t>
        </is>
      </c>
      <c r="G68" s="5" t="inlineStr">
        <is>
          <t>前提：なし
入力：Date、{ at: Date }</t>
        </is>
      </c>
      <c r="H68" s="5" t="inlineStr">
        <is>
          <t>ISO 8601 の文字列</t>
        </is>
      </c>
      <c r="I68" s="5" t="inlineStr">
        <is>
          <t>B15-F, B17-T</t>
        </is>
      </c>
      <c r="J68" s="5" t="inlineStr">
        <is>
          <t>なし</t>
        </is>
      </c>
      <c r="K68" s="5" t="inlineStr"/>
      <c r="L68" s="5" t="inlineStr"/>
      <c r="M68" s="5" t="inlineStr">
        <is>
          <t>TC-UT_LIB-039 Date は ISO 8601 の文字列にする（いちばん外と入れ子の両方）</t>
        </is>
      </c>
      <c r="N68" s="6" t="inlineStr">
        <is>
          <t>未実施</t>
        </is>
      </c>
      <c r="O68" s="6" t="inlineStr"/>
      <c r="P68" s="6" t="inlineStr"/>
      <c r="Q68" s="7" t="inlineStr">
        <is>
          <t>既存テスト：なし</t>
        </is>
      </c>
    </row>
    <row r="69">
      <c r="A69" s="4" t="n">
        <v>65</v>
      </c>
      <c r="B69" s="4" t="inlineStr">
        <is>
          <t>TC-UT_LIB-040</t>
        </is>
      </c>
      <c r="C69" s="5" t="inlineStr">
        <is>
          <t>redactSecrets</t>
        </is>
      </c>
      <c r="D69" s="4" t="inlineStr">
        <is>
          <t>正常系</t>
        </is>
      </c>
      <c r="E69" s="4" t="inlineStr">
        <is>
          <t>分岐網羅</t>
        </is>
      </c>
      <c r="F69" s="5" t="inlineStr">
        <is>
          <t>秘密のキーの値がオブジェクトや配列でも、まるごと伏せる</t>
        </is>
      </c>
      <c r="G69" s="5" t="inlineStr">
        <is>
          <t>前提：なし
入力：password がオブジェクト、token が配列</t>
        </is>
      </c>
      <c r="H69" s="5" t="inlineStr">
        <is>
          <t>どちらも *** にまるごと置き換える</t>
        </is>
      </c>
      <c r="I69" s="5" t="inlineStr">
        <is>
          <t>B20-T</t>
        </is>
      </c>
      <c r="J69" s="5" t="inlineStr">
        <is>
          <t>なし</t>
        </is>
      </c>
      <c r="K69" s="5" t="inlineStr"/>
      <c r="L69" s="5" t="inlineStr"/>
      <c r="M69" s="5" t="inlineStr">
        <is>
          <t>TC-UT_LIB-040 秘密のキーの値がオブジェクトや配列でも、まるごと伏せる</t>
        </is>
      </c>
      <c r="N69" s="6" t="inlineStr">
        <is>
          <t>未実施</t>
        </is>
      </c>
      <c r="O69" s="6" t="inlineStr"/>
      <c r="P69" s="6" t="inlineStr"/>
      <c r="Q69" s="7" t="inlineStr">
        <is>
          <t>既存テスト：一部 TC-NOUS44_DEV-16（値が文字列のときだけ）</t>
        </is>
      </c>
    </row>
    <row r="70">
      <c r="A70" s="4" t="n">
        <v>66</v>
      </c>
      <c r="B70" s="4" t="inlineStr">
        <is>
          <t>TC-UT_LIB-041</t>
        </is>
      </c>
      <c r="C70" s="5" t="inlineStr">
        <is>
          <t>redactSecrets</t>
        </is>
      </c>
      <c r="D70" s="4" t="inlineStr">
        <is>
          <t>正常系</t>
        </is>
      </c>
      <c r="E70" s="4" t="inlineStr">
        <is>
          <t>分岐網羅</t>
        </is>
      </c>
      <c r="F70" s="5" t="inlineStr">
        <is>
          <t>Error は name・message・stack と、自分の項目（AppError の code・fields など）を出し、秘密の項目は伏せる</t>
        </is>
      </c>
      <c r="G70" s="5" t="inlineStr">
        <is>
          <t>前提：なし
入力：AppError に csrfToken の項目を足したもの</t>
        </is>
      </c>
      <c r="H70" s="5" t="inlineStr">
        <is>
          <t>name・message・stack・code・status・fields を出し、csrfToken は ***</t>
        </is>
      </c>
      <c r="I70" s="5" t="inlineStr">
        <is>
          <t>B19-T, B20-T, B20-F</t>
        </is>
      </c>
      <c r="J70" s="5" t="inlineStr">
        <is>
          <t>なし</t>
        </is>
      </c>
      <c r="K70" s="5" t="inlineStr"/>
      <c r="L70" s="5" t="inlineStr"/>
      <c r="M70" s="5" t="inlineStr">
        <is>
          <t>TC-UT_LIB-041 Error は name・message・stack と、自分の項目（AppError の code・fields など）を出し、秘密の項目は伏せる</t>
        </is>
      </c>
      <c r="N70" s="6" t="inlineStr">
        <is>
          <t>未実施</t>
        </is>
      </c>
      <c r="O70" s="6" t="inlineStr"/>
      <c r="P70" s="6" t="inlineStr"/>
      <c r="Q70" s="7" t="inlineStr">
        <is>
          <t>既存テスト：一部 TC-NOUS44_DEV-22（ただの Error の message・stack だけ）</t>
        </is>
      </c>
    </row>
    <row r="71">
      <c r="A71" s="4" t="n">
        <v>67</v>
      </c>
      <c r="B71" s="4" t="inlineStr">
        <is>
          <t>TC-UT_LIB-042</t>
        </is>
      </c>
      <c r="C71" s="5" t="inlineStr">
        <is>
          <t>isSecretKey</t>
        </is>
      </c>
      <c r="D71" s="4" t="inlineStr">
        <is>
          <t>正常系</t>
        </is>
      </c>
      <c r="E71" s="4" t="inlineStr">
        <is>
          <t>同値分割</t>
        </is>
      </c>
      <c r="F71" s="5" t="inlineStr">
        <is>
          <t>isSecretKey は secret で終わるキーも秘密とし、似ているだけのキーは秘密としない</t>
        </is>
      </c>
      <c r="G71" s="5" t="inlineStr">
        <is>
          <t>前提：なし
入力：clientSecret、x_api_token、Set-Cookie、COOKIE、secretary、max_tokens</t>
        </is>
      </c>
      <c r="H71" s="5" t="inlineStr">
        <is>
          <t>前の 4 つは true、後の 2 つは false</t>
        </is>
      </c>
      <c r="I71" s="5" t="inlineStr"/>
      <c r="J71" s="5" t="inlineStr">
        <is>
          <t>なし</t>
        </is>
      </c>
      <c r="K71" s="5" t="inlineStr"/>
      <c r="L71" s="5" t="inlineStr"/>
      <c r="M71" s="5" t="inlineStr">
        <is>
          <t>TC-UT_LIB-042 isSecretKey は secret で終わるキーも秘密とし、似ているだけのキーは秘密としない</t>
        </is>
      </c>
      <c r="N71" s="6" t="inlineStr">
        <is>
          <t>未実施</t>
        </is>
      </c>
      <c r="O71" s="6" t="inlineStr"/>
      <c r="P71" s="6" t="inlineStr"/>
      <c r="Q71" s="7" t="inlineStr">
        <is>
          <t>既存テスト：一部 TC-NOUS44_DEV-17（secret で終わるキーと Cookie の大文字を見ていない）</t>
        </is>
      </c>
    </row>
    <row r="72">
      <c r="A72" s="4" t="n">
        <v>68</v>
      </c>
      <c r="B72" s="4" t="inlineStr">
        <is>
          <t>TC-UT_LIB-043</t>
        </is>
      </c>
      <c r="C72" s="5" t="inlineStr">
        <is>
          <t>createLogger</t>
        </is>
      </c>
      <c r="D72" s="4" t="inlineStr">
        <is>
          <t>正常系</t>
        </is>
      </c>
      <c r="E72" s="4" t="inlineStr">
        <is>
          <t>境界値</t>
        </is>
      </c>
      <c r="F72" s="5" t="inlineStr">
        <is>
          <t>水準の下限・上限（%s）で出すログが決まる</t>
        </is>
      </c>
      <c r="G72" s="5" t="inlineStr">
        <is>
          <t>前提：なし
入力：level = debug、error で 4 つの水準を 1 回ずつ</t>
        </is>
      </c>
      <c r="H72" s="5" t="inlineStr">
        <is>
          <t>debug：4 つとも出す。error：error だけ</t>
        </is>
      </c>
      <c r="I72" s="5" t="inlineStr">
        <is>
          <t>B21-T, B21-F</t>
        </is>
      </c>
      <c r="J72" s="5" t="inlineStr">
        <is>
          <t>なし</t>
        </is>
      </c>
      <c r="K72" s="5" t="inlineStr"/>
      <c r="L72" s="5" t="inlineStr"/>
      <c r="M72" s="5" t="inlineStr">
        <is>
          <t>TC-UT_LIB-043 水準の下限・上限（%s）で出すログが決まる</t>
        </is>
      </c>
      <c r="N72" s="6" t="inlineStr">
        <is>
          <t>未実施</t>
        </is>
      </c>
      <c r="O72" s="6" t="inlineStr"/>
      <c r="P72" s="6" t="inlineStr"/>
      <c r="Q72" s="7" t="inlineStr">
        <is>
          <t>既存テスト：一部 TC-NOUS44_DEV-21（warn だけ）</t>
        </is>
      </c>
    </row>
    <row r="73">
      <c r="A73" s="4" t="n">
        <v>69</v>
      </c>
      <c r="B73" s="4" t="inlineStr">
        <is>
          <t>TC-UT_LIB-044</t>
        </is>
      </c>
      <c r="C73" s="5" t="inlineStr">
        <is>
          <t>createLogger</t>
        </is>
      </c>
      <c r="D73" s="4" t="inlineStr">
        <is>
          <t>正常系</t>
        </is>
      </c>
      <c r="E73" s="4" t="inlineStr">
        <is>
          <t>分岐網羅</t>
        </is>
      </c>
      <c r="F73" s="5" t="inlineStr">
        <is>
          <t>水準を指定しなければ info 以上を出す</t>
        </is>
      </c>
      <c r="G73" s="5" t="inlineStr">
        <is>
          <t>前提：なし
入力：level を指定しない</t>
        </is>
      </c>
      <c r="H73" s="5" t="inlineStr">
        <is>
          <t>info 以上を出し、debug は出さない</t>
        </is>
      </c>
      <c r="I73" s="5" t="inlineStr">
        <is>
          <t>B21-T, B21-F</t>
        </is>
      </c>
      <c r="J73" s="5" t="inlineStr">
        <is>
          <t>なし</t>
        </is>
      </c>
      <c r="K73" s="5" t="inlineStr"/>
      <c r="L73" s="5" t="inlineStr"/>
      <c r="M73" s="5" t="inlineStr">
        <is>
          <t>TC-UT_LIB-044 水準を指定しなければ info 以上を出す</t>
        </is>
      </c>
      <c r="N73" s="6" t="inlineStr">
        <is>
          <t>未実施</t>
        </is>
      </c>
      <c r="O73" s="6" t="inlineStr"/>
      <c r="P73" s="6" t="inlineStr"/>
      <c r="Q73" s="7" t="inlineStr">
        <is>
          <t>既存テスト：なし</t>
        </is>
      </c>
    </row>
    <row r="74">
      <c r="A74" s="4" t="n">
        <v>70</v>
      </c>
      <c r="B74" s="4" t="inlineStr">
        <is>
          <t>TC-UT_LIB-045</t>
        </is>
      </c>
      <c r="C74" s="5" t="inlineStr">
        <is>
          <t>createLogger</t>
        </is>
      </c>
      <c r="D74" s="4" t="inlineStr">
        <is>
          <t>正常系</t>
        </is>
      </c>
      <c r="E74" s="4" t="inlineStr">
        <is>
          <t>分岐網羅</t>
        </is>
      </c>
      <c r="F74" s="5" t="inlineStr">
        <is>
          <t>出力先が複数なら、同じ1行をそれぞれに渡す</t>
        </is>
      </c>
      <c r="G74" s="5" t="inlineStr">
        <is>
          <t>前提：なし
入力：出力先 2 つ</t>
        </is>
      </c>
      <c r="H74" s="5" t="inlineStr">
        <is>
          <t>同じ 1 行をそれぞれに 1 回ずつ渡す</t>
        </is>
      </c>
      <c r="I74" s="5" t="inlineStr">
        <is>
          <t>B22-F</t>
        </is>
      </c>
      <c r="J74" s="5" t="inlineStr">
        <is>
          <t>なし</t>
        </is>
      </c>
      <c r="K74" s="5" t="inlineStr"/>
      <c r="L74" s="5" t="inlineStr"/>
      <c r="M74" s="5" t="inlineStr">
        <is>
          <t>TC-UT_LIB-045 出力先が複数なら、同じ1行をそれぞれに渡す</t>
        </is>
      </c>
      <c r="N74" s="6" t="inlineStr">
        <is>
          <t>未実施</t>
        </is>
      </c>
      <c r="O74" s="6" t="inlineStr"/>
      <c r="P74" s="6" t="inlineStr"/>
      <c r="Q74" s="7" t="inlineStr">
        <is>
          <t>既存テスト：なし</t>
        </is>
      </c>
    </row>
    <row r="75">
      <c r="A75" s="4" t="n">
        <v>71</v>
      </c>
      <c r="B75" s="4" t="inlineStr">
        <is>
          <t>TC-UT_LIB-046</t>
        </is>
      </c>
      <c r="C75" s="5" t="inlineStr">
        <is>
          <t>createLogger.child</t>
        </is>
      </c>
      <c r="D75" s="4" t="inlineStr">
        <is>
          <t>正常系</t>
        </is>
      </c>
      <c r="E75" s="4" t="inlineStr">
        <is>
          <t>同値分割</t>
        </is>
      </c>
      <c r="F75" s="5" t="inlineStr">
        <is>
          <t>child を重ねると項目を合わせ、呼び出しの項目が child の項目より優先される</t>
        </is>
      </c>
      <c r="G75" s="5" t="inlineStr">
        <is>
          <t>前提：なし
入力：child を 2 回重ね、呼び出しで cycleNo を上書き</t>
        </is>
      </c>
      <c r="H75" s="5" t="inlineStr">
        <is>
          <t>module・cycleNo（呼び出しの値）・worldId をすべて 1 行に出す</t>
        </is>
      </c>
      <c r="I75" s="5" t="inlineStr"/>
      <c r="J75" s="5" t="inlineStr">
        <is>
          <t>なし</t>
        </is>
      </c>
      <c r="K75" s="5" t="inlineStr"/>
      <c r="L75" s="5" t="inlineStr"/>
      <c r="M75" s="5" t="inlineStr">
        <is>
          <t>TC-UT_LIB-046 child を重ねると項目を合わせ、呼び出しの項目が child の項目より優先される</t>
        </is>
      </c>
      <c r="N75" s="6" t="inlineStr">
        <is>
          <t>未実施</t>
        </is>
      </c>
      <c r="O75" s="6" t="inlineStr"/>
      <c r="P75" s="6" t="inlineStr"/>
      <c r="Q75" s="7" t="inlineStr">
        <is>
          <t>既存テスト：一部 TC-NOUS44_DEV-22（1 回だけ）</t>
        </is>
      </c>
    </row>
    <row r="76">
      <c r="A76" s="4" t="n">
        <v>72</v>
      </c>
      <c r="B76" s="4" t="inlineStr">
        <is>
          <t>TC-UT_LIB-047</t>
        </is>
      </c>
      <c r="C76" s="5" t="inlineStr">
        <is>
          <t>createLogger / stdoutSink</t>
        </is>
      </c>
      <c r="D76" s="4" t="inlineStr">
        <is>
          <t>正常系</t>
        </is>
      </c>
      <c r="E76" s="4" t="inlineStr">
        <is>
          <t>依存</t>
        </is>
      </c>
      <c r="F76" s="5" t="inlineStr">
        <is>
          <t>出力先を指定しなければ、標準出力に1行ずつ改行付きで書く</t>
        </is>
      </c>
      <c r="G76" s="5" t="inlineStr">
        <is>
          <t>前提：なし
入力：出力先を指定しない</t>
        </is>
      </c>
      <c r="H76" s="5" t="inlineStr">
        <is>
          <t>標準出力に JSON の 1 行＋改行を書く</t>
        </is>
      </c>
      <c r="I76" s="5" t="inlineStr">
        <is>
          <t>B22-T</t>
        </is>
      </c>
      <c r="J76" s="5" t="inlineStr">
        <is>
          <t>process.stdout.write を vi.spyOn で差し替え</t>
        </is>
      </c>
      <c r="K76" s="5" t="inlineStr"/>
      <c r="L76" s="5" t="inlineStr"/>
      <c r="M76" s="5" t="inlineStr">
        <is>
          <t>TC-UT_LIB-047 出力先を指定しなければ、標準出力に1行ずつ改行付きで書く</t>
        </is>
      </c>
      <c r="N76" s="6" t="inlineStr">
        <is>
          <t>未実施</t>
        </is>
      </c>
      <c r="O76" s="6" t="inlineStr"/>
      <c r="P76" s="6" t="inlineStr"/>
      <c r="Q76" s="7" t="inlineStr">
        <is>
          <t>既存テスト：なし</t>
        </is>
      </c>
    </row>
    <row r="77">
      <c r="A77" s="4" t="n">
        <v>73</v>
      </c>
      <c r="B77" s="4" t="inlineStr">
        <is>
          <t>TC-UT_LIB-048</t>
        </is>
      </c>
      <c r="C77" s="5" t="inlineStr">
        <is>
          <t>fileSink</t>
        </is>
      </c>
      <c r="D77" s="4" t="inlineStr">
        <is>
          <t>正常系</t>
        </is>
      </c>
      <c r="E77" s="4" t="inlineStr">
        <is>
          <t>依存</t>
        </is>
      </c>
      <c r="F77" s="5" t="inlineStr">
        <is>
          <t>fileSink はディレクトリがなければ作り、1行ずつ追記する</t>
        </is>
      </c>
      <c r="G77" s="5" t="inlineStr">
        <is>
          <t>前提：一時ディレクトリ
入力：まだ無い logs/nested/app.log に 2 行</t>
        </is>
      </c>
      <c r="H77" s="5" t="inlineStr">
        <is>
          <t>ディレクトリを作り、2 行を改行付きで追記する</t>
        </is>
      </c>
      <c r="I77" s="5" t="inlineStr"/>
      <c r="J77" s="5" t="inlineStr">
        <is>
          <t>一時ディレクトリ（mkdtemp。終わったら消す）</t>
        </is>
      </c>
      <c r="K77" s="5" t="inlineStr"/>
      <c r="L77" s="5" t="inlineStr"/>
      <c r="M77" s="5" t="inlineStr">
        <is>
          <t>TC-UT_LIB-048 fileSink はディレクトリがなければ作り、1行ずつ追記する</t>
        </is>
      </c>
      <c r="N77" s="6" t="inlineStr">
        <is>
          <t>未実施</t>
        </is>
      </c>
      <c r="O77" s="6" t="inlineStr"/>
      <c r="P77" s="6" t="inlineStr"/>
      <c r="Q77" s="7" t="inlineStr">
        <is>
          <t>既存テスト：なし</t>
        </is>
      </c>
    </row>
  </sheetData>
  <autoFilter ref="A4:Q77"/>
  <conditionalFormatting sqref="A5:Q12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27" showDropDown="0" showInputMessage="0" showErrorMessage="0" allowBlank="1" type="list">
      <formula1>"未実施,OK,NG,保留,対象外"</formula1>
    </dataValidation>
    <dataValidation sqref="D5:D12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COUNTA(観点表!$B$5:$B$127)</f>
        <v/>
      </c>
    </row>
    <row r="6">
      <c r="A6" s="10" t="inlineStr">
        <is>
          <t>正常系</t>
        </is>
      </c>
      <c r="B6" s="10">
        <f>COUNTIF(観点表!$D$5:$D$127,"正常系")</f>
        <v/>
      </c>
    </row>
    <row r="7">
      <c r="A7" s="10" t="inlineStr">
        <is>
          <t>異常系</t>
        </is>
      </c>
      <c r="B7" s="10">
        <f>COUNTIF(観点表!$D$5:$D$127,"異常系")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COUNTIF(観点表!$E$5:$E$127,"エラー処理")</f>
        <v/>
      </c>
    </row>
    <row r="11">
      <c r="A11" s="10" t="inlineStr">
        <is>
          <t>依存</t>
        </is>
      </c>
      <c r="B11" s="10">
        <f>COUNTIF(観点表!$E$5:$E$127,"依存")</f>
        <v/>
      </c>
    </row>
    <row r="12">
      <c r="A12" s="10" t="inlineStr">
        <is>
          <t>分岐網羅</t>
        </is>
      </c>
      <c r="B12" s="10">
        <f>COUNTIF(観点表!$E$5:$E$127,"分岐網羅")</f>
        <v/>
      </c>
    </row>
    <row r="13">
      <c r="A13" s="10" t="inlineStr">
        <is>
          <t>同値分割</t>
        </is>
      </c>
      <c r="B13" s="10">
        <f>COUNTIF(観点表!$E$5:$E$127,"同値分割")</f>
        <v/>
      </c>
    </row>
    <row r="14">
      <c r="A14" s="10" t="inlineStr">
        <is>
          <t>境界値</t>
        </is>
      </c>
      <c r="B14" s="10">
        <f>COUNTIF(観点表!$E$5:$E$127,"境界値")</f>
        <v/>
      </c>
    </row>
    <row r="15">
      <c r="A15" s="10" t="inlineStr">
        <is>
          <t>開発者テスト</t>
        </is>
      </c>
      <c r="B15" s="10">
        <f>COUNTIF(観点表!$E$5:$E$127,"開発者テスト")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COUNTIF(観点表!$K$5:$K$127,"?*")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COUNTIF(観点表!$N$5:$N$127,"未実施")</f>
        <v/>
      </c>
    </row>
    <row r="23">
      <c r="A23" s="10" t="inlineStr">
        <is>
          <t>OK</t>
        </is>
      </c>
      <c r="B23" s="10">
        <f>COUNTIF(観点表!$N$5:$N$127,"OK")</f>
        <v/>
      </c>
    </row>
    <row r="24">
      <c r="A24" s="10" t="inlineStr">
        <is>
          <t>NG</t>
        </is>
      </c>
      <c r="B24" s="10">
        <f>COUNTIF(観点表!$N$5:$N$127,"NG")</f>
        <v/>
      </c>
    </row>
    <row r="25">
      <c r="A25" s="10" t="inlineStr">
        <is>
          <t>保留</t>
        </is>
      </c>
      <c r="B25" s="10">
        <f>COUNTIF(観点表!$N$5:$N$127,"保留")</f>
        <v/>
      </c>
    </row>
    <row r="26">
      <c r="A26" s="10" t="inlineStr">
        <is>
          <t>対象外</t>
        </is>
      </c>
      <c r="B26" s="10">
        <f>COUNTIF(観点表!$N$5:$N$127,"対象外")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TC-NOUS44_DEV-01</t>
        </is>
      </c>
      <c r="B5" s="13" t="inlineStr">
        <is>
          <t>エラーコードの定数が設計書のコードと状態に一致する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TC-NOUS44_DEV-02</t>
        </is>
      </c>
      <c r="B6" s="13" t="inlineStr">
        <is>
          <t>AppError がコードから status と既定のメッセージを引く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TC-NOUS44_DEV-03</t>
        </is>
      </c>
      <c r="B7" s="13" t="inlineStr">
        <is>
          <t>メッセージと fields を差し替え、エラーの本文の形にする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TC-NOUS44_DEV-04</t>
        </is>
      </c>
      <c r="B8" s="13" t="inlineStr">
        <is>
          <t>INTERNAL_ERROR の既定のメッセージが固定の文言である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TC-NOUS44_DEV-05</t>
        </is>
      </c>
      <c r="B9" s="13" t="inlineStr">
        <is>
          <t>ConfigError が問題をすべて持つ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TC-NOUS44_DEV-32</t>
        </is>
      </c>
      <c r="B10" s="13" t="inlineStr">
        <is>
          <t>ConfigError が1つの問題の文字列と cause を受ける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TC-NOUS76_DEV-01</t>
        </is>
      </c>
      <c r="B11" s="13" t="inlineStr">
        <is>
          <t>clock・generationConfig が使う ConfigError は lib/errors.ts のものと同じ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TC-NOUS76_DEV-02</t>
        </is>
      </c>
      <c r="B12" s="13" t="inlineStr">
        <is>
          <t>clock が使う CancelledError は lib/errors.ts のものと同じ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TC-NOUS76_DEV-03</t>
        </is>
      </c>
      <c r="B13" s="13" t="inlineStr">
        <is>
          <t>CancelledError の既定の文言と name、cause を持つ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TC-UT_LIB-011</t>
        </is>
      </c>
      <c r="B14" s="13" t="inlineStr">
        <is>
          <t>AppError は Error の派生で、name と cause を持つ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TC-UT_LIB-012</t>
        </is>
      </c>
      <c r="B15" s="13" t="inlineStr">
        <is>
          <t>message だけを渡すと fields は空、fields だけを渡すと message は既定の文言になる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TC-UT_LIB-013</t>
        </is>
      </c>
      <c r="B16" s="13" t="inlineStr">
        <is>
          <t>isAppError は形だけ似たオブジェクト・null・undefined を AppError としない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TC-UT_LIB-014</t>
        </is>
      </c>
      <c r="B17" s="13" t="inlineStr">
        <is>
          <t>ConfigError に1件だけの配列を渡すと、まとめの文言で1件を持つ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TC-UT_LIB-015</t>
        </is>
      </c>
      <c r="B18" s="13" t="inlineStr">
        <is>
          <t>サーバーのエラーコードと @nous/shared の ERROR_CODES が同じ集合である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TC-NOUS44_DEV-23</t>
        </is>
      </c>
      <c r="B19" s="13" t="inlineStr">
        <is>
          <t>何も設定しなければ概要 9章の既定値になる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TC-NOUS44_DEV-24</t>
        </is>
      </c>
      <c r="B20" s="13" t="inlineStr">
        <is>
          <t>設定した値を読み、ポートを数値にする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TC-NOUS44_DEV-25</t>
        </is>
      </c>
      <c r="B21" s="13" t="inlineStr">
        <is>
          <t>空の文字列は未設定として既定値にする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TC-NOUS44_DEV-26</t>
        </is>
      </c>
      <c r="B22" s="13" t="inlineStr">
        <is>
          <t>production の DB の既定は data/aisns.db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TC-NOUS44_DEV-27</t>
        </is>
      </c>
      <c r="B23" s="13" t="inlineStr">
        <is>
          <t>cloudflare のときは認証情報を読み、なければエラーにする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TC-NOUS44_DEV-28</t>
        </is>
      </c>
      <c r="B24" s="13" t="inlineStr">
        <is>
          <t>列挙の外の値・範囲外のポートをまとめてエラーにする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TC-NOUS44_DEV-29</t>
        </is>
      </c>
      <c r="B25" s="13" t="inlineStr">
        <is>
          <t>観察と管理のポートが同じならエラーにする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TC-NOUS44_DEV-30</t>
        </is>
      </c>
      <c r="B26" s="13" t="inlineStr">
        <is>
          <t>production で fake の時計はエラーにする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TC-NOUS44_DEV-31</t>
        </is>
      </c>
      <c r="B27" s="13" t="inlineStr">
        <is>
          <t>エラーのメッセージに API トークンの値を出さない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TC-UT_LIB-016</t>
        </is>
      </c>
      <c r="B28" s="13" t="inlineStr">
        <is>
          <t>ポートの下限・上限を受け付ける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TC-UT_LIB-017</t>
        </is>
      </c>
      <c r="B29" s="13" t="inlineStr">
        <is>
          <t>整数の字だけでないポートはエラーにする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TC-UT_LIB-018</t>
        </is>
      </c>
      <c r="B30" s="13" t="inlineStr">
        <is>
          <t>管理のポートだけを 8080 にすると、観察の既定のポートとぶつかってエラーにする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TC-UT_LIB-019</t>
        </is>
      </c>
      <c r="B31" s="13" t="inlineStr">
        <is>
          <t>cloudflare で アカウント ID だけがあれば、API トークンの不足だけをエラーにする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TC-UT_LIB-020</t>
        </is>
      </c>
      <c r="B32" s="13" t="inlineStr">
        <is>
          <t>cloudflare で API トークンが空白だけなら、未設定としてエラーにする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TC-UT_LIB-021</t>
        </is>
      </c>
      <c r="B33" s="13" t="inlineStr">
        <is>
          <t>fixed のときは Cloudflare の認証情報があっても読まない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TC-UT_LIB-022</t>
        </is>
      </c>
      <c r="B34" s="13" t="inlineStr">
        <is>
          <t>意味の誤り（認証情報の不足・ポートの重複・production の fake）をまとめて1つの ConfigError にする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TC-UT_LIB-023</t>
        </is>
      </c>
      <c r="B35" s="13" t="inlineStr">
        <is>
          <t>production 以外では fake の時計を受け付ける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TC-UT_LIB-024</t>
        </is>
      </c>
      <c r="B36" s="13" t="inlineStr">
        <is>
          <t>バックアップ・固定応答の置き場所と、production の cloudflare の設定を読む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TC-NOUS44_DEV-06</t>
        </is>
      </c>
      <c r="B37" s="13" t="inlineStr">
        <is>
          <t>newUlid が 26 字の ULID を返し、毎回ちがう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TC-NOUS44_DEV-07</t>
        </is>
      </c>
      <c r="B38" s="13" t="inlineStr">
        <is>
          <t>渡した時刻が ULID の時刻の部分に入る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TC-NOUS44_DEV-08</t>
        </is>
      </c>
      <c r="B39" s="13" t="inlineStr">
        <is>
          <t>isUlid が形の違う文字列を拒む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TC-UT_LIB-025</t>
        </is>
      </c>
      <c r="B40" s="13" t="inlineStr">
        <is>
          <t>時刻 0 を渡すと、時刻の部分が 0000000000 の ULID になる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TC-UT_LIB-026</t>
        </is>
      </c>
      <c r="B41" s="13" t="inlineStr">
        <is>
          <t>同じ時刻を続けて渡しても、ちがう ULID になる（FakeClock で時刻が止まっているとき）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TC-UT_LIB-027</t>
        </is>
      </c>
      <c r="B42" s="13" t="inlineStr">
        <is>
          <t>Crockford の Base32 で使わない字を含めば ULID としない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TC-UT_LIB-028</t>
        </is>
      </c>
      <c r="B43" s="13" t="inlineStr">
        <is>
          <t>小文字の ULID は ULID としない（ID は大文字で採番する）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TC-NOUS44_DEV-13</t>
        </is>
      </c>
      <c r="B44" s="13" t="inlineStr">
        <is>
          <t>escapeLike が \\ と % と _ を逃がす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TC-NOUS44_DEV-14</t>
        </is>
      </c>
      <c r="B45" s="13" t="inlineStr">
        <is>
          <t>特殊文字のない文字列はそのまま返す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TC-NOUS44_DEV-15</t>
        </is>
      </c>
      <c r="B46" s="13" t="inlineStr">
        <is>
          <t>likeContains が部分一致のパターンを作り、ESCAPE の文字が \\ である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TC-UT_LIB-029</t>
        </is>
      </c>
      <c r="B47" s="13" t="inlineStr">
        <is>
          <t>特殊文字が続いても1字ずつ逃がす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TC-UT_LIB-030</t>
        </is>
      </c>
      <c r="B48" s="13" t="inlineStr">
        <is>
          <t>空の文字列の likeContains は %% になる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TC-UT_LIB-031</t>
        </is>
      </c>
      <c r="B49" s="13" t="inlineStr">
        <is>
          <t>likeContains の値を ESCAPE '\\' で使うと特殊文字を字のまま探す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TC-NOUS44_DEV-09</t>
        </is>
      </c>
      <c r="B50" s="13" t="inlineStr">
        <is>
          <t>randomToken(32) が 43 字の Base64URL を返す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TC-NOUS44_DEV-10</t>
        </is>
      </c>
      <c r="B51" s="13" t="inlineStr">
        <is>
          <t>randomToken が 1 未満・整数でない bytes を拒む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TC-NOUS44_DEV-11</t>
        </is>
      </c>
      <c r="B52" s="13" t="inlineStr">
        <is>
          <t>sha256Hex が 64 字の 16 進を返す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TC-NOUS44_DEV-12</t>
        </is>
      </c>
      <c r="B53" s="13" t="inlineStr">
        <is>
          <t>safeEqual が一致・不一致・長さ違いを判定する</t>
        </is>
      </c>
      <c r="C53" s="13" t="inlineStr">
        <is>
          <t>未作成</t>
        </is>
      </c>
      <c r="D53" s="13" t="inlineStr"/>
      <c r="E53" s="13" t="inlineStr"/>
      <c r="F53" s="13" t="inlineStr"/>
    </row>
    <row r="54">
      <c r="A54" s="13" t="inlineStr">
        <is>
          <t>TC-UT_LIB-032</t>
        </is>
      </c>
      <c r="B54" s="13" t="inlineStr">
        <is>
          <t>randomToken は bytes に応じた長さの Base64URL をパディングなしで返す</t>
        </is>
      </c>
      <c r="C54" s="13" t="inlineStr">
        <is>
          <t>未作成</t>
        </is>
      </c>
      <c r="D54" s="13" t="inlineStr"/>
      <c r="E54" s="13" t="inlineStr"/>
      <c r="F54" s="13" t="inlineStr"/>
    </row>
    <row r="55">
      <c r="A55" s="13" t="inlineStr">
        <is>
          <t>TC-UT_LIB-033</t>
        </is>
      </c>
      <c r="B55" s="13" t="inlineStr">
        <is>
          <t>randomToken は負の数・NaN・無限大・数値でない値を RangeError にする</t>
        </is>
      </c>
      <c r="C55" s="13" t="inlineStr">
        <is>
          <t>未作成</t>
        </is>
      </c>
      <c r="D55" s="13" t="inlineStr"/>
      <c r="E55" s="13" t="inlineStr"/>
      <c r="F55" s="13" t="inlineStr"/>
    </row>
    <row r="56">
      <c r="A56" s="13" t="inlineStr">
        <is>
          <t>TC-UT_LIB-034</t>
        </is>
      </c>
      <c r="B56" s="13" t="inlineStr">
        <is>
          <t>sha256Hex は文字列を UTF-8 として計算する</t>
        </is>
      </c>
      <c r="C56" s="13" t="inlineStr">
        <is>
          <t>未作成</t>
        </is>
      </c>
      <c r="D56" s="13" t="inlineStr"/>
      <c r="E56" s="13" t="inlineStr"/>
      <c r="F56" s="13" t="inlineStr"/>
    </row>
    <row r="57">
      <c r="A57" s="13" t="inlineStr">
        <is>
          <t>TC-UT_LIB-035</t>
        </is>
      </c>
      <c r="B57" s="13" t="inlineStr">
        <is>
          <t>safeEqual は空の文字列どうしを一致とする</t>
        </is>
      </c>
      <c r="C57" s="13" t="inlineStr">
        <is>
          <t>未作成</t>
        </is>
      </c>
      <c r="D57" s="13" t="inlineStr"/>
      <c r="E57" s="13" t="inlineStr"/>
      <c r="F57" s="13" t="inlineStr"/>
    </row>
    <row r="58">
      <c r="A58" s="13" t="inlineStr">
        <is>
          <t>TC-UT_LIB-036</t>
        </is>
      </c>
      <c r="B58" s="13" t="inlineStr">
        <is>
          <t>safeEqual は字数が同じでもバイト数が違えば、例外にせず不一致とする</t>
        </is>
      </c>
      <c r="C58" s="13" t="inlineStr">
        <is>
          <t>未作成</t>
        </is>
      </c>
      <c r="D58" s="13" t="inlineStr"/>
      <c r="E58" s="13" t="inlineStr"/>
      <c r="F58" s="13" t="inlineStr"/>
    </row>
    <row r="59">
      <c r="A59" s="13" t="inlineStr">
        <is>
          <t>TC-UT_LIB-037</t>
        </is>
      </c>
      <c r="B59" s="13" t="inlineStr">
        <is>
          <t>safeEqual はバイト数が同じで中身が違えば不一致とする</t>
        </is>
      </c>
      <c r="C59" s="13" t="inlineStr">
        <is>
          <t>未作成</t>
        </is>
      </c>
      <c r="D59" s="13" t="inlineStr"/>
      <c r="E59" s="13" t="inlineStr"/>
      <c r="F59" s="13" t="inlineStr"/>
    </row>
    <row r="60">
      <c r="A60" s="13" t="inlineStr">
        <is>
          <t>TC-NOUS44_DEV-16</t>
        </is>
      </c>
      <c r="B60" s="13" t="inlineStr">
        <is>
          <t>redactSecrets が設計書の秘密のキーと Cookie を伏せる</t>
        </is>
      </c>
      <c r="C60" s="13" t="inlineStr">
        <is>
          <t>未作成</t>
        </is>
      </c>
      <c r="D60" s="13" t="inlineStr"/>
      <c r="E60" s="13" t="inlineStr"/>
      <c r="F60" s="13" t="inlineStr"/>
    </row>
    <row r="61">
      <c r="A61" s="13" t="inlineStr">
        <is>
          <t>TC-NOUS44_DEV-17</t>
        </is>
      </c>
      <c r="B61" s="13" t="inlineStr">
        <is>
          <t>大文字小文字・区切りの違いと、token・password で終わるキーも伏せる</t>
        </is>
      </c>
      <c r="C61" s="13" t="inlineStr">
        <is>
          <t>未作成</t>
        </is>
      </c>
      <c r="D61" s="13" t="inlineStr"/>
      <c r="E61" s="13" t="inlineStr"/>
      <c r="F61" s="13" t="inlineStr"/>
    </row>
    <row r="62">
      <c r="A62" s="13" t="inlineStr">
        <is>
          <t>TC-NOUS44_DEV-18</t>
        </is>
      </c>
      <c r="B62" s="13" t="inlineStr">
        <is>
          <t>入れ子のオブジェクト・配列の中も伏せ、元の値は変えない</t>
        </is>
      </c>
      <c r="C62" s="13" t="inlineStr">
        <is>
          <t>未作成</t>
        </is>
      </c>
      <c r="D62" s="13" t="inlineStr"/>
      <c r="E62" s="13" t="inlineStr"/>
      <c r="F62" s="13" t="inlineStr"/>
    </row>
    <row r="63">
      <c r="A63" s="13" t="inlineStr">
        <is>
          <t>TC-NOUS44_DEV-19</t>
        </is>
      </c>
      <c r="B63" s="13" t="inlineStr">
        <is>
          <t>循環する参照で止まらず、同じ値を2か所で指すだけなら両方出す</t>
        </is>
      </c>
      <c r="C63" s="13" t="inlineStr">
        <is>
          <t>未作成</t>
        </is>
      </c>
      <c r="D63" s="13" t="inlineStr"/>
      <c r="E63" s="13" t="inlineStr"/>
      <c r="F63" s="13" t="inlineStr"/>
    </row>
    <row r="64">
      <c r="A64" s="13" t="inlineStr">
        <is>
          <t>TC-NOUS44_DEV-20</t>
        </is>
      </c>
      <c r="B64" s="13" t="inlineStr">
        <is>
          <t>1行の JSON に時刻・水準・メッセージ・項目を出し、秘密を伏せる</t>
        </is>
      </c>
      <c r="C64" s="13" t="inlineStr">
        <is>
          <t>未作成</t>
        </is>
      </c>
      <c r="D64" s="13" t="inlineStr"/>
      <c r="E64" s="13" t="inlineStr"/>
      <c r="F64" s="13" t="inlineStr"/>
    </row>
    <row r="65">
      <c r="A65" s="13" t="inlineStr">
        <is>
          <t>TC-NOUS44_DEV-21</t>
        </is>
      </c>
      <c r="B65" s="13" t="inlineStr">
        <is>
          <t>設定した水準より下のログは出さない</t>
        </is>
      </c>
      <c r="C65" s="13" t="inlineStr">
        <is>
          <t>未作成</t>
        </is>
      </c>
      <c r="D65" s="13" t="inlineStr"/>
      <c r="E65" s="13" t="inlineStr"/>
      <c r="F65" s="13" t="inlineStr"/>
    </row>
    <row r="66">
      <c r="A66" s="13" t="inlineStr">
        <is>
          <t>TC-NOUS44_DEV-22</t>
        </is>
      </c>
      <c r="B66" s="13" t="inlineStr">
        <is>
          <t>Error をスタック付きで出し、child の項目を毎行に付ける</t>
        </is>
      </c>
      <c r="C66" s="13" t="inlineStr">
        <is>
          <t>未作成</t>
        </is>
      </c>
      <c r="D66" s="13" t="inlineStr"/>
      <c r="E66" s="13" t="inlineStr"/>
      <c r="F66" s="13" t="inlineStr"/>
    </row>
    <row r="67">
      <c r="A67" s="13" t="inlineStr">
        <is>
          <t>TC-UT_LIB-038</t>
        </is>
      </c>
      <c r="B67" s="13" t="inlineStr">
        <is>
          <t>redactSecrets は null・数値・文字列・真偽値をそのまま返す</t>
        </is>
      </c>
      <c r="C67" s="13" t="inlineStr">
        <is>
          <t>未作成</t>
        </is>
      </c>
      <c r="D67" s="13" t="inlineStr"/>
      <c r="E67" s="13" t="inlineStr"/>
      <c r="F67" s="13" t="inlineStr"/>
    </row>
    <row r="68">
      <c r="A68" s="13" t="inlineStr">
        <is>
          <t>TC-UT_LIB-039</t>
        </is>
      </c>
      <c r="B68" s="13" t="inlineStr">
        <is>
          <t>Date は ISO 8601 の文字列にする（いちばん外と入れ子の両方）</t>
        </is>
      </c>
      <c r="C68" s="13" t="inlineStr">
        <is>
          <t>未作成</t>
        </is>
      </c>
      <c r="D68" s="13" t="inlineStr"/>
      <c r="E68" s="13" t="inlineStr"/>
      <c r="F68" s="13" t="inlineStr"/>
    </row>
    <row r="69">
      <c r="A69" s="13" t="inlineStr">
        <is>
          <t>TC-UT_LIB-040</t>
        </is>
      </c>
      <c r="B69" s="13" t="inlineStr">
        <is>
          <t>秘密のキーの値がオブジェクトや配列でも、まるごと伏せる</t>
        </is>
      </c>
      <c r="C69" s="13" t="inlineStr">
        <is>
          <t>未作成</t>
        </is>
      </c>
      <c r="D69" s="13" t="inlineStr"/>
      <c r="E69" s="13" t="inlineStr"/>
      <c r="F69" s="13" t="inlineStr"/>
    </row>
    <row r="70">
      <c r="A70" s="13" t="inlineStr">
        <is>
          <t>TC-UT_LIB-041</t>
        </is>
      </c>
      <c r="B70" s="13" t="inlineStr">
        <is>
          <t>Error は name・message・stack と、自分の項目（AppError の code・fields など）を出し、秘密の項目は伏せる</t>
        </is>
      </c>
      <c r="C70" s="13" t="inlineStr">
        <is>
          <t>未作成</t>
        </is>
      </c>
      <c r="D70" s="13" t="inlineStr"/>
      <c r="E70" s="13" t="inlineStr"/>
      <c r="F70" s="13" t="inlineStr"/>
    </row>
    <row r="71">
      <c r="A71" s="13" t="inlineStr">
        <is>
          <t>TC-UT_LIB-042</t>
        </is>
      </c>
      <c r="B71" s="13" t="inlineStr">
        <is>
          <t>isSecretKey は secret で終わるキーも秘密とし、似ているだけのキーは秘密としない</t>
        </is>
      </c>
      <c r="C71" s="13" t="inlineStr">
        <is>
          <t>未作成</t>
        </is>
      </c>
      <c r="D71" s="13" t="inlineStr"/>
      <c r="E71" s="13" t="inlineStr"/>
      <c r="F71" s="13" t="inlineStr"/>
    </row>
    <row r="72">
      <c r="A72" s="13" t="inlineStr">
        <is>
          <t>TC-UT_LIB-043</t>
        </is>
      </c>
      <c r="B72" s="13" t="inlineStr">
        <is>
          <t>水準の下限・上限（%s）で出すログが決まる</t>
        </is>
      </c>
      <c r="C72" s="13" t="inlineStr">
        <is>
          <t>未作成</t>
        </is>
      </c>
      <c r="D72" s="13" t="inlineStr"/>
      <c r="E72" s="13" t="inlineStr"/>
      <c r="F72" s="13" t="inlineStr"/>
    </row>
    <row r="73">
      <c r="A73" s="13" t="inlineStr">
        <is>
          <t>TC-UT_LIB-044</t>
        </is>
      </c>
      <c r="B73" s="13" t="inlineStr">
        <is>
          <t>水準を指定しなければ info 以上を出す</t>
        </is>
      </c>
      <c r="C73" s="13" t="inlineStr">
        <is>
          <t>未作成</t>
        </is>
      </c>
      <c r="D73" s="13" t="inlineStr"/>
      <c r="E73" s="13" t="inlineStr"/>
      <c r="F73" s="13" t="inlineStr"/>
    </row>
    <row r="74">
      <c r="A74" s="13" t="inlineStr">
        <is>
          <t>TC-UT_LIB-045</t>
        </is>
      </c>
      <c r="B74" s="13" t="inlineStr">
        <is>
          <t>出力先が複数なら、同じ1行をそれぞれに渡す</t>
        </is>
      </c>
      <c r="C74" s="13" t="inlineStr">
        <is>
          <t>未作成</t>
        </is>
      </c>
      <c r="D74" s="13" t="inlineStr"/>
      <c r="E74" s="13" t="inlineStr"/>
      <c r="F74" s="13" t="inlineStr"/>
    </row>
    <row r="75">
      <c r="A75" s="13" t="inlineStr">
        <is>
          <t>TC-UT_LIB-046</t>
        </is>
      </c>
      <c r="B75" s="13" t="inlineStr">
        <is>
          <t>child を重ねると項目を合わせ、呼び出しの項目が child の項目より優先される</t>
        </is>
      </c>
      <c r="C75" s="13" t="inlineStr">
        <is>
          <t>未作成</t>
        </is>
      </c>
      <c r="D75" s="13" t="inlineStr"/>
      <c r="E75" s="13" t="inlineStr"/>
      <c r="F75" s="13" t="inlineStr"/>
    </row>
    <row r="76">
      <c r="A76" s="13" t="inlineStr">
        <is>
          <t>TC-UT_LIB-047</t>
        </is>
      </c>
      <c r="B76" s="13" t="inlineStr">
        <is>
          <t>出力先を指定しなければ、標準出力に1行ずつ改行付きで書く</t>
        </is>
      </c>
      <c r="C76" s="13" t="inlineStr">
        <is>
          <t>未作成</t>
        </is>
      </c>
      <c r="D76" s="13" t="inlineStr"/>
      <c r="E76" s="13" t="inlineStr"/>
      <c r="F76" s="13" t="inlineStr"/>
    </row>
    <row r="77">
      <c r="A77" s="13" t="inlineStr">
        <is>
          <t>TC-UT_LIB-048</t>
        </is>
      </c>
      <c r="B77" s="13" t="inlineStr">
        <is>
          <t>fileSink はディレクトリがなければ作り、1行ずつ追記する</t>
        </is>
      </c>
      <c r="C77" s="13" t="inlineStr">
        <is>
          <t>未作成</t>
        </is>
      </c>
      <c r="D77" s="13" t="inlineStr"/>
      <c r="E77" s="13" t="inlineStr"/>
      <c r="F77" s="13" t="inlineStr"/>
    </row>
  </sheetData>
  <autoFilter ref="A4:F7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サーバーの共通ライブラリ（apps/server/src/lib）</t>
        </is>
      </c>
    </row>
    <row r="4">
      <c r="A4" s="14" t="inlineStr">
        <is>
          <t>対象ファイル</t>
        </is>
      </c>
      <c r="B4" s="15" t="inlineStr">
        <is>
          <t>apps/server/src/lib/errors.ts, apps/server/src/lib/env.ts, apps/server/src/lib/ids.ts, apps/server/src/lib/sql.ts, apps/server/src/lib/tokens.ts, apps/server/src/lib/logger.ts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apps/server/src/lib/errors.test.ts（実装時、NOUS-44・76）, apps/server/src/lib/env.test.ts（実装時、NOUS-44・76）, apps/server/src/lib/ids.test.ts（実装時、NOUS-44・76）, apps/server/src/lib/sql.test.ts（実装時、NOUS-44・76）, apps/server/src/lib/tokens.test.ts（実装時、NOUS-44・76）, apps/server/src/lib/logger.test.ts（実装時、NOUS-44・76）, apps/server/src/lib/errors.ut.test.ts（単体テストで追加）, apps/server/src/lib/env.ut.test.ts（単体テストで追加）, apps/server/src/lib/ids.ut.test.ts（単体テストで追加）, apps/server/src/lib/sql.ut.test.ts（単体テストで追加）, apps/server/src/lib/tokens.ut.test.ts（単体テストで追加）, apps/server/src/lib/logger.ut.test.ts（単体テストで追加）</t>
        </is>
      </c>
    </row>
    <row r="7">
      <c r="A7" s="14" t="inlineStr">
        <is>
          <t>外部依存</t>
        </is>
      </c>
      <c r="B7" s="15" t="inlineStr">
        <is>
          <t>process.env（loadEnv は引数で差し替える）, node:crypto, node:fs（fileSink）, process.stdout（stdoutSink）, SQLite（LIKE の確認だけ、一時 DB）, @nous/shared の ERROR_CODES（突き合わせだけ）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options.message が指定されている（?? の左）</t>
        </is>
      </c>
      <c r="C11" s="17" t="inlineStr">
        <is>
          <t>errors.ts:61</t>
        </is>
      </c>
    </row>
    <row r="12">
      <c r="A12" s="17" t="inlineStr">
        <is>
          <t>B2</t>
        </is>
      </c>
      <c r="B12" s="17" t="inlineStr">
        <is>
          <t>options.fields が指定されている（?? の左）</t>
        </is>
      </c>
      <c r="C12" s="17" t="inlineStr">
        <is>
          <t>errors.ts:65</t>
        </is>
      </c>
    </row>
    <row r="13">
      <c r="A13" s="17" t="inlineStr">
        <is>
          <t>B3</t>
        </is>
      </c>
      <c r="B13" s="17" t="inlineStr">
        <is>
          <t>typeof problems === "string"</t>
        </is>
      </c>
      <c r="C13" s="17" t="inlineStr">
        <is>
          <t>errors.ts:93-94</t>
        </is>
      </c>
    </row>
    <row r="14">
      <c r="A14" s="17" t="inlineStr">
        <is>
          <t>B4</t>
        </is>
      </c>
      <c r="B14" s="17" t="inlineStr">
        <is>
          <t>!parsed.success（Zod の検証の失敗）</t>
        </is>
      </c>
      <c r="C14" s="17" t="inlineStr">
        <is>
          <t>env.ts:66</t>
        </is>
      </c>
    </row>
    <row r="15">
      <c r="A15" s="17" t="inlineStr">
        <is>
          <t>B5</t>
        </is>
      </c>
      <c r="B15" s="17" t="inlineStr">
        <is>
          <t>空白だけの文字列は未設定にする（optional の preprocess）</t>
        </is>
      </c>
      <c r="C15" s="17" t="inlineStr">
        <is>
          <t>env.ts:38</t>
        </is>
      </c>
    </row>
    <row r="16">
      <c r="A16" s="17" t="inlineStr">
        <is>
          <t>B6</t>
        </is>
      </c>
      <c r="B16" s="17" t="inlineStr">
        <is>
          <t>ポートが整数の字でない・1〜65535 の外</t>
        </is>
      </c>
      <c r="C16" s="17" t="inlineStr">
        <is>
          <t>env.ts:42-44</t>
        </is>
      </c>
    </row>
    <row r="17">
      <c r="A17" s="17" t="inlineStr">
        <is>
          <t>B7</t>
        </is>
      </c>
      <c r="B17" s="17" t="inlineStr">
        <is>
          <t>llmMode === "cloudflare"</t>
        </is>
      </c>
      <c r="C17" s="17" t="inlineStr">
        <is>
          <t>env.ts:77・95</t>
        </is>
      </c>
    </row>
    <row r="18">
      <c r="A18" s="17" t="inlineStr">
        <is>
          <t>B8</t>
        </is>
      </c>
      <c r="B18" s="17" t="inlineStr">
        <is>
          <t>!raw.CLOUDFLARE_ACCOUNT_ID</t>
        </is>
      </c>
      <c r="C18" s="17" t="inlineStr">
        <is>
          <t>env.ts:78</t>
        </is>
      </c>
    </row>
    <row r="19">
      <c r="A19" s="17" t="inlineStr">
        <is>
          <t>B9</t>
        </is>
      </c>
      <c r="B19" s="17" t="inlineStr">
        <is>
          <t>!raw.CLOUDFLARE_API_TOKEN</t>
        </is>
      </c>
      <c r="C19" s="17" t="inlineStr">
        <is>
          <t>env.ts:79</t>
        </is>
      </c>
    </row>
    <row r="20">
      <c r="A20" s="17" t="inlineStr">
        <is>
          <t>B10</t>
        </is>
      </c>
      <c r="B20" s="17" t="inlineStr">
        <is>
          <t>observerPort === adminPort</t>
        </is>
      </c>
      <c r="C20" s="17" t="inlineStr">
        <is>
          <t>env.ts:81</t>
        </is>
      </c>
    </row>
    <row r="21">
      <c r="A21" s="17" t="inlineStr">
        <is>
          <t>B11</t>
        </is>
      </c>
      <c r="B21" s="17" t="inlineStr">
        <is>
          <t>clock === "fake" &amp;&amp; nodeEnv === "production"</t>
        </is>
      </c>
      <c r="C21" s="17" t="inlineStr">
        <is>
          <t>env.ts:84</t>
        </is>
      </c>
    </row>
    <row r="22">
      <c r="A22" s="17" t="inlineStr">
        <is>
          <t>B12</t>
        </is>
      </c>
      <c r="B22" s="17" t="inlineStr">
        <is>
          <t>problems.length &gt; 0</t>
        </is>
      </c>
      <c r="C22" s="17" t="inlineStr">
        <is>
          <t>env.ts:87</t>
        </is>
      </c>
    </row>
    <row r="23">
      <c r="A23" s="17" t="inlineStr">
        <is>
          <t>B13</t>
        </is>
      </c>
      <c r="B23" s="17" t="inlineStr">
        <is>
          <t>!Number.isInteger(bytes) || bytes &lt; 1</t>
        </is>
      </c>
      <c r="C23" s="17" t="inlineStr">
        <is>
          <t>tokens.ts:6</t>
        </is>
      </c>
    </row>
    <row r="24">
      <c r="A24" s="17" t="inlineStr">
        <is>
          <t>B14</t>
        </is>
      </c>
      <c r="B24" s="17" t="inlineStr">
        <is>
          <t>left.length !== right.length（バイト数）</t>
        </is>
      </c>
      <c r="C24" s="17" t="inlineStr">
        <is>
          <t>tokens.ts:21</t>
        </is>
      </c>
    </row>
    <row r="25">
      <c r="A25" s="17" t="inlineStr">
        <is>
          <t>B15</t>
        </is>
      </c>
      <c r="B25" s="17" t="inlineStr">
        <is>
          <t>value === null || typeof value !== "object"</t>
        </is>
      </c>
      <c r="C25" s="17" t="inlineStr">
        <is>
          <t>logger.ts:36</t>
        </is>
      </c>
    </row>
    <row r="26">
      <c r="A26" s="17" t="inlineStr">
        <is>
          <t>B16</t>
        </is>
      </c>
      <c r="B26" s="17" t="inlineStr">
        <is>
          <t>seen.has(value)（循環）</t>
        </is>
      </c>
      <c r="C26" s="17" t="inlineStr">
        <is>
          <t>logger.ts:39</t>
        </is>
      </c>
    </row>
    <row r="27">
      <c r="A27" s="17" t="inlineStr">
        <is>
          <t>B17</t>
        </is>
      </c>
      <c r="B27" s="17" t="inlineStr">
        <is>
          <t>value instanceof Date</t>
        </is>
      </c>
      <c r="C27" s="17" t="inlineStr">
        <is>
          <t>logger.ts:42</t>
        </is>
      </c>
    </row>
    <row r="28">
      <c r="A28" s="17" t="inlineStr">
        <is>
          <t>B18</t>
        </is>
      </c>
      <c r="B28" s="17" t="inlineStr">
        <is>
          <t>Array.isArray(value)</t>
        </is>
      </c>
      <c r="C28" s="17" t="inlineStr">
        <is>
          <t>logger.ts:48</t>
        </is>
      </c>
    </row>
    <row r="29">
      <c r="A29" s="17" t="inlineStr">
        <is>
          <t>B19</t>
        </is>
      </c>
      <c r="B29" s="17" t="inlineStr">
        <is>
          <t>value instanceof Error</t>
        </is>
      </c>
      <c r="C29" s="17" t="inlineStr">
        <is>
          <t>logger.ts:52</t>
        </is>
      </c>
    </row>
    <row r="30">
      <c r="A30" s="17" t="inlineStr">
        <is>
          <t>B20</t>
        </is>
      </c>
      <c r="B30" s="17" t="inlineStr">
        <is>
          <t>isSecretKey(key)</t>
        </is>
      </c>
      <c r="C30" s="17" t="inlineStr">
        <is>
          <t>logger.ts:55</t>
        </is>
      </c>
    </row>
    <row r="31">
      <c r="A31" s="17" t="inlineStr">
        <is>
          <t>B21</t>
        </is>
      </c>
      <c r="B31" s="17" t="inlineStr">
        <is>
          <t>水準が設定より下（出さない）</t>
        </is>
      </c>
      <c r="C31" s="17" t="inlineStr">
        <is>
          <t>logger.ts:103</t>
        </is>
      </c>
    </row>
    <row r="32">
      <c r="A32" s="17" t="inlineStr">
        <is>
          <t>B22</t>
        </is>
      </c>
      <c r="B32" s="17" t="inlineStr">
        <is>
          <t>options.sinks が無い（標準出力にする）</t>
        </is>
      </c>
      <c r="C32" s="17" t="inlineStr">
        <is>
          <t>logger.ts:98</t>
        </is>
      </c>
    </row>
    <row r="33">
      <c r="A33" s="17" t="inlineStr">
        <is>
          <t>B23</t>
        </is>
      </c>
      <c r="B33" s="17" t="inlineStr">
        <is>
          <t>options.now が無い（実時刻にする）</t>
        </is>
      </c>
      <c r="C33" s="17" t="inlineStr">
        <is>
          <t>logger.ts:99</t>
        </is>
      </c>
    </row>
    <row r="35">
      <c r="A35" s="14" t="inlineStr">
        <is>
          <t>確認事項・潜在バグ</t>
        </is>
      </c>
    </row>
    <row r="36" ht="30" customHeight="1">
      <c r="A36" s="18" t="inlineStr">
        <is>
          <t>・疑い 1：@nous/shared の ERROR_CODES に CONFLICT がない（TC-UT_LIB-015）。基本設計書 概要 v3.11・BE 詳細設計 admin_auth v1.1 で POST /admin/api/invitations の 409 CONFLICT が追加され、サーバー（lib/errors.ts）には入っているが、共有の ErrorCode の型に入っていない。管理画面の ApiError.code は ErrorCode を型にしているため、招待の上限（409 CONFLICT）を型どおりに分けられない。実行時は code がそのまま渡るので表示は崩れない。重要度の目安：低。</t>
        </is>
      </c>
    </row>
    <row r="37" ht="30" customHeight="1">
      <c r="A37" s="18" t="inlineStr">
        <is>
          <t>・確認事項 1：loadEnv は Zod の検証で誤りがあるとその時点で ConfigError を投げ、意味の検査（Cloudflare の認証情報・ポートの重複・production の fake）は行わない。「すべての問題を並べる」のは段階ごと。設計書に記載はなく、起動を止める動きは正しいので、疑いではなく確認事項とした。</t>
        </is>
      </c>
    </row>
    <row r="38" ht="30" customHeight="1">
      <c r="A38" s="18" t="inlineStr">
        <is>
          <t>・確認事項 2：createLogger は time・level・msg のあとに呼び出しの項目を重ねるため、項目に time・level・msg があると上書きされる。設計書は項目の名前の衝突を決めていない。今のコードに level・msg を項目に渡す呼び出しがないかは、各機能の観点で見る。</t>
        </is>
      </c>
    </row>
    <row r="39" ht="30" customHeight="1">
      <c r="A39" s="18" t="inlineStr">
        <is>
          <t>・確認事項 3：秘密のキーの一覧（設計書どおり）に passwordHash・password_hash は入らない。管理者のパスワードのハッシュをログに出す呼び出しがないかを、NOUS-91（管理者の認証）で確かめる。</t>
        </is>
      </c>
    </row>
    <row r="40" ht="30" customHeight="1">
      <c r="A40" s="18" t="inlineStr">
        <is>
          <t>・確認事項 4：ポートが "-1"・"8080a" のとき、同じ変数の同じ文言の問題が 2 件並ぶ（正規表現と範囲の両方の検査が残るため）。起動を止める動きは正しく、表示が重複するだけ（TC-UT_LIB-017 は件数ではなく変数名で確かめている）。</t>
        </is>
      </c>
    </row>
    <row r="41" ht="30" customHeight="1">
      <c r="A41" s="18" t="inlineStr">
        <is>
          <t>・分岐 B23 の真（now を渡さないと実時刻を使う）は、実時刻に頼るテストを書かない決まり（README 6.2）のため通さない。呼び出し側は Clock の now を渡す。</t>
        </is>
      </c>
    </row>
    <row r="42" ht="30" customHeight="1">
      <c r="A42" s="18" t="inlineStr">
        <is>
          <t>・cursor.ts は NOUS-89 の見本（docs/test/unit/NOUS-89/観点表_cursor.json、TC-UT_LIB-001〜010）で扱ったため、この表には入れていない。</t>
        </is>
      </c>
    </row>
  </sheetData>
  <mergeCells count="7">
    <mergeCell ref="A42:C42"/>
    <mergeCell ref="A41:C41"/>
    <mergeCell ref="A36:C36"/>
    <mergeCell ref="A37:C37"/>
    <mergeCell ref="A40:C40"/>
    <mergeCell ref="A39:C39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2026-10-23T07:25:05Z</dcterms:created>
  <dcterms:modified xsi:type="dcterms:W3CDTF">2026-10-23T07:25:05Z</dcterms:modified>
</cp:coreProperties>
</file>