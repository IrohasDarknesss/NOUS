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'観点表'!$A$4:$Q$59</definedName>
    <definedName name="_xlnm.Print_Titles" localSheetId="0">'観点表'!$4:$4</definedName>
    <definedName name="_xlnm._FilterDatabase" localSheetId="2" hidden="1">'テストデータ'!$A$4:$F$59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共有のスキーマと定数（packages/shared/src）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TC-NOUS42_DEV-01</t>
        </is>
      </c>
      <c r="C5" s="5" t="inlineStr">
        <is>
          <t>パッケージの雛形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shared の vitest と zod が動く</t>
        </is>
      </c>
      <c r="G5" s="5" t="inlineStr">
        <is>
          <t>前提：なし
入力：テストコードのとおり</t>
        </is>
      </c>
      <c r="H5" s="5" t="inlineStr">
        <is>
          <t>shared の vitest と zod が動く</t>
        </is>
      </c>
      <c r="I5" s="5" t="inlineStr"/>
      <c r="J5" s="5" t="inlineStr">
        <is>
          <t>なし</t>
        </is>
      </c>
      <c r="K5" s="5" t="inlineStr"/>
      <c r="L5" s="5" t="inlineStr"/>
      <c r="M5" s="5" t="inlineStr">
        <is>
          <t>TC-NOUS42_DEV-01 shared の vitest と zod が動く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既存テスト：実装時のテスト（NOUS-42）</t>
        </is>
      </c>
    </row>
    <row r="6">
      <c r="A6" s="4" t="n">
        <v>2</v>
      </c>
      <c r="B6" s="4" t="inlineStr">
        <is>
          <t>TC-NOUS46_DEV-01</t>
        </is>
      </c>
      <c r="C6" s="5" t="inlineStr">
        <is>
          <t>AgentInputSchema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正しい入力を受け付け、bio の既定値を '' にする</t>
        </is>
      </c>
      <c r="G6" s="5" t="inlineStr">
        <is>
          <t>前提：なし
入力：テストコードのとおり</t>
        </is>
      </c>
      <c r="H6" s="5" t="inlineStr">
        <is>
          <t>正しい入力を受け付け、bio の既定値を '' にする</t>
        </is>
      </c>
      <c r="I6" s="5" t="inlineStr">
        <is>
          <t>B7-T</t>
        </is>
      </c>
      <c r="J6" s="5" t="inlineStr">
        <is>
          <t>なし</t>
        </is>
      </c>
      <c r="K6" s="5" t="inlineStr"/>
      <c r="L6" s="5" t="inlineStr"/>
      <c r="M6" s="5" t="inlineStr">
        <is>
          <t>TC-NOUS46_DEV-01 正しい入力を受け付け、bio の既定値を '' にする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既存テスト：実装時のテスト（NOUS-46）</t>
        </is>
      </c>
    </row>
    <row r="7">
      <c r="A7" s="4" t="n">
        <v>3</v>
      </c>
      <c r="B7" s="4" t="inlineStr">
        <is>
          <t>TC-NOUS46_DEV-02</t>
        </is>
      </c>
      <c r="C7" s="5" t="inlineStr">
        <is>
          <t>AgentInputSchema（handle）</t>
        </is>
      </c>
      <c r="D7" s="4" t="inlineStr">
        <is>
          <t>異常系</t>
        </is>
      </c>
      <c r="E7" s="4" t="inlineStr">
        <is>
          <t>開発者テスト</t>
        </is>
      </c>
      <c r="F7" s="5" t="inlineStr">
        <is>
          <t>handle は 3〜20 字の半角英数字と _ だけ</t>
        </is>
      </c>
      <c r="G7" s="5" t="inlineStr">
        <is>
          <t>前提：なし
入力：テストコードのとおり</t>
        </is>
      </c>
      <c r="H7" s="5" t="inlineStr">
        <is>
          <t>handle は 3〜20 字の半角英数字と _ だけ</t>
        </is>
      </c>
      <c r="I7" s="5" t="inlineStr"/>
      <c r="J7" s="5" t="inlineStr">
        <is>
          <t>なし</t>
        </is>
      </c>
      <c r="K7" s="5" t="inlineStr"/>
      <c r="L7" s="5" t="inlineStr"/>
      <c r="M7" s="5" t="inlineStr">
        <is>
          <t>TC-NOUS46_DEV-02 handle は 3〜20 字の半角英数字と _ だけ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既存テスト：実装時のテスト（NOUS-46）</t>
        </is>
      </c>
    </row>
    <row r="8">
      <c r="A8" s="4" t="n">
        <v>4</v>
      </c>
      <c r="B8" s="4" t="inlineStr">
        <is>
          <t>TC-NOUS46_DEV-03</t>
        </is>
      </c>
      <c r="C8" s="5" t="inlineStr">
        <is>
          <t>AgentInputSchema（trim）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文字列は前後の空白を除いてから字数を数える</t>
        </is>
      </c>
      <c r="G8" s="5" t="inlineStr">
        <is>
          <t>前提：なし
入力：テストコードのとおり</t>
        </is>
      </c>
      <c r="H8" s="5" t="inlineStr">
        <is>
          <t>文字列は前後の空白を除いてから字数を数える</t>
        </is>
      </c>
      <c r="I8" s="5" t="inlineStr"/>
      <c r="J8" s="5" t="inlineStr">
        <is>
          <t>なし</t>
        </is>
      </c>
      <c r="K8" s="5" t="inlineStr"/>
      <c r="L8" s="5" t="inlineStr"/>
      <c r="M8" s="5" t="inlineStr">
        <is>
          <t>TC-NOUS46_DEV-03 文字列は前後の空白を除いてから字数を数える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既存テスト：実装時のテスト（NOUS-46）</t>
        </is>
      </c>
    </row>
    <row r="9">
      <c r="A9" s="4" t="n">
        <v>5</v>
      </c>
      <c r="B9" s="4" t="inlineStr">
        <is>
          <t>TC-NOUS46_DEV-04</t>
        </is>
      </c>
      <c r="C9" s="5" t="inlineStr">
        <is>
          <t>AgentInputSchema（属性・bio）</t>
        </is>
      </c>
      <c r="D9" s="4" t="inlineStr">
        <is>
          <t>異常系</t>
        </is>
      </c>
      <c r="E9" s="4" t="inlineStr">
        <is>
          <t>開発者テスト</t>
        </is>
      </c>
      <c r="F9" s="5" t="inlineStr">
        <is>
          <t>属性は 100 字まで、bio は 200 字まで</t>
        </is>
      </c>
      <c r="G9" s="5" t="inlineStr">
        <is>
          <t>前提：なし
入力：テストコードのとおり</t>
        </is>
      </c>
      <c r="H9" s="5" t="inlineStr">
        <is>
          <t>属性は 100 字まで、bio は 200 字まで</t>
        </is>
      </c>
      <c r="I9" s="5" t="inlineStr">
        <is>
          <t>B7-F</t>
        </is>
      </c>
      <c r="J9" s="5" t="inlineStr">
        <is>
          <t>なし</t>
        </is>
      </c>
      <c r="K9" s="5" t="inlineStr"/>
      <c r="L9" s="5" t="inlineStr"/>
      <c r="M9" s="5" t="inlineStr">
        <is>
          <t>TC-NOUS46_DEV-04 属性は 100 字まで、bio は 200 字まで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既存テスト：実装時のテスト（NOUS-46）</t>
        </is>
      </c>
    </row>
    <row r="10">
      <c r="A10" s="4" t="n">
        <v>6</v>
      </c>
      <c r="B10" s="4" t="inlineStr">
        <is>
          <t>TC-NOUS46_DEV-05</t>
        </is>
      </c>
      <c r="C10" s="5" t="inlineStr">
        <is>
          <t>AgentInputSchema（activityLevel）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activityLevel は 1〜5 の整数</t>
        </is>
      </c>
      <c r="G10" s="5" t="inlineStr">
        <is>
          <t>前提：なし
入力：テストコードのとおり</t>
        </is>
      </c>
      <c r="H10" s="5" t="inlineStr">
        <is>
          <t>activityLevel は 1〜5 の整数</t>
        </is>
      </c>
      <c r="I10" s="5" t="inlineStr"/>
      <c r="J10" s="5" t="inlineStr">
        <is>
          <t>なし</t>
        </is>
      </c>
      <c r="K10" s="5" t="inlineStr"/>
      <c r="L10" s="5" t="inlineStr"/>
      <c r="M10" s="5" t="inlineStr">
        <is>
          <t>TC-NOUS46_DEV-05 activityLevel は 1〜5 の整数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既存テスト：実装時のテスト（NOUS-46）</t>
        </is>
      </c>
    </row>
    <row r="11">
      <c r="A11" s="4" t="n">
        <v>7</v>
      </c>
      <c r="B11" s="4" t="inlineStr">
        <is>
          <t>TC-NOUS46_DEV-06</t>
        </is>
      </c>
      <c r="C11" s="5" t="inlineStr">
        <is>
          <t>AgentInputSchema（noRealPersonConfirmed）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noRealPersonConfirmed は true だけを受け付ける</t>
        </is>
      </c>
      <c r="G11" s="5" t="inlineStr">
        <is>
          <t>前提：なし
入力：テストコードのとおり</t>
        </is>
      </c>
      <c r="H11" s="5" t="inlineStr">
        <is>
          <t>noRealPersonConfirmed は true だけを受け付ける</t>
        </is>
      </c>
      <c r="I11" s="5" t="inlineStr"/>
      <c r="J11" s="5" t="inlineStr">
        <is>
          <t>なし</t>
        </is>
      </c>
      <c r="K11" s="5" t="inlineStr"/>
      <c r="L11" s="5" t="inlineStr"/>
      <c r="M11" s="5" t="inlineStr">
        <is>
          <t>TC-NOUS46_DEV-06 noRealPersonConfirmed は true だけを受け付ける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既存テスト：実装時のテスト（NOUS-46）</t>
        </is>
      </c>
    </row>
    <row r="12">
      <c r="A12" s="4" t="n">
        <v>8</v>
      </c>
      <c r="B12" s="4" t="inlineStr">
        <is>
          <t>TC-NOUS46_DEV-07</t>
        </is>
      </c>
      <c r="C12" s="5" t="inlineStr">
        <is>
          <t>SettingsSchema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既定の設定を受け付ける</t>
        </is>
      </c>
      <c r="G12" s="5" t="inlineStr">
        <is>
          <t>前提：なし
入力：テストコードのとおり</t>
        </is>
      </c>
      <c r="H12" s="5" t="inlineStr">
        <is>
          <t>既定の設定を受け付ける</t>
        </is>
      </c>
      <c r="I12" s="5" t="inlineStr"/>
      <c r="J12" s="5" t="inlineStr">
        <is>
          <t>なし</t>
        </is>
      </c>
      <c r="K12" s="5" t="inlineStr"/>
      <c r="L12" s="5" t="inlineStr"/>
      <c r="M12" s="5" t="inlineStr">
        <is>
          <t>TC-NOUS46_DEV-07 既定の設定を受け付ける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既存テスト：実装時のテスト（NOUS-46）</t>
        </is>
      </c>
    </row>
    <row r="13">
      <c r="A13" s="4" t="n">
        <v>9</v>
      </c>
      <c r="B13" s="4" t="inlineStr">
        <is>
          <t>TC-NOUS46_DEV-08</t>
        </is>
      </c>
      <c r="C13" s="5" t="inlineStr">
        <is>
          <t>SettingsSchema</t>
        </is>
      </c>
      <c r="D13" s="4" t="inlineStr">
        <is>
          <t>異常系</t>
        </is>
      </c>
      <c r="E13" s="4" t="inlineStr">
        <is>
          <t>開発者テスト</t>
        </is>
      </c>
      <c r="F13" s="5" t="inlineStr">
        <is>
          <t>各項目の範囲の境界</t>
        </is>
      </c>
      <c r="G13" s="5" t="inlineStr">
        <is>
          <t>前提：なし
入力：テストコードのとおり</t>
        </is>
      </c>
      <c r="H13" s="5" t="inlineStr">
        <is>
          <t>各項目の範囲の境界</t>
        </is>
      </c>
      <c r="I13" s="5" t="inlineStr"/>
      <c r="J13" s="5" t="inlineStr">
        <is>
          <t>なし</t>
        </is>
      </c>
      <c r="K13" s="5" t="inlineStr"/>
      <c r="L13" s="5" t="inlineStr"/>
      <c r="M13" s="5" t="inlineStr">
        <is>
          <t>TC-NOUS46_DEV-08 各項目の範囲の境界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既存テスト：実装時のテスト（NOUS-46）</t>
        </is>
      </c>
    </row>
    <row r="14">
      <c r="A14" s="4" t="n">
        <v>10</v>
      </c>
      <c r="B14" s="4" t="inlineStr">
        <is>
          <t>TC-NOUS46_DEV-09</t>
        </is>
      </c>
      <c r="C14" s="5" t="inlineStr">
        <is>
          <t>SettingsSchema（modelId）</t>
        </is>
      </c>
      <c r="D14" s="4" t="inlineStr">
        <is>
          <t>異常系</t>
        </is>
      </c>
      <c r="E14" s="4" t="inlineStr">
        <is>
          <t>開発者テスト</t>
        </is>
      </c>
      <c r="F14" s="5" t="inlineStr">
        <is>
          <t>modelId は 2 つの候補のどちらか</t>
        </is>
      </c>
      <c r="G14" s="5" t="inlineStr">
        <is>
          <t>前提：なし
入力：テストコードのとおり</t>
        </is>
      </c>
      <c r="H14" s="5" t="inlineStr">
        <is>
          <t>modelId は 2 つの候補のどちらか</t>
        </is>
      </c>
      <c r="I14" s="5" t="inlineStr"/>
      <c r="J14" s="5" t="inlineStr">
        <is>
          <t>なし</t>
        </is>
      </c>
      <c r="K14" s="5" t="inlineStr"/>
      <c r="L14" s="5" t="inlineStr"/>
      <c r="M14" s="5" t="inlineStr">
        <is>
          <t>TC-NOUS46_DEV-09 modelId は 2 つの候補のどちらか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既存テスト：実装時のテスト（NOUS-46）</t>
        </is>
      </c>
    </row>
    <row r="15">
      <c r="A15" s="4" t="n">
        <v>11</v>
      </c>
      <c r="B15" s="4" t="inlineStr">
        <is>
          <t>TC-NOUS46_DEV-10</t>
        </is>
      </c>
      <c r="C15" s="5" t="inlineStr">
        <is>
          <t>LoginRequestSchema</t>
        </is>
      </c>
      <c r="D15" s="4" t="inlineStr">
        <is>
          <t>異常系</t>
        </is>
      </c>
      <c r="E15" s="4" t="inlineStr">
        <is>
          <t>開発者テスト</t>
        </is>
      </c>
      <c r="F15" s="5" t="inlineStr">
        <is>
          <t>password は 12〜128 字</t>
        </is>
      </c>
      <c r="G15" s="5" t="inlineStr">
        <is>
          <t>前提：なし
入力：テストコードのとおり</t>
        </is>
      </c>
      <c r="H15" s="5" t="inlineStr">
        <is>
          <t>password は 12〜128 字</t>
        </is>
      </c>
      <c r="I15" s="5" t="inlineStr"/>
      <c r="J15" s="5" t="inlineStr">
        <is>
          <t>なし</t>
        </is>
      </c>
      <c r="K15" s="5" t="inlineStr"/>
      <c r="L15" s="5" t="inlineStr"/>
      <c r="M15" s="5" t="inlineStr">
        <is>
          <t>TC-NOUS46_DEV-10 password は 12〜128 字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既存テスト：実装時のテスト（NOUS-46）</t>
        </is>
      </c>
    </row>
    <row r="16">
      <c r="A16" s="4" t="n">
        <v>12</v>
      </c>
      <c r="B16" s="4" t="inlineStr">
        <is>
          <t>TC-NOUS46_DEV-11</t>
        </is>
      </c>
      <c r="C16" s="5" t="inlineStr">
        <is>
          <t>InvitationCreateRequestSchema</t>
        </is>
      </c>
      <c r="D16" s="4" t="inlineStr">
        <is>
          <t>異常系</t>
        </is>
      </c>
      <c r="E16" s="4" t="inlineStr">
        <is>
          <t>開発者テスト</t>
        </is>
      </c>
      <c r="F16" s="5" t="inlineStr">
        <is>
          <t>招待の label は前後の空白を除いて 1〜30 字</t>
        </is>
      </c>
      <c r="G16" s="5" t="inlineStr">
        <is>
          <t>前提：なし
入力：テストコードのとおり</t>
        </is>
      </c>
      <c r="H16" s="5" t="inlineStr">
        <is>
          <t>招待の label は前後の空白を除いて 1〜30 字</t>
        </is>
      </c>
      <c r="I16" s="5" t="inlineStr"/>
      <c r="J16" s="5" t="inlineStr">
        <is>
          <t>なし</t>
        </is>
      </c>
      <c r="K16" s="5" t="inlineStr"/>
      <c r="L16" s="5" t="inlineStr"/>
      <c r="M16" s="5" t="inlineStr">
        <is>
          <t>TC-NOUS46_DEV-11 招待の label は前後の空白を除いて 1〜30 字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既存テスト：実装時のテスト（NOUS-46）</t>
        </is>
      </c>
    </row>
    <row r="17">
      <c r="A17" s="4" t="n">
        <v>13</v>
      </c>
      <c r="B17" s="4" t="inlineStr">
        <is>
          <t>TC-NOUS46_DEV-12</t>
        </is>
      </c>
      <c r="C17" s="5" t="inlineStr">
        <is>
          <t>HideRequestSchema</t>
        </is>
      </c>
      <c r="D17" s="4" t="inlineStr">
        <is>
          <t>異常系</t>
        </is>
      </c>
      <c r="E17" s="4" t="inlineStr">
        <is>
          <t>開発者テスト</t>
        </is>
      </c>
      <c r="F17" s="5" t="inlineStr">
        <is>
          <t>非表示の理由は任意で 200 字まで</t>
        </is>
      </c>
      <c r="G17" s="5" t="inlineStr">
        <is>
          <t>前提：なし
入力：テストコードのとおり</t>
        </is>
      </c>
      <c r="H17" s="5" t="inlineStr">
        <is>
          <t>非表示の理由は任意で 200 字まで</t>
        </is>
      </c>
      <c r="I17" s="5" t="inlineStr"/>
      <c r="J17" s="5" t="inlineStr">
        <is>
          <t>なし</t>
        </is>
      </c>
      <c r="K17" s="5" t="inlineStr"/>
      <c r="L17" s="5" t="inlineStr"/>
      <c r="M17" s="5" t="inlineStr">
        <is>
          <t>TC-NOUS46_DEV-12 非表示の理由は任意で 200 字まで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既存テスト：実装時のテスト（NOUS-46）</t>
        </is>
      </c>
    </row>
    <row r="18">
      <c r="A18" s="4" t="n">
        <v>14</v>
      </c>
      <c r="B18" s="4" t="inlineStr">
        <is>
          <t>TC-NOUS46_DEV-13</t>
        </is>
      </c>
      <c r="C18" s="5" t="inlineStr">
        <is>
          <t>PostSearchQuerySchema</t>
        </is>
      </c>
      <c r="D18" s="4" t="inlineStr">
        <is>
          <t>異常系</t>
        </is>
      </c>
      <c r="E18" s="4" t="inlineStr">
        <is>
          <t>開発者テスト</t>
        </is>
      </c>
      <c r="F18" s="5" t="inlineStr">
        <is>
          <t>投稿の検索は q が 1〜50 字、limit は既定 50</t>
        </is>
      </c>
      <c r="G18" s="5" t="inlineStr">
        <is>
          <t>前提：なし
入力：テストコードのとおり</t>
        </is>
      </c>
      <c r="H18" s="5" t="inlineStr">
        <is>
          <t>投稿の検索は q が 1〜50 字、limit は既定 50</t>
        </is>
      </c>
      <c r="I18" s="5" t="inlineStr"/>
      <c r="J18" s="5" t="inlineStr">
        <is>
          <t>なし</t>
        </is>
      </c>
      <c r="K18" s="5" t="inlineStr"/>
      <c r="L18" s="5" t="inlineStr"/>
      <c r="M18" s="5" t="inlineStr">
        <is>
          <t>TC-NOUS46_DEV-13 投稿の検索は q が 1〜50 字、limit は既定 50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既存テスト：実装時のテスト（NOUS-46）</t>
        </is>
      </c>
    </row>
    <row r="19">
      <c r="A19" s="4" t="n">
        <v>15</v>
      </c>
      <c r="B19" s="4" t="inlineStr">
        <is>
          <t>TC-NOUS46_DEV-14</t>
        </is>
      </c>
      <c r="C19" s="5" t="inlineStr">
        <is>
          <t>GenerationListQuerySchema</t>
        </is>
      </c>
      <c r="D19" s="4" t="inlineStr">
        <is>
          <t>異常系</t>
        </is>
      </c>
      <c r="E19" s="4" t="inlineStr">
        <is>
          <t>開発者テスト</t>
        </is>
      </c>
      <c r="F19" s="5" t="inlineStr">
        <is>
          <t>生成ログの一覧は from ≦ to</t>
        </is>
      </c>
      <c r="G19" s="5" t="inlineStr">
        <is>
          <t>前提：なし
入力：テストコードのとおり</t>
        </is>
      </c>
      <c r="H19" s="5" t="inlineStr">
        <is>
          <t>生成ログの一覧は from ≦ to</t>
        </is>
      </c>
      <c r="I19" s="5" t="inlineStr">
        <is>
          <t>B1-T, B2-T, B2-F</t>
        </is>
      </c>
      <c r="J19" s="5" t="inlineStr">
        <is>
          <t>なし</t>
        </is>
      </c>
      <c r="K19" s="5" t="inlineStr"/>
      <c r="L19" s="5" t="inlineStr"/>
      <c r="M19" s="5" t="inlineStr">
        <is>
          <t>TC-NOUS46_DEV-14 生成ログの一覧は from ≦ to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既存テスト：実装時のテスト（NOUS-46）</t>
        </is>
      </c>
    </row>
    <row r="20">
      <c r="A20" s="4" t="n">
        <v>16</v>
      </c>
      <c r="B20" s="4" t="inlineStr">
        <is>
          <t>TC-NOUS46_DEV-15</t>
        </is>
      </c>
      <c r="C20" s="5" t="inlineStr">
        <is>
          <t>MetricsQuerySchema</t>
        </is>
      </c>
      <c r="D20" s="4" t="inlineStr">
        <is>
          <t>異常系</t>
        </is>
      </c>
      <c r="E20" s="4" t="inlineStr">
        <is>
          <t>開発者テスト</t>
        </is>
      </c>
      <c r="F20" s="5" t="inlineStr">
        <is>
          <t>指標の期間は from ≦ to で 90 日まで</t>
        </is>
      </c>
      <c r="G20" s="5" t="inlineStr">
        <is>
          <t>前提：なし
入力：テストコードのとおり</t>
        </is>
      </c>
      <c r="H20" s="5" t="inlineStr">
        <is>
          <t>指標の期間は from ≦ to で 90 日まで</t>
        </is>
      </c>
      <c r="I20" s="5" t="inlineStr">
        <is>
          <t>B3-T, B3-F, B4-T, B4-F, B5-T, B5-F, B6-F</t>
        </is>
      </c>
      <c r="J20" s="5" t="inlineStr">
        <is>
          <t>なし</t>
        </is>
      </c>
      <c r="K20" s="5" t="inlineStr"/>
      <c r="L20" s="5" t="inlineStr"/>
      <c r="M20" s="5" t="inlineStr">
        <is>
          <t>TC-NOUS46_DEV-15 指標の期間は from ≦ to で 90 日まで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既存テスト：実装時のテスト（NOUS-46）</t>
        </is>
      </c>
    </row>
    <row r="21">
      <c r="A21" s="4" t="n">
        <v>17</v>
      </c>
      <c r="B21" s="4" t="inlineStr">
        <is>
          <t>TC-NOUS46_DEV-16</t>
        </is>
      </c>
      <c r="C21" s="5" t="inlineStr">
        <is>
          <t>TimelineQuerySchema</t>
        </is>
      </c>
      <c r="D21" s="4" t="inlineStr">
        <is>
          <t>異常系</t>
        </is>
      </c>
      <c r="E21" s="4" t="inlineStr">
        <is>
          <t>開発者テスト</t>
        </is>
      </c>
      <c r="F21" s="5" t="inlineStr">
        <is>
          <t>timeline の limit は文字列から変換し、1〜50、既定 30</t>
        </is>
      </c>
      <c r="G21" s="5" t="inlineStr">
        <is>
          <t>前提：なし
入力：テストコードのとおり</t>
        </is>
      </c>
      <c r="H21" s="5" t="inlineStr">
        <is>
          <t>timeline の limit は文字列から変換し、1〜50、既定 30</t>
        </is>
      </c>
      <c r="I21" s="5" t="inlineStr"/>
      <c r="J21" s="5" t="inlineStr">
        <is>
          <t>なし</t>
        </is>
      </c>
      <c r="K21" s="5" t="inlineStr"/>
      <c r="L21" s="5" t="inlineStr"/>
      <c r="M21" s="5" t="inlineStr">
        <is>
          <t>TC-NOUS46_DEV-16 timeline の limit は文字列から変換し、1〜50、既定 30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既存テスト：実装時のテスト（NOUS-46）</t>
        </is>
      </c>
    </row>
    <row r="22">
      <c r="A22" s="4" t="n">
        <v>18</v>
      </c>
      <c r="B22" s="4" t="inlineStr">
        <is>
          <t>TC-NOUS46_DEV-17</t>
        </is>
      </c>
      <c r="C22" s="5" t="inlineStr">
        <is>
          <t>ThreadQuerySchema</t>
        </is>
      </c>
      <c r="D22" s="4" t="inlineStr">
        <is>
          <t>異常系</t>
        </is>
      </c>
      <c r="E22" s="4" t="inlineStr">
        <is>
          <t>開発者テスト</t>
        </is>
      </c>
      <c r="F22" s="5" t="inlineStr">
        <is>
          <t>thread の depth は 1〜10、既定 5</t>
        </is>
      </c>
      <c r="G22" s="5" t="inlineStr">
        <is>
          <t>前提：なし
入力：テストコードのとおり</t>
        </is>
      </c>
      <c r="H22" s="5" t="inlineStr">
        <is>
          <t>thread の depth は 1〜10、既定 5</t>
        </is>
      </c>
      <c r="I22" s="5" t="inlineStr"/>
      <c r="J22" s="5" t="inlineStr">
        <is>
          <t>なし</t>
        </is>
      </c>
      <c r="K22" s="5" t="inlineStr"/>
      <c r="L22" s="5" t="inlineStr"/>
      <c r="M22" s="5" t="inlineStr">
        <is>
          <t>TC-NOUS46_DEV-17 thread の depth は 1〜10、既定 5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既存テスト：実装時のテスト（NOUS-46）</t>
        </is>
      </c>
    </row>
    <row r="23">
      <c r="A23" s="4" t="n">
        <v>19</v>
      </c>
      <c r="B23" s="4" t="inlineStr">
        <is>
          <t>TC-NOUS46_DEV-18</t>
        </is>
      </c>
      <c r="C23" s="5" t="inlineStr">
        <is>
          <t>FollowsQuerySchema</t>
        </is>
      </c>
      <c r="D23" s="4" t="inlineStr">
        <is>
          <t>異常系</t>
        </is>
      </c>
      <c r="E23" s="4" t="inlineStr">
        <is>
          <t>開発者テスト</t>
        </is>
      </c>
      <c r="F23" s="5" t="inlineStr">
        <is>
          <t>follows の type は following・followers のどちらか</t>
        </is>
      </c>
      <c r="G23" s="5" t="inlineStr">
        <is>
          <t>前提：なし
入力：テストコードのとおり</t>
        </is>
      </c>
      <c r="H23" s="5" t="inlineStr">
        <is>
          <t>follows の type は following・followers のどちらか</t>
        </is>
      </c>
      <c r="I23" s="5" t="inlineStr"/>
      <c r="J23" s="5" t="inlineStr">
        <is>
          <t>なし</t>
        </is>
      </c>
      <c r="K23" s="5" t="inlineStr"/>
      <c r="L23" s="5" t="inlineStr"/>
      <c r="M23" s="5" t="inlineStr">
        <is>
          <t>TC-NOUS46_DEV-18 follows の type は following・followers のどちらか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既存テスト：実装時のテスト（NOUS-46）</t>
        </is>
      </c>
    </row>
    <row r="24">
      <c r="A24" s="4" t="n">
        <v>20</v>
      </c>
      <c r="B24" s="4" t="inlineStr">
        <is>
          <t>TC-NOUS46_DEV-19</t>
        </is>
      </c>
      <c r="C24" s="5" t="inlineStr">
        <is>
          <t>InviteParamsSchema</t>
        </is>
      </c>
      <c r="D24" s="4" t="inlineStr">
        <is>
          <t>異常系</t>
        </is>
      </c>
      <c r="E24" s="4" t="inlineStr">
        <is>
          <t>開発者テスト</t>
        </is>
      </c>
      <c r="F24" s="5" t="inlineStr">
        <is>
          <t>招待トークンは 43 字の Base64URL</t>
        </is>
      </c>
      <c r="G24" s="5" t="inlineStr">
        <is>
          <t>前提：なし
入力：テストコードのとおり</t>
        </is>
      </c>
      <c r="H24" s="5" t="inlineStr">
        <is>
          <t>招待トークンは 43 字の Base64URL</t>
        </is>
      </c>
      <c r="I24" s="5" t="inlineStr"/>
      <c r="J24" s="5" t="inlineStr">
        <is>
          <t>なし</t>
        </is>
      </c>
      <c r="K24" s="5" t="inlineStr"/>
      <c r="L24" s="5" t="inlineStr"/>
      <c r="M24" s="5" t="inlineStr">
        <is>
          <t>TC-NOUS46_DEV-19 招待トークンは 43 字の Base64URL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既存テスト：実装時のテスト（NOUS-46）</t>
        </is>
      </c>
    </row>
    <row r="25">
      <c r="A25" s="4" t="n">
        <v>21</v>
      </c>
      <c r="B25" s="4" t="inlineStr">
        <is>
          <t>TC-NOUS46_DEV-20</t>
        </is>
      </c>
      <c r="C25" s="5" t="inlineStr">
        <is>
          <t>AUDIT_OPERATIONS</t>
        </is>
      </c>
      <c r="D25" s="4" t="inlineStr">
        <is>
          <t>正常系</t>
        </is>
      </c>
      <c r="E25" s="4" t="inlineStr">
        <is>
          <t>開発者テスト</t>
        </is>
      </c>
      <c r="F25" s="5" t="inlineStr">
        <is>
          <t>管理操作の種類は 18 種</t>
        </is>
      </c>
      <c r="G25" s="5" t="inlineStr">
        <is>
          <t>前提：なし
入力：テストコードのとおり</t>
        </is>
      </c>
      <c r="H25" s="5" t="inlineStr">
        <is>
          <t>管理操作の種類は 18 種</t>
        </is>
      </c>
      <c r="I25" s="5" t="inlineStr"/>
      <c r="J25" s="5" t="inlineStr">
        <is>
          <t>なし</t>
        </is>
      </c>
      <c r="K25" s="5" t="inlineStr"/>
      <c r="L25" s="5" t="inlineStr"/>
      <c r="M25" s="5" t="inlineStr">
        <is>
          <t>TC-NOUS46_DEV-20 管理操作の種類は 18 種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既存テスト：実装時のテスト（NOUS-46）</t>
        </is>
      </c>
    </row>
    <row r="26">
      <c r="A26" s="4" t="n">
        <v>22</v>
      </c>
      <c r="B26" s="4" t="inlineStr">
        <is>
          <t>TC-NOUS46_DEV-21</t>
        </is>
      </c>
      <c r="C26" s="5" t="inlineStr">
        <is>
          <t>DEFAULT_SETTINGS / SETTINGS_RANGES</t>
        </is>
      </c>
      <c r="D26" s="4" t="inlineStr">
        <is>
          <t>正常系</t>
        </is>
      </c>
      <c r="E26" s="4" t="inlineStr">
        <is>
          <t>開発者テスト</t>
        </is>
      </c>
      <c r="F26" s="5" t="inlineStr">
        <is>
          <t>実行設定の既定値は範囲の中にあり、SettingsSchema を通る</t>
        </is>
      </c>
      <c r="G26" s="5" t="inlineStr">
        <is>
          <t>前提：なし
入力：テストコードのとおり</t>
        </is>
      </c>
      <c r="H26" s="5" t="inlineStr">
        <is>
          <t>実行設定の既定値は範囲の中にあり、SettingsSchema を通る</t>
        </is>
      </c>
      <c r="I26" s="5" t="inlineStr"/>
      <c r="J26" s="5" t="inlineStr">
        <is>
          <t>なし</t>
        </is>
      </c>
      <c r="K26" s="5" t="inlineStr"/>
      <c r="L26" s="5" t="inlineStr"/>
      <c r="M26" s="5" t="inlineStr">
        <is>
          <t>TC-NOUS46_DEV-21 実行設定の既定値は範囲の中にあり、SettingsSchema を通る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既存テスト：実装時のテスト（NOUS-46）</t>
        </is>
      </c>
    </row>
    <row r="27">
      <c r="A27" s="4" t="n">
        <v>23</v>
      </c>
      <c r="B27" s="4" t="inlineStr">
        <is>
          <t>TC-NOUS46_DEV-22</t>
        </is>
      </c>
      <c r="C27" s="5" t="inlineStr">
        <is>
          <t>ERROR_CODES</t>
        </is>
      </c>
      <c r="D27" s="4" t="inlineStr">
        <is>
          <t>正常系</t>
        </is>
      </c>
      <c r="E27" s="4" t="inlineStr">
        <is>
          <t>開発者テスト</t>
        </is>
      </c>
      <c r="F27" s="5" t="inlineStr">
        <is>
          <t>エラーコードに重複がない</t>
        </is>
      </c>
      <c r="G27" s="5" t="inlineStr">
        <is>
          <t>前提：なし
入力：テストコードのとおり</t>
        </is>
      </c>
      <c r="H27" s="5" t="inlineStr">
        <is>
          <t>エラーコードに重複がない</t>
        </is>
      </c>
      <c r="I27" s="5" t="inlineStr"/>
      <c r="J27" s="5" t="inlineStr">
        <is>
          <t>なし</t>
        </is>
      </c>
      <c r="K27" s="5" t="inlineStr"/>
      <c r="L27" s="5" t="inlineStr"/>
      <c r="M27" s="5" t="inlineStr">
        <is>
          <t>TC-NOUS46_DEV-22 エラーコードに重複がない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既存テスト：実装時のテスト（NOUS-46）</t>
        </is>
      </c>
    </row>
    <row r="28">
      <c r="A28" s="4" t="n">
        <v>24</v>
      </c>
      <c r="B28" s="4" t="inlineStr">
        <is>
          <t>TC-UT_SHR-001</t>
        </is>
      </c>
      <c r="C28" s="5" t="inlineStr">
        <is>
          <t>IdSchema</t>
        </is>
      </c>
      <c r="D28" s="4" t="inlineStr">
        <is>
          <t>異常系</t>
        </is>
      </c>
      <c r="E28" s="4" t="inlineStr">
        <is>
          <t>境界値</t>
        </is>
      </c>
      <c r="F28" s="5" t="inlineStr">
        <is>
          <t>IdSchema は 26 字だけを受け付ける</t>
        </is>
      </c>
      <c r="G28" s="5" t="inlineStr">
        <is>
          <t>前提：なし
入力：25・26・27 字</t>
        </is>
      </c>
      <c r="H28" s="5" t="inlineStr">
        <is>
          <t>26 字だけ受け付ける</t>
        </is>
      </c>
      <c r="I28" s="5" t="inlineStr"/>
      <c r="J28" s="5" t="inlineStr">
        <is>
          <t>なし</t>
        </is>
      </c>
      <c r="K28" s="5" t="inlineStr"/>
      <c r="L28" s="5" t="inlineStr"/>
      <c r="M28" s="5" t="inlineStr">
        <is>
          <t>TC-UT_SHR-001 IdSchema は 26 字だけを受け付ける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既存テスト：一部 TC-NOUS46_DEV-16（"short" だけ）
字の種類は見ない（確認事項 1）</t>
        </is>
      </c>
    </row>
    <row r="29">
      <c r="A29" s="4" t="n">
        <v>25</v>
      </c>
      <c r="B29" s="4" t="inlineStr">
        <is>
          <t>TC-UT_SHR-002</t>
        </is>
      </c>
      <c r="C29" s="5" t="inlineStr">
        <is>
          <t>TokenSchema</t>
        </is>
      </c>
      <c r="D29" s="4" t="inlineStr">
        <is>
          <t>異常系</t>
        </is>
      </c>
      <c r="E29" s="4" t="inlineStr">
        <is>
          <t>境界値</t>
        </is>
      </c>
      <c r="F29" s="5" t="inlineStr">
        <is>
          <t>TokenSchema は 43 字の Base64URL だけを受け付ける</t>
        </is>
      </c>
      <c r="G29" s="5" t="inlineStr">
        <is>
          <t>前提：なし
入力：- と _ を含む 43 字、44 字、= を含む 43 字</t>
        </is>
      </c>
      <c r="H29" s="5" t="inlineStr">
        <is>
          <t>- と _ を含む 43 字だけ受け付ける</t>
        </is>
      </c>
      <c r="I29" s="5" t="inlineStr"/>
      <c r="J29" s="5" t="inlineStr">
        <is>
          <t>なし</t>
        </is>
      </c>
      <c r="K29" s="5" t="inlineStr"/>
      <c r="L29" s="5" t="inlineStr"/>
      <c r="M29" s="5" t="inlineStr">
        <is>
          <t>TC-UT_SHR-002 TokenSchema は 43 字の Base64URL だけを受け付ける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既存テスト：一部 TC-NOUS46_DEV-19（42 字と + だけ）</t>
        </is>
      </c>
    </row>
    <row r="30">
      <c r="A30" s="4" t="n">
        <v>26</v>
      </c>
      <c r="B30" s="4" t="inlineStr">
        <is>
          <t>TC-UT_SHR-003</t>
        </is>
      </c>
      <c r="C30" s="5" t="inlineStr">
        <is>
          <t>CursorSchema</t>
        </is>
      </c>
      <c r="D30" s="4" t="inlineStr">
        <is>
          <t>異常系</t>
        </is>
      </c>
      <c r="E30" s="4" t="inlineStr">
        <is>
          <t>境界値</t>
        </is>
      </c>
      <c r="F30" s="5" t="inlineStr">
        <is>
          <t>CursorSchema は 1〜200 字の Base64URL だけを受け付ける</t>
        </is>
      </c>
      <c r="G30" s="5" t="inlineStr">
        <is>
          <t>前提：なし
入力：空・1 字・200 字・201 字・パディング付き</t>
        </is>
      </c>
      <c r="H30" s="5" t="inlineStr">
        <is>
          <t>1 字と 200 字だけ受け付ける</t>
        </is>
      </c>
      <c r="I30" s="5" t="inlineStr"/>
      <c r="J30" s="5" t="inlineStr">
        <is>
          <t>なし</t>
        </is>
      </c>
      <c r="K30" s="5" t="inlineStr"/>
      <c r="L30" s="5" t="inlineStr"/>
      <c r="M30" s="5" t="inlineStr">
        <is>
          <t>TC-UT_SHR-003 CursorSchema は 1〜200 字の Base64URL だけを受け付ける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</t>
        </is>
      </c>
    </row>
    <row r="31">
      <c r="A31" s="4" t="n">
        <v>27</v>
      </c>
      <c r="B31" s="4" t="inlineStr">
        <is>
          <t>TC-UT_SHR-004</t>
        </is>
      </c>
      <c r="C31" s="5" t="inlineStr">
        <is>
          <t>ObserverLimitSchema</t>
        </is>
      </c>
      <c r="D31" s="4" t="inlineStr">
        <is>
          <t>異常系</t>
        </is>
      </c>
      <c r="E31" s="4" t="inlineStr">
        <is>
          <t>同値分割</t>
        </is>
      </c>
      <c r="F31" s="5" t="inlineStr">
        <is>
          <t>ObserverLimitSchema は下限 1 の整数だけを受け付け、文字列も数値にする</t>
        </is>
      </c>
      <c r="G31" s="5" t="inlineStr">
        <is>
          <t>前提：なし
入力："1"、1、"2.5"、"abc"</t>
        </is>
      </c>
      <c r="H31" s="5" t="inlineStr">
        <is>
          <t>"1" と 1 は受け付け、小数と数字でない値は受け付けない</t>
        </is>
      </c>
      <c r="I31" s="5" t="inlineStr"/>
      <c r="J31" s="5" t="inlineStr">
        <is>
          <t>なし</t>
        </is>
      </c>
      <c r="K31" s="5" t="inlineStr"/>
      <c r="L31" s="5" t="inlineStr"/>
      <c r="M31" s="5" t="inlineStr">
        <is>
          <t>TC-UT_SHR-004 ObserverLimitSchema は下限 1 の整数だけを受け付け、文字列も数値にする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既存テスト：一部 TC-NOUS46_DEV-16（0・50・51 だけ）</t>
        </is>
      </c>
    </row>
    <row r="32">
      <c r="A32" s="4" t="n">
        <v>28</v>
      </c>
      <c r="B32" s="4" t="inlineStr">
        <is>
          <t>TC-UT_SHR-005</t>
        </is>
      </c>
      <c r="C32" s="5" t="inlineStr">
        <is>
          <t>AdminLimitSchema</t>
        </is>
      </c>
      <c r="D32" s="4" t="inlineStr">
        <is>
          <t>正常系</t>
        </is>
      </c>
      <c r="E32" s="4" t="inlineStr">
        <is>
          <t>境界値</t>
        </is>
      </c>
      <c r="F32" s="5" t="inlineStr">
        <is>
          <t>AdminLimitSchema は 1〜100 を受け付け、省略時は 50 にする</t>
        </is>
      </c>
      <c r="G32" s="5" t="inlineStr">
        <is>
          <t>前提：なし
入力：省略、"1"、"100"</t>
        </is>
      </c>
      <c r="H32" s="5" t="inlineStr">
        <is>
          <t>50、1、100</t>
        </is>
      </c>
      <c r="I32" s="5" t="inlineStr"/>
      <c r="J32" s="5" t="inlineStr">
        <is>
          <t>なし</t>
        </is>
      </c>
      <c r="K32" s="5" t="inlineStr"/>
      <c r="L32" s="5" t="inlineStr"/>
      <c r="M32" s="5" t="inlineStr">
        <is>
          <t>TC-UT_SHR-005 AdminLimitSchema は 1〜100 を受け付け、省略時は 50 にする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既存テスト：一部 TC-NOUS46_DEV-13（既定値と 101 だけ）</t>
        </is>
      </c>
    </row>
    <row r="33">
      <c r="A33" s="4" t="n">
        <v>29</v>
      </c>
      <c r="B33" s="4" t="inlineStr">
        <is>
          <t>TC-UT_SHR-006</t>
        </is>
      </c>
      <c r="C33" s="5" t="inlineStr">
        <is>
          <t>AdminLimitSchema</t>
        </is>
      </c>
      <c r="D33" s="4" t="inlineStr">
        <is>
          <t>異常系</t>
        </is>
      </c>
      <c r="E33" s="4" t="inlineStr">
        <is>
          <t>境界値</t>
        </is>
      </c>
      <c r="F33" s="5" t="inlineStr">
        <is>
          <t>AdminLimitSchema は 0 を受け付けない</t>
        </is>
      </c>
      <c r="G33" s="5" t="inlineStr">
        <is>
          <t>前提：なし
入力："0"</t>
        </is>
      </c>
      <c r="H33" s="5" t="inlineStr">
        <is>
          <t>受け付けない</t>
        </is>
      </c>
      <c r="I33" s="5" t="inlineStr"/>
      <c r="J33" s="5" t="inlineStr">
        <is>
          <t>なし</t>
        </is>
      </c>
      <c r="K33" s="5" t="inlineStr"/>
      <c r="L33" s="5" t="inlineStr"/>
      <c r="M33" s="5" t="inlineStr">
        <is>
          <t>TC-UT_SHR-006 AdminLimitSchema は 0 を受け付けない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</t>
        </is>
      </c>
    </row>
    <row r="34">
      <c r="A34" s="4" t="n">
        <v>30</v>
      </c>
      <c r="B34" s="4" t="inlineStr">
        <is>
          <t>TC-UT_SHR-007</t>
        </is>
      </c>
      <c r="C34" s="5" t="inlineStr">
        <is>
          <t>UsageDateSchema</t>
        </is>
      </c>
      <c r="D34" s="4" t="inlineStr">
        <is>
          <t>異常系</t>
        </is>
      </c>
      <c r="E34" s="4" t="inlineStr">
        <is>
          <t>境界値</t>
        </is>
      </c>
      <c r="F34" s="5" t="inlineStr">
        <is>
          <t>UsageDateSchema は実在する YYYY-MM-DD だけを受け付ける</t>
        </is>
      </c>
      <c r="G34" s="5" t="inlineStr">
        <is>
          <t>前提：なし
入力：2028-02-29、2026-02-29、2026-13-01、2026-1-01、2026/10/01</t>
        </is>
      </c>
      <c r="H34" s="5" t="inlineStr">
        <is>
          <t>閏年の 2/29 だけ受け付ける</t>
        </is>
      </c>
      <c r="I34" s="5" t="inlineStr">
        <is>
          <t>B6-T, B6-F</t>
        </is>
      </c>
      <c r="J34" s="5" t="inlineStr">
        <is>
          <t>なし</t>
        </is>
      </c>
      <c r="K34" s="5" t="inlineStr"/>
      <c r="L34" s="5" t="inlineStr"/>
      <c r="M34" s="5" t="inlineStr">
        <is>
          <t>TC-UT_SHR-007 UsageDateSchema は実在する YYYY-MM-DD だけを受け付ける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既存テスト：一部 TC-NOUS46_DEV-15（2026-02-30 だけ）</t>
        </is>
      </c>
    </row>
    <row r="35">
      <c r="A35" s="4" t="n">
        <v>31</v>
      </c>
      <c r="B35" s="4" t="inlineStr">
        <is>
          <t>TC-UT_SHR-008</t>
        </is>
      </c>
      <c r="C35" s="5" t="inlineStr">
        <is>
          <t>IsoDateTimeSchema</t>
        </is>
      </c>
      <c r="D35" s="4" t="inlineStr">
        <is>
          <t>異常系</t>
        </is>
      </c>
      <c r="E35" s="4" t="inlineStr">
        <is>
          <t>同値分割</t>
        </is>
      </c>
      <c r="F35" s="5" t="inlineStr">
        <is>
          <t>IsoDateTimeSchema は時差のついた ISO 8601 の日時だけを受け付ける</t>
        </is>
      </c>
      <c r="G35" s="5" t="inlineStr">
        <is>
          <t>前提：なし
入力：Z 付き、+09:00 付き、時差なし、日付だけ</t>
        </is>
      </c>
      <c r="H35" s="5" t="inlineStr">
        <is>
          <t>時差の付いた 2 つだけ受け付ける</t>
        </is>
      </c>
      <c r="I35" s="5" t="inlineStr"/>
      <c r="J35" s="5" t="inlineStr">
        <is>
          <t>なし</t>
        </is>
      </c>
      <c r="K35" s="5" t="inlineStr"/>
      <c r="L35" s="5" t="inlineStr"/>
      <c r="M35" s="5" t="inlineStr">
        <is>
          <t>TC-UT_SHR-008 IsoDateTimeSchema は時差のついた ISO 8601 の日時だけを受け付ける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既存テスト：なし</t>
        </is>
      </c>
    </row>
    <row r="36">
      <c r="A36" s="4" t="n">
        <v>32</v>
      </c>
      <c r="B36" s="4" t="inlineStr">
        <is>
          <t>TC-UT_SHR-009</t>
        </is>
      </c>
      <c r="C36" s="5" t="inlineStr">
        <is>
          <t>LoginRequestSchema</t>
        </is>
      </c>
      <c r="D36" s="4" t="inlineStr">
        <is>
          <t>正常系</t>
        </is>
      </c>
      <c r="E36" s="4" t="inlineStr">
        <is>
          <t>境界値</t>
        </is>
      </c>
      <c r="F36" s="5" t="inlineStr">
        <is>
          <t>ログインのパスワードは前後の空白を除かずに字数を数える</t>
        </is>
      </c>
      <c r="G36" s="5" t="inlineStr">
        <is>
          <t>前提：なし
入力：前後に空白のある 12 字（中身は 10 字）</t>
        </is>
      </c>
      <c r="H36" s="5" t="inlineStr">
        <is>
          <t>受け付け、空白を除かずにそのまま返す</t>
        </is>
      </c>
      <c r="I36" s="5" t="inlineStr"/>
      <c r="J36" s="5" t="inlineStr">
        <is>
          <t>なし</t>
        </is>
      </c>
      <c r="K36" s="5" t="inlineStr"/>
      <c r="L36" s="5" t="inlineStr"/>
      <c r="M36" s="5" t="inlineStr">
        <is>
          <t>TC-UT_SHR-009 ログインのパスワードは前後の空白を除かずに字数を数える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既存テスト：一部 TC-NOUS46_DEV-10（空白なしの字数だけ）</t>
        </is>
      </c>
    </row>
    <row r="37">
      <c r="A37" s="4" t="n">
        <v>33</v>
      </c>
      <c r="B37" s="4" t="inlineStr">
        <is>
          <t>TC-UT_SHR-010</t>
        </is>
      </c>
      <c r="C37" s="5" t="inlineStr">
        <is>
          <t>InvitationCreateRequestSchema</t>
        </is>
      </c>
      <c r="D37" s="4" t="inlineStr">
        <is>
          <t>正常系</t>
        </is>
      </c>
      <c r="E37" s="4" t="inlineStr">
        <is>
          <t>境界値</t>
        </is>
      </c>
      <c r="F37" s="5" t="inlineStr">
        <is>
          <t>招待の label は前後の空白を除いた値にし、1 字を受け付ける</t>
        </is>
      </c>
      <c r="G37" s="5" t="inlineStr">
        <is>
          <t>前提：なし
入力："  あ  "</t>
        </is>
      </c>
      <c r="H37" s="5" t="inlineStr">
        <is>
          <t>受け付け、label は "あ"</t>
        </is>
      </c>
      <c r="I37" s="5" t="inlineStr"/>
      <c r="J37" s="5" t="inlineStr">
        <is>
          <t>なし</t>
        </is>
      </c>
      <c r="K37" s="5" t="inlineStr"/>
      <c r="L37" s="5" t="inlineStr"/>
      <c r="M37" s="5" t="inlineStr">
        <is>
          <t>TC-UT_SHR-010 招待の label は前後の空白を除いた値にし、1 字を受け付ける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既存テスト：一部 TC-NOUS46_DEV-11（空白だけ・30 字・31 字）</t>
        </is>
      </c>
    </row>
    <row r="38">
      <c r="A38" s="4" t="n">
        <v>34</v>
      </c>
      <c r="B38" s="4" t="inlineStr">
        <is>
          <t>TC-UT_SHR-011</t>
        </is>
      </c>
      <c r="C38" s="5" t="inlineStr">
        <is>
          <t>AuditLogQuerySchema</t>
        </is>
      </c>
      <c r="D38" s="4" t="inlineStr">
        <is>
          <t>異常系</t>
        </is>
      </c>
      <c r="E38" s="4" t="inlineStr">
        <is>
          <t>同値分割</t>
        </is>
      </c>
      <c r="F38" s="5" t="inlineStr">
        <is>
          <t>管理操作の履歴の絞り込みは 18 種の操作とカーソルを検証する</t>
        </is>
      </c>
      <c r="G38" s="5" t="inlineStr">
        <is>
          <t>前提：なし
入力：operation = admin.login_failed、admin.unknown、cursor が 201 字</t>
        </is>
      </c>
      <c r="H38" s="5" t="inlineStr">
        <is>
          <t>admin.login_failed だけ受け付ける</t>
        </is>
      </c>
      <c r="I38" s="5" t="inlineStr"/>
      <c r="J38" s="5" t="inlineStr">
        <is>
          <t>なし</t>
        </is>
      </c>
      <c r="K38" s="5" t="inlineStr"/>
      <c r="L38" s="5" t="inlineStr"/>
      <c r="M38" s="5" t="inlineStr">
        <is>
          <t>TC-UT_SHR-011 管理操作の履歴の絞り込みは 18 種の操作とカーソルを検証する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既存テスト：なし</t>
        </is>
      </c>
    </row>
    <row r="39">
      <c r="A39" s="4" t="n">
        <v>35</v>
      </c>
      <c r="B39" s="4" t="inlineStr">
        <is>
          <t>TC-UT_SHR-012</t>
        </is>
      </c>
      <c r="C39" s="5" t="inlineStr">
        <is>
          <t>WorldResetRequestSchema</t>
        </is>
      </c>
      <c r="D39" s="4" t="inlineStr">
        <is>
          <t>異常系</t>
        </is>
      </c>
      <c r="E39" s="4" t="inlineStr">
        <is>
          <t>境界値</t>
        </is>
      </c>
      <c r="F39" s="5" t="inlineStr">
        <is>
          <t>世界のリセットの確認の名前は 1 字以上</t>
        </is>
      </c>
      <c r="G39" s="5" t="inlineStr">
        <is>
          <t>前提：なし
入力：confirmName = ""、"a"</t>
        </is>
      </c>
      <c r="H39" s="5" t="inlineStr">
        <is>
          <t>"a" だけ受け付ける</t>
        </is>
      </c>
      <c r="I39" s="5" t="inlineStr"/>
      <c r="J39" s="5" t="inlineStr">
        <is>
          <t>なし</t>
        </is>
      </c>
      <c r="K39" s="5" t="inlineStr"/>
      <c r="L39" s="5" t="inlineStr"/>
      <c r="M39" s="5" t="inlineStr">
        <is>
          <t>TC-UT_SHR-012 世界のリセットの確認の名前は 1 字以上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既存テスト：なし</t>
        </is>
      </c>
    </row>
    <row r="40">
      <c r="A40" s="4" t="n">
        <v>36</v>
      </c>
      <c r="B40" s="4" t="inlineStr">
        <is>
          <t>TC-UT_SHR-013</t>
        </is>
      </c>
      <c r="C40" s="5" t="inlineStr">
        <is>
          <t>GenerationListQuerySchema</t>
        </is>
      </c>
      <c r="D40" s="4" t="inlineStr">
        <is>
          <t>正常系</t>
        </is>
      </c>
      <c r="E40" s="4" t="inlineStr">
        <is>
          <t>境界値</t>
        </is>
      </c>
      <c r="F40" s="5" t="inlineStr">
        <is>
          <t>生成ログの期間は時刻として from ≦ to を比べる</t>
        </is>
      </c>
      <c r="G40" s="5" t="inlineStr">
        <is>
          <t>前提：なし
入力：from = to、時差の違う同じ時刻、from だけ、to だけ、時差を入れると from が 1 秒後</t>
        </is>
      </c>
      <c r="H40" s="5" t="inlineStr">
        <is>
          <t>最後だけ受け付けない</t>
        </is>
      </c>
      <c r="I40" s="5" t="inlineStr">
        <is>
          <t>B1-T, B1-F, B2-T, B2-F</t>
        </is>
      </c>
      <c r="J40" s="5" t="inlineStr">
        <is>
          <t>なし</t>
        </is>
      </c>
      <c r="K40" s="5" t="inlineStr"/>
      <c r="L40" s="5" t="inlineStr"/>
      <c r="M40" s="5" t="inlineStr">
        <is>
          <t>TC-UT_SHR-013 生成ログの期間は時刻として from ≦ to を比べる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既存テスト：一部 TC-NOUS46_DEV-14（from &lt; to と逆順だけ）</t>
        </is>
      </c>
    </row>
    <row r="41">
      <c r="A41" s="4" t="n">
        <v>37</v>
      </c>
      <c r="B41" s="4" t="inlineStr">
        <is>
          <t>TC-UT_SHR-014</t>
        </is>
      </c>
      <c r="C41" s="5" t="inlineStr">
        <is>
          <t>GenerationListQuerySchema</t>
        </is>
      </c>
      <c r="D41" s="4" t="inlineStr">
        <is>
          <t>異常系</t>
        </is>
      </c>
      <c r="E41" s="4" t="inlineStr">
        <is>
          <t>エラー処理</t>
        </is>
      </c>
      <c r="F41" s="5" t="inlineStr">
        <is>
          <t>生成ログの期間が逆のとき、エラーは to の項目に付く</t>
        </is>
      </c>
      <c r="G41" s="5" t="inlineStr">
        <is>
          <t>前提：なし
入力：from が to より 5 時間後</t>
        </is>
      </c>
      <c r="H41" s="5" t="inlineStr">
        <is>
          <t>issues は 1 件で、path は ["to"]</t>
        </is>
      </c>
      <c r="I41" s="5" t="inlineStr">
        <is>
          <t>B1-T, B2-F</t>
        </is>
      </c>
      <c r="J41" s="5" t="inlineStr">
        <is>
          <t>なし</t>
        </is>
      </c>
      <c r="K41" s="5" t="inlineStr"/>
      <c r="L41" s="5" t="inlineStr"/>
      <c r="M41" s="5" t="inlineStr">
        <is>
          <t>TC-UT_SHR-014 生成ログの期間が逆のとき、エラーは to の項目に付く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既存テスト：なし</t>
        </is>
      </c>
    </row>
    <row r="42">
      <c r="A42" s="4" t="n">
        <v>38</v>
      </c>
      <c r="B42" s="4" t="inlineStr">
        <is>
          <t>TC-UT_SHR-015</t>
        </is>
      </c>
      <c r="C42" s="5" t="inlineStr">
        <is>
          <t>PostSearchQuerySchema</t>
        </is>
      </c>
      <c r="D42" s="4" t="inlineStr">
        <is>
          <t>異常系</t>
        </is>
      </c>
      <c r="E42" s="4" t="inlineStr">
        <is>
          <t>境界値</t>
        </is>
      </c>
      <c r="F42" s="5" t="inlineStr">
        <is>
          <t>投稿の検索の q・agentId・visibility の境界</t>
        </is>
      </c>
      <c r="G42" s="5" t="inlineStr">
        <is>
          <t>前提：なし
入力：q が 1 字・50 字、agentId が 25 字、visibility = deleted</t>
        </is>
      </c>
      <c r="H42" s="5" t="inlineStr">
        <is>
          <t>q の 2 つだけ受け付ける</t>
        </is>
      </c>
      <c r="I42" s="5" t="inlineStr"/>
      <c r="J42" s="5" t="inlineStr">
        <is>
          <t>なし</t>
        </is>
      </c>
      <c r="K42" s="5" t="inlineStr"/>
      <c r="L42" s="5" t="inlineStr"/>
      <c r="M42" s="5" t="inlineStr">
        <is>
          <t>TC-UT_SHR-015 投稿の検索の q・agentId・visibility の境界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既存テスト：一部 TC-NOUS46_DEV-13（q の 0 字・51 字だけ）</t>
        </is>
      </c>
    </row>
    <row r="43">
      <c r="A43" s="4" t="n">
        <v>39</v>
      </c>
      <c r="B43" s="4" t="inlineStr">
        <is>
          <t>TC-UT_SHR-016</t>
        </is>
      </c>
      <c r="C43" s="5" t="inlineStr">
        <is>
          <t>HideRequestSchema</t>
        </is>
      </c>
      <c r="D43" s="4" t="inlineStr">
        <is>
          <t>正常系</t>
        </is>
      </c>
      <c r="E43" s="4" t="inlineStr">
        <is>
          <t>境界値</t>
        </is>
      </c>
      <c r="F43" s="5" t="inlineStr">
        <is>
          <t>非表示の理由は空の文字列でもよい</t>
        </is>
      </c>
      <c r="G43" s="5" t="inlineStr">
        <is>
          <t>前提：なし
入力：reason = ""</t>
        </is>
      </c>
      <c r="H43" s="5" t="inlineStr">
        <is>
          <t>受け付ける</t>
        </is>
      </c>
      <c r="I43" s="5" t="inlineStr"/>
      <c r="J43" s="5" t="inlineStr">
        <is>
          <t>なし</t>
        </is>
      </c>
      <c r="K43" s="5" t="inlineStr"/>
      <c r="L43" s="5" t="inlineStr"/>
      <c r="M43" s="5" t="inlineStr">
        <is>
          <t>TC-UT_SHR-016 非表示の理由は空の文字列でもよい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既存テスト：一部 TC-NOUS46_DEV-12（省略と 200・201 字）</t>
        </is>
      </c>
    </row>
    <row r="44">
      <c r="A44" s="4" t="n">
        <v>40</v>
      </c>
      <c r="B44" s="4" t="inlineStr">
        <is>
          <t>TC-UT_SHR-017</t>
        </is>
      </c>
      <c r="C44" s="5" t="inlineStr">
        <is>
          <t>MetricsQuerySchema</t>
        </is>
      </c>
      <c r="D44" s="4" t="inlineStr">
        <is>
          <t>異常系</t>
        </is>
      </c>
      <c r="E44" s="4" t="inlineStr">
        <is>
          <t>境界値</t>
        </is>
      </c>
      <c r="F44" s="5" t="inlineStr">
        <is>
          <t>指標の期間は 1 日から受け付け、日付の形を検証する</t>
        </is>
      </c>
      <c r="G44" s="5" t="inlineStr">
        <is>
          <t>前提：なし
入力：from = to（1 日）、to だけ、from が 2026/10/01</t>
        </is>
      </c>
      <c r="H44" s="5" t="inlineStr">
        <is>
          <t>前の 2 つだけ受け付ける</t>
        </is>
      </c>
      <c r="I44" s="5" t="inlineStr">
        <is>
          <t>B3-T, B3-F, B4-F, B5-F, B6-F</t>
        </is>
      </c>
      <c r="J44" s="5" t="inlineStr">
        <is>
          <t>なし</t>
        </is>
      </c>
      <c r="K44" s="5" t="inlineStr"/>
      <c r="L44" s="5" t="inlineStr"/>
      <c r="M44" s="5" t="inlineStr">
        <is>
          <t>TC-UT_SHR-017 指標の期間は 1 日から受け付け、日付の形を検証する</t>
        </is>
      </c>
      <c r="N44" s="6" t="inlineStr">
        <is>
          <t>未実施</t>
        </is>
      </c>
      <c r="O44" s="6" t="inlineStr"/>
      <c r="P44" s="6" t="inlineStr"/>
      <c r="Q44" s="7" t="inlineStr">
        <is>
          <t>既存テスト：一部 TC-NOUS46_DEV-15（1 日ちょうどを見ていない）</t>
        </is>
      </c>
    </row>
    <row r="45">
      <c r="A45" s="4" t="n">
        <v>41</v>
      </c>
      <c r="B45" s="4" t="inlineStr">
        <is>
          <t>TC-UT_SHR-018</t>
        </is>
      </c>
      <c r="C45" s="5" t="inlineStr">
        <is>
          <t>MetricsQuerySchema</t>
        </is>
      </c>
      <c r="D45" s="4" t="inlineStr">
        <is>
          <t>異常系</t>
        </is>
      </c>
      <c r="E45" s="4" t="inlineStr">
        <is>
          <t>エラー処理</t>
        </is>
      </c>
      <c r="F45" s="5" t="inlineStr">
        <is>
          <t>指標の期間が 90 日を超えるとき、エラーの文言に 90 日が入る</t>
        </is>
      </c>
      <c r="G45" s="5" t="inlineStr">
        <is>
          <t>前提：なし
入力：from = 2026-07-24、to = 2026-10-22（91 日）</t>
        </is>
      </c>
      <c r="H45" s="5" t="inlineStr">
        <is>
          <t>エラーの文言は「期間は 90 日以内にしてください」</t>
        </is>
      </c>
      <c r="I45" s="5" t="inlineStr">
        <is>
          <t>B3-F, B4-F, B5-T</t>
        </is>
      </c>
      <c r="J45" s="5" t="inlineStr">
        <is>
          <t>なし</t>
        </is>
      </c>
      <c r="K45" s="5" t="inlineStr"/>
      <c r="L45" s="5" t="inlineStr"/>
      <c r="M45" s="5" t="inlineStr">
        <is>
          <t>TC-UT_SHR-018 指標の期間が 90 日を超えるとき、エラーの文言に 90 日が入る</t>
        </is>
      </c>
      <c r="N45" s="6" t="inlineStr">
        <is>
          <t>未実施</t>
        </is>
      </c>
      <c r="O45" s="6" t="inlineStr"/>
      <c r="P45" s="6" t="inlineStr"/>
      <c r="Q45" s="7" t="inlineStr">
        <is>
          <t>既存テスト：一部 TC-NOUS46_DEV-15（失敗することだけ）</t>
        </is>
      </c>
    </row>
    <row r="46">
      <c r="A46" s="4" t="n">
        <v>42</v>
      </c>
      <c r="B46" s="4" t="inlineStr">
        <is>
          <t>TC-UT_SHR-019</t>
        </is>
      </c>
      <c r="C46" s="5" t="inlineStr">
        <is>
          <t>AgentIdParams など 5 つのパスのパラメータ</t>
        </is>
      </c>
      <c r="D46" s="4" t="inlineStr">
        <is>
          <t>異常系</t>
        </is>
      </c>
      <c r="E46" s="4" t="inlineStr">
        <is>
          <t>同値分割</t>
        </is>
      </c>
      <c r="F46" s="5" t="inlineStr">
        <is>
          <t>パスのパラメータは 26 字の ID だけを受け付ける</t>
        </is>
      </c>
      <c r="G46" s="5" t="inlineStr">
        <is>
          <t>前提：なし
入力：26 字の ID、25 字、省略</t>
        </is>
      </c>
      <c r="H46" s="5" t="inlineStr">
        <is>
          <t>26 字だけ受け付ける</t>
        </is>
      </c>
      <c r="I46" s="5" t="inlineStr"/>
      <c r="J46" s="5" t="inlineStr">
        <is>
          <t>なし</t>
        </is>
      </c>
      <c r="K46" s="5" t="inlineStr"/>
      <c r="L46" s="5" t="inlineStr"/>
      <c r="M46" s="5" t="inlineStr">
        <is>
          <t>TC-UT_SHR-019 パスのパラメータは 26 字の ID だけを受け付ける</t>
        </is>
      </c>
      <c r="N46" s="6" t="inlineStr">
        <is>
          <t>未実施</t>
        </is>
      </c>
      <c r="O46" s="6" t="inlineStr"/>
      <c r="P46" s="6" t="inlineStr"/>
      <c r="Q46" s="7" t="inlineStr">
        <is>
          <t>既存テスト：なし</t>
        </is>
      </c>
    </row>
    <row r="47">
      <c r="A47" s="4" t="n">
        <v>43</v>
      </c>
      <c r="B47" s="4" t="inlineStr">
        <is>
          <t>TC-UT_SHR-020</t>
        </is>
      </c>
      <c r="C47" s="5" t="inlineStr">
        <is>
          <t>AgentInputSchema（handle）</t>
        </is>
      </c>
      <c r="D47" s="4" t="inlineStr">
        <is>
          <t>正常系</t>
        </is>
      </c>
      <c r="E47" s="4" t="inlineStr">
        <is>
          <t>同値分割</t>
        </is>
      </c>
      <c r="F47" s="5" t="inlineStr">
        <is>
          <t>handle は前後の空白を除いてから形を確かめる</t>
        </is>
      </c>
      <c r="G47" s="5" t="inlineStr">
        <is>
          <t>前提：なし
入力：handle = "  minato_01  "</t>
        </is>
      </c>
      <c r="H47" s="5" t="inlineStr">
        <is>
          <t>受け付け、handle は "minato_01"</t>
        </is>
      </c>
      <c r="I47" s="5" t="inlineStr"/>
      <c r="J47" s="5" t="inlineStr">
        <is>
          <t>なし</t>
        </is>
      </c>
      <c r="K47" s="5" t="inlineStr"/>
      <c r="L47" s="5" t="inlineStr"/>
      <c r="M47" s="5" t="inlineStr">
        <is>
          <t>TC-UT_SHR-020 handle は前後の空白を除いてから形を確かめる</t>
        </is>
      </c>
      <c r="N47" s="6" t="inlineStr">
        <is>
          <t>未実施</t>
        </is>
      </c>
      <c r="O47" s="6" t="inlineStr"/>
      <c r="P47" s="6" t="inlineStr"/>
      <c r="Q47" s="7" t="inlineStr">
        <is>
          <t>既存テスト：一部 TC-NOUS46_DEV-03（displayName の trim だけ）</t>
        </is>
      </c>
    </row>
    <row r="48">
      <c r="A48" s="4" t="n">
        <v>44</v>
      </c>
      <c r="B48" s="4" t="inlineStr">
        <is>
          <t>TC-UT_SHR-021</t>
        </is>
      </c>
      <c r="C48" s="5" t="inlineStr">
        <is>
          <t>AgentInputSchema（handle）</t>
        </is>
      </c>
      <c r="D48" s="4" t="inlineStr">
        <is>
          <t>異常系</t>
        </is>
      </c>
      <c r="E48" s="4" t="inlineStr">
        <is>
          <t>同値分割</t>
        </is>
      </c>
      <c r="F48" s="5" t="inlineStr">
        <is>
          <t>handle に日本語を含めば受け付けない</t>
        </is>
      </c>
      <c r="G48" s="5" t="inlineStr">
        <is>
          <t>前提：なし
入力：handle = "みなと_01"</t>
        </is>
      </c>
      <c r="H48" s="5" t="inlineStr">
        <is>
          <t>受け付けない</t>
        </is>
      </c>
      <c r="I48" s="5" t="inlineStr"/>
      <c r="J48" s="5" t="inlineStr">
        <is>
          <t>なし</t>
        </is>
      </c>
      <c r="K48" s="5" t="inlineStr"/>
      <c r="L48" s="5" t="inlineStr"/>
      <c r="M48" s="5" t="inlineStr">
        <is>
          <t>TC-UT_SHR-021 handle に日本語を含めば受け付けない</t>
        </is>
      </c>
      <c r="N48" s="6" t="inlineStr">
        <is>
          <t>未実施</t>
        </is>
      </c>
      <c r="O48" s="6" t="inlineStr"/>
      <c r="P48" s="6" t="inlineStr"/>
      <c r="Q48" s="7" t="inlineStr">
        <is>
          <t>既存テスト：一部 TC-NOUS46_DEV-02（- だけ）</t>
        </is>
      </c>
    </row>
    <row r="49">
      <c r="A49" s="4" t="n">
        <v>45</v>
      </c>
      <c r="B49" s="4" t="inlineStr">
        <is>
          <t>TC-UT_SHR-022</t>
        </is>
      </c>
      <c r="C49" s="5" t="inlineStr">
        <is>
          <t>AgentInputSchema（displayName）</t>
        </is>
      </c>
      <c r="D49" s="4" t="inlineStr">
        <is>
          <t>異常系</t>
        </is>
      </c>
      <c r="E49" s="4" t="inlineStr">
        <is>
          <t>境界値</t>
        </is>
      </c>
      <c r="F49" s="5" t="inlineStr">
        <is>
          <t>displayName は 1〜30 字</t>
        </is>
      </c>
      <c r="G49" s="5" t="inlineStr">
        <is>
          <t>前提：なし
入力：displayName が 0・1・30・31 字</t>
        </is>
      </c>
      <c r="H49" s="5" t="inlineStr">
        <is>
          <t>1 字と 30 字だけ受け付ける</t>
        </is>
      </c>
      <c r="I49" s="5" t="inlineStr"/>
      <c r="J49" s="5" t="inlineStr">
        <is>
          <t>なし</t>
        </is>
      </c>
      <c r="K49" s="5" t="inlineStr"/>
      <c r="L49" s="5" t="inlineStr"/>
      <c r="M49" s="5" t="inlineStr">
        <is>
          <t>TC-UT_SHR-022 displayName は 1〜30 字</t>
        </is>
      </c>
      <c r="N49" s="6" t="inlineStr">
        <is>
          <t>未実施</t>
        </is>
      </c>
      <c r="O49" s="6" t="inlineStr"/>
      <c r="P49" s="6" t="inlineStr"/>
      <c r="Q49" s="7" t="inlineStr">
        <is>
          <t>既存テスト：なし</t>
        </is>
      </c>
    </row>
    <row r="50">
      <c r="A50" s="4" t="n">
        <v>46</v>
      </c>
      <c r="B50" s="4" t="inlineStr">
        <is>
          <t>TC-UT_SHR-023</t>
        </is>
      </c>
      <c r="C50" s="5" t="inlineStr">
        <is>
          <t>AgentInputSchema（bio）</t>
        </is>
      </c>
      <c r="D50" s="4" t="inlineStr">
        <is>
          <t>正常系</t>
        </is>
      </c>
      <c r="E50" s="4" t="inlineStr">
        <is>
          <t>境界値</t>
        </is>
      </c>
      <c r="F50" s="5" t="inlineStr">
        <is>
          <t>bio が空白だけなら空の文字列にする</t>
        </is>
      </c>
      <c r="G50" s="5" t="inlineStr">
        <is>
          <t>前提：なし
入力：bio = 空白 3 字</t>
        </is>
      </c>
      <c r="H50" s="5" t="inlineStr">
        <is>
          <t>受け付け、bio は ""</t>
        </is>
      </c>
      <c r="I50" s="5" t="inlineStr">
        <is>
          <t>B7-F</t>
        </is>
      </c>
      <c r="J50" s="5" t="inlineStr">
        <is>
          <t>なし</t>
        </is>
      </c>
      <c r="K50" s="5" t="inlineStr"/>
      <c r="L50" s="5" t="inlineStr"/>
      <c r="M50" s="5" t="inlineStr">
        <is>
          <t>TC-UT_SHR-023 bio が空白だけなら空の文字列にする</t>
        </is>
      </c>
      <c r="N50" s="6" t="inlineStr">
        <is>
          <t>未実施</t>
        </is>
      </c>
      <c r="O50" s="6" t="inlineStr"/>
      <c r="P50" s="6" t="inlineStr"/>
      <c r="Q50" s="7" t="inlineStr">
        <is>
          <t>既存テスト：なし</t>
        </is>
      </c>
    </row>
    <row r="51">
      <c r="A51" s="4" t="n">
        <v>47</v>
      </c>
      <c r="B51" s="4" t="inlineStr">
        <is>
          <t>TC-UT_SHR-024</t>
        </is>
      </c>
      <c r="C51" s="5" t="inlineStr">
        <is>
          <t>AgentInputSchema（activityLevel）</t>
        </is>
      </c>
      <c r="D51" s="4" t="inlineStr">
        <is>
          <t>異常系</t>
        </is>
      </c>
      <c r="E51" s="4" t="inlineStr">
        <is>
          <t>同値分割</t>
        </is>
      </c>
      <c r="F51" s="5" t="inlineStr">
        <is>
          <t>activityLevel は文字列の数字を受け付けない（JSON の本文は変換しない）</t>
        </is>
      </c>
      <c r="G51" s="5" t="inlineStr">
        <is>
          <t>前提：なし
入力：activityLevel = "3"（文字列）</t>
        </is>
      </c>
      <c r="H51" s="5" t="inlineStr">
        <is>
          <t>受け付けない</t>
        </is>
      </c>
      <c r="I51" s="5" t="inlineStr"/>
      <c r="J51" s="5" t="inlineStr">
        <is>
          <t>なし</t>
        </is>
      </c>
      <c r="K51" s="5" t="inlineStr"/>
      <c r="L51" s="5" t="inlineStr"/>
      <c r="M51" s="5" t="inlineStr">
        <is>
          <t>TC-UT_SHR-024 activityLevel は文字列の数字を受け付けない（JSON の本文は変換しない）</t>
        </is>
      </c>
      <c r="N51" s="6" t="inlineStr">
        <is>
          <t>未実施</t>
        </is>
      </c>
      <c r="O51" s="6" t="inlineStr"/>
      <c r="P51" s="6" t="inlineStr"/>
      <c r="Q51" s="7" t="inlineStr">
        <is>
          <t>既存テスト：一部 TC-NOUS46_DEV-05（数値の範囲と小数だけ）</t>
        </is>
      </c>
    </row>
    <row r="52">
      <c r="A52" s="4" t="n">
        <v>48</v>
      </c>
      <c r="B52" s="4" t="inlineStr">
        <is>
          <t>TC-UT_SHR-025</t>
        </is>
      </c>
      <c r="C52" s="5" t="inlineStr">
        <is>
          <t>AgentInputSchema</t>
        </is>
      </c>
      <c r="D52" s="4" t="inlineStr">
        <is>
          <t>異常系</t>
        </is>
      </c>
      <c r="E52" s="4" t="inlineStr">
        <is>
          <t>同値分割</t>
        </is>
      </c>
      <c r="F52" s="5" t="inlineStr">
        <is>
          <t>必須の属性（valuesText）がなければ受け付けない</t>
        </is>
      </c>
      <c r="G52" s="5" t="inlineStr">
        <is>
          <t>前提：なし
入力：valuesText を省いた本文</t>
        </is>
      </c>
      <c r="H52" s="5" t="inlineStr">
        <is>
          <t>受け付けない</t>
        </is>
      </c>
      <c r="I52" s="5" t="inlineStr"/>
      <c r="J52" s="5" t="inlineStr">
        <is>
          <t>なし</t>
        </is>
      </c>
      <c r="K52" s="5" t="inlineStr"/>
      <c r="L52" s="5" t="inlineStr"/>
      <c r="M52" s="5" t="inlineStr">
        <is>
          <t>TC-UT_SHR-025 必須の属性（valuesText）がなければ受け付けない</t>
        </is>
      </c>
      <c r="N52" s="6" t="inlineStr">
        <is>
          <t>未実施</t>
        </is>
      </c>
      <c r="O52" s="6" t="inlineStr"/>
      <c r="P52" s="6" t="inlineStr"/>
      <c r="Q52" s="7" t="inlineStr">
        <is>
          <t>既存テスト：なし</t>
        </is>
      </c>
    </row>
    <row r="53">
      <c r="A53" s="4" t="n">
        <v>49</v>
      </c>
      <c r="B53" s="4" t="inlineStr">
        <is>
          <t>TC-UT_SHR-026</t>
        </is>
      </c>
      <c r="C53" s="5" t="inlineStr">
        <is>
          <t>AgentListQuerySchema</t>
        </is>
      </c>
      <c r="D53" s="4" t="inlineStr">
        <is>
          <t>異常系</t>
        </is>
      </c>
      <c r="E53" s="4" t="inlineStr">
        <is>
          <t>同値分割</t>
        </is>
      </c>
      <c r="F53" s="5" t="inlineStr">
        <is>
          <t>エージェントの一覧の state は active・stopped だけ</t>
        </is>
      </c>
      <c r="G53" s="5" t="inlineStr">
        <is>
          <t>前提：なし
入力：省略、state = stopped、deleted</t>
        </is>
      </c>
      <c r="H53" s="5" t="inlineStr">
        <is>
          <t>前の 2 つだけ受け付ける</t>
        </is>
      </c>
      <c r="I53" s="5" t="inlineStr"/>
      <c r="J53" s="5" t="inlineStr">
        <is>
          <t>なし</t>
        </is>
      </c>
      <c r="K53" s="5" t="inlineStr"/>
      <c r="L53" s="5" t="inlineStr"/>
      <c r="M53" s="5" t="inlineStr">
        <is>
          <t>TC-UT_SHR-026 エージェントの一覧の state は active・stopped だけ</t>
        </is>
      </c>
      <c r="N53" s="6" t="inlineStr">
        <is>
          <t>未実施</t>
        </is>
      </c>
      <c r="O53" s="6" t="inlineStr"/>
      <c r="P53" s="6" t="inlineStr"/>
      <c r="Q53" s="7" t="inlineStr">
        <is>
          <t>既存テスト：なし</t>
        </is>
      </c>
    </row>
    <row r="54">
      <c r="A54" s="4" t="n">
        <v>50</v>
      </c>
      <c r="B54" s="4" t="inlineStr">
        <is>
          <t>TC-UT_SHR-027</t>
        </is>
      </c>
      <c r="C54" s="5" t="inlineStr">
        <is>
          <t>SettingsSchema</t>
        </is>
      </c>
      <c r="D54" s="4" t="inlineStr">
        <is>
          <t>異常系</t>
        </is>
      </c>
      <c r="E54" s="4" t="inlineStr">
        <is>
          <t>境界値</t>
        </is>
      </c>
      <c r="F54" s="5" t="inlineStr">
        <is>
          <t>数値の項目は下限・上限を受け付け、その外側を受け付けない</t>
        </is>
      </c>
      <c r="G54" s="5" t="inlineStr">
        <is>
          <t>前提：なし
入力：数値の 9 項目それぞれの min-1・min・max・max+1（範囲は BE 詳細設計 world 2章）</t>
        </is>
      </c>
      <c r="H54" s="5" t="inlineStr">
        <is>
          <t>min と max だけ受け付ける</t>
        </is>
      </c>
      <c r="I54" s="5" t="inlineStr"/>
      <c r="J54" s="5" t="inlineStr">
        <is>
          <t>なし</t>
        </is>
      </c>
      <c r="K54" s="5" t="inlineStr"/>
      <c r="L54" s="5" t="inlineStr"/>
      <c r="M54" s="5" t="inlineStr">
        <is>
          <t>TC-UT_SHR-027 数値の項目は下限・上限を受け付け、その外側を受け付けない</t>
        </is>
      </c>
      <c r="N54" s="6" t="inlineStr">
        <is>
          <t>未実施</t>
        </is>
      </c>
      <c r="O54" s="6" t="inlineStr"/>
      <c r="P54" s="6" t="inlineStr"/>
      <c r="Q54" s="7" t="inlineStr">
        <is>
          <t>既存テスト：一部 TC-NOUS46_DEV-08（cycleMinutes の 4 点と 2 項目の上限の外だけ）</t>
        </is>
      </c>
    </row>
    <row r="55">
      <c r="A55" s="4" t="n">
        <v>51</v>
      </c>
      <c r="B55" s="4" t="inlineStr">
        <is>
          <t>TC-UT_SHR-028</t>
        </is>
      </c>
      <c r="C55" s="5" t="inlineStr">
        <is>
          <t>SettingsSchema</t>
        </is>
      </c>
      <c r="D55" s="4" t="inlineStr">
        <is>
          <t>異常系</t>
        </is>
      </c>
      <c r="E55" s="4" t="inlineStr">
        <is>
          <t>同値分割</t>
        </is>
      </c>
      <c r="F55" s="5" t="inlineStr">
        <is>
          <t>数値の項目は整数の数値だけを受け付ける</t>
        </is>
      </c>
      <c r="G55" s="5" t="inlineStr">
        <is>
          <t>前提：なし
入力：cycleMinutes = 20.5、"20"</t>
        </is>
      </c>
      <c r="H55" s="5" t="inlineStr">
        <is>
          <t>どちらも受け付けない</t>
        </is>
      </c>
      <c r="I55" s="5" t="inlineStr"/>
      <c r="J55" s="5" t="inlineStr">
        <is>
          <t>なし</t>
        </is>
      </c>
      <c r="K55" s="5" t="inlineStr"/>
      <c r="L55" s="5" t="inlineStr"/>
      <c r="M55" s="5" t="inlineStr">
        <is>
          <t>TC-UT_SHR-028 数値の項目は整数の数値だけを受け付ける</t>
        </is>
      </c>
      <c r="N55" s="6" t="inlineStr">
        <is>
          <t>未実施</t>
        </is>
      </c>
      <c r="O55" s="6" t="inlineStr"/>
      <c r="P55" s="6" t="inlineStr"/>
      <c r="Q55" s="7" t="inlineStr">
        <is>
          <t>既存テスト：なし</t>
        </is>
      </c>
    </row>
    <row r="56">
      <c r="A56" s="4" t="n">
        <v>52</v>
      </c>
      <c r="B56" s="4" t="inlineStr">
        <is>
          <t>TC-UT_SHR-029</t>
        </is>
      </c>
      <c r="C56" s="5" t="inlineStr">
        <is>
          <t>SettingsSchema（promptVersion）</t>
        </is>
      </c>
      <c r="D56" s="4" t="inlineStr">
        <is>
          <t>異常系</t>
        </is>
      </c>
      <c r="E56" s="4" t="inlineStr">
        <is>
          <t>境界値</t>
        </is>
      </c>
      <c r="F56" s="5" t="inlineStr">
        <is>
          <t>promptVersion は 1〜20 字</t>
        </is>
      </c>
      <c r="G56" s="5" t="inlineStr">
        <is>
          <t>前提：なし
入力：promptVersion が 0・20・21 字</t>
        </is>
      </c>
      <c r="H56" s="5" t="inlineStr">
        <is>
          <t>20 字だけ受け付ける</t>
        </is>
      </c>
      <c r="I56" s="5" t="inlineStr"/>
      <c r="J56" s="5" t="inlineStr">
        <is>
          <t>なし</t>
        </is>
      </c>
      <c r="K56" s="5" t="inlineStr"/>
      <c r="L56" s="5" t="inlineStr"/>
      <c r="M56" s="5" t="inlineStr">
        <is>
          <t>TC-UT_SHR-029 promptVersion は 1〜20 字</t>
        </is>
      </c>
      <c r="N56" s="6" t="inlineStr">
        <is>
          <t>未実施</t>
        </is>
      </c>
      <c r="O56" s="6" t="inlineStr"/>
      <c r="P56" s="6" t="inlineStr"/>
      <c r="Q56" s="7" t="inlineStr">
        <is>
          <t>既存テスト：なし
prompts/ にある版かどうかはサーバーで確かめる（NOUS-97 の観点）</t>
        </is>
      </c>
    </row>
    <row r="57">
      <c r="A57" s="4" t="n">
        <v>53</v>
      </c>
      <c r="B57" s="4" t="inlineStr">
        <is>
          <t>TC-UT_SHR-030</t>
        </is>
      </c>
      <c r="C57" s="5" t="inlineStr">
        <is>
          <t>AUDIT_OPERATIONS</t>
        </is>
      </c>
      <c r="D57" s="4" t="inlineStr">
        <is>
          <t>正常系</t>
        </is>
      </c>
      <c r="E57" s="4" t="inlineStr">
        <is>
          <t>同値分割</t>
        </is>
      </c>
      <c r="F57" s="5" t="inlineStr">
        <is>
          <t>管理操作の種類が基本設計書 7章の 18 種と同じ並びである</t>
        </is>
      </c>
      <c r="G57" s="5" t="inlineStr">
        <is>
          <t>前提：なし
入力：AUDIT_OPERATIONS</t>
        </is>
      </c>
      <c r="H57" s="5" t="inlineStr">
        <is>
          <t>基本設計書 概要 7章（admin_audit_logs.operation）の 18 種と同じ並び</t>
        </is>
      </c>
      <c r="I57" s="5" t="inlineStr"/>
      <c r="J57" s="5" t="inlineStr">
        <is>
          <t>なし</t>
        </is>
      </c>
      <c r="K57" s="5" t="inlineStr"/>
      <c r="L57" s="5" t="inlineStr"/>
      <c r="M57" s="5" t="inlineStr">
        <is>
          <t>TC-UT_SHR-030 管理操作の種類が基本設計書 7章の 18 種と同じ並びである</t>
        </is>
      </c>
      <c r="N57" s="6" t="inlineStr">
        <is>
          <t>未実施</t>
        </is>
      </c>
      <c r="O57" s="6" t="inlineStr"/>
      <c r="P57" s="6" t="inlineStr"/>
      <c r="Q57" s="7" t="inlineStr">
        <is>
          <t>既存テスト：一部 TC-NOUS46_DEV-20（件数だけ）</t>
        </is>
      </c>
    </row>
    <row r="58">
      <c r="A58" s="4" t="n">
        <v>54</v>
      </c>
      <c r="B58" s="4" t="inlineStr">
        <is>
          <t>TC-UT_SHR-031</t>
        </is>
      </c>
      <c r="C58" s="5" t="inlineStr">
        <is>
          <t>DEFAULT_SETTINGS</t>
        </is>
      </c>
      <c r="D58" s="4" t="inlineStr">
        <is>
          <t>正常系</t>
        </is>
      </c>
      <c r="E58" s="4" t="inlineStr">
        <is>
          <t>同値分割</t>
        </is>
      </c>
      <c r="F58" s="5" t="inlineStr">
        <is>
          <t>実行設定の既定値が DB 物理設計書（world_settings の DEFAULT）と同じである</t>
        </is>
      </c>
      <c r="G58" s="5" t="inlineStr">
        <is>
          <t>前提：なし
入力：DEFAULT_SETTINGS</t>
        </is>
      </c>
      <c r="H58" s="5" t="inlineStr">
        <is>
          <t>DB 物理設計書の world_settings の DEFAULT（20・100・12・1200・1500・300・9500・480・1・gemma・v1）と同じ</t>
        </is>
      </c>
      <c r="I58" s="5" t="inlineStr"/>
      <c r="J58" s="5" t="inlineStr">
        <is>
          <t>なし</t>
        </is>
      </c>
      <c r="K58" s="5" t="inlineStr"/>
      <c r="L58" s="5" t="inlineStr"/>
      <c r="M58" s="5" t="inlineStr">
        <is>
          <t>TC-UT_SHR-031 実行設定の既定値が DB 物理設計書（world_settings の DEFAULT）と同じである</t>
        </is>
      </c>
      <c r="N58" s="6" t="inlineStr">
        <is>
          <t>未実施</t>
        </is>
      </c>
      <c r="O58" s="6" t="inlineStr"/>
      <c r="P58" s="6" t="inlineStr"/>
      <c r="Q58" s="7" t="inlineStr">
        <is>
          <t>既存テスト：一部 TC-NOUS46_DEV-21（範囲の中にあることだけ）</t>
        </is>
      </c>
    </row>
    <row r="59">
      <c r="A59" s="4" t="n">
        <v>55</v>
      </c>
      <c r="B59" s="4" t="inlineStr">
        <is>
          <t>TC-UT_SHR-032</t>
        </is>
      </c>
      <c r="C59" s="5" t="inlineStr">
        <is>
          <t>OBSERVER_PORT / ADMIN_PORT / TOKEN_LENGTH</t>
        </is>
      </c>
      <c r="D59" s="4" t="inlineStr">
        <is>
          <t>正常系</t>
        </is>
      </c>
      <c r="E59" s="4" t="inlineStr">
        <is>
          <t>同値分割</t>
        </is>
      </c>
      <c r="F59" s="5" t="inlineStr">
        <is>
          <t>既定のポートは観察 8080・管理 8081、トークンは 43 字</t>
        </is>
      </c>
      <c r="G59" s="5" t="inlineStr">
        <is>
          <t>前提：なし
入力：定数</t>
        </is>
      </c>
      <c r="H59" s="5" t="inlineStr">
        <is>
          <t>8080・8081・43（基本設計書 7章・admin_auth）</t>
        </is>
      </c>
      <c r="I59" s="5" t="inlineStr"/>
      <c r="J59" s="5" t="inlineStr">
        <is>
          <t>なし</t>
        </is>
      </c>
      <c r="K59" s="5" t="inlineStr"/>
      <c r="L59" s="5" t="inlineStr"/>
      <c r="M59" s="5" t="inlineStr">
        <is>
          <t>TC-UT_SHR-032 既定のポートは観察 8080・管理 8081、トークンは 43 字</t>
        </is>
      </c>
      <c r="N59" s="6" t="inlineStr">
        <is>
          <t>未実施</t>
        </is>
      </c>
      <c r="O59" s="6" t="inlineStr"/>
      <c r="P59" s="6" t="inlineStr"/>
      <c r="Q59" s="7" t="inlineStr">
        <is>
          <t>既存テスト：なし</t>
        </is>
      </c>
    </row>
  </sheetData>
  <autoFilter ref="A4:Q59"/>
  <conditionalFormatting sqref="A5:Q109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109" showDropDown="0" showInputMessage="0" showErrorMessage="0" allowBlank="1" type="list">
      <formula1>"未実施,OK,NG,保留,対象外"</formula1>
    </dataValidation>
    <dataValidation sqref="D5:D109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COUNTA(観点表!$B$5:$B$109)</f>
        <v/>
      </c>
    </row>
    <row r="6">
      <c r="A6" s="10" t="inlineStr">
        <is>
          <t>正常系</t>
        </is>
      </c>
      <c r="B6" s="10">
        <f>COUNTIF(観点表!$D$5:$D$109,"正常系")</f>
        <v/>
      </c>
    </row>
    <row r="7">
      <c r="A7" s="10" t="inlineStr">
        <is>
          <t>異常系</t>
        </is>
      </c>
      <c r="B7" s="10">
        <f>COUNTIF(観点表!$D$5:$D$109,"異常系")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COUNTIF(観点表!$E$5:$E$109,"エラー処理")</f>
        <v/>
      </c>
    </row>
    <row r="11">
      <c r="A11" s="10" t="inlineStr">
        <is>
          <t>同値分割</t>
        </is>
      </c>
      <c r="B11" s="10">
        <f>COUNTIF(観点表!$E$5:$E$109,"同値分割")</f>
        <v/>
      </c>
    </row>
    <row r="12">
      <c r="A12" s="10" t="inlineStr">
        <is>
          <t>境界値</t>
        </is>
      </c>
      <c r="B12" s="10">
        <f>COUNTIF(観点表!$E$5:$E$109,"境界値")</f>
        <v/>
      </c>
    </row>
    <row r="13">
      <c r="A13" s="10" t="inlineStr">
        <is>
          <t>開発者テスト</t>
        </is>
      </c>
      <c r="B13" s="10">
        <f>COUNTIF(観点表!$E$5:$E$109,"開発者テスト")</f>
        <v/>
      </c>
    </row>
    <row r="15">
      <c r="A15" s="8" t="inlineStr">
        <is>
          <t>テストデータ</t>
        </is>
      </c>
      <c r="B15" s="9" t="n"/>
      <c r="C15" s="9" t="n"/>
    </row>
    <row r="16">
      <c r="A16" s="10" t="inlineStr">
        <is>
          <t>作成済み</t>
        </is>
      </c>
      <c r="B16" s="10">
        <f>COUNTIF(観点表!$K$5:$K$109,"?*")</f>
        <v/>
      </c>
    </row>
    <row r="17">
      <c r="A17" s="10" t="inlineStr">
        <is>
          <t>未作成</t>
        </is>
      </c>
      <c r="B17" s="10">
        <f>B5-B16</f>
        <v/>
      </c>
    </row>
    <row r="19">
      <c r="A19" s="8" t="inlineStr">
        <is>
          <t>実施状況</t>
        </is>
      </c>
      <c r="B19" s="9" t="n"/>
      <c r="C19" s="9" t="n"/>
    </row>
    <row r="20">
      <c r="A20" s="10" t="inlineStr">
        <is>
          <t>未実施</t>
        </is>
      </c>
      <c r="B20" s="10">
        <f>COUNTIF(観点表!$N$5:$N$109,"未実施")</f>
        <v/>
      </c>
    </row>
    <row r="21">
      <c r="A21" s="10" t="inlineStr">
        <is>
          <t>OK</t>
        </is>
      </c>
      <c r="B21" s="10">
        <f>COUNTIF(観点表!$N$5:$N$109,"OK")</f>
        <v/>
      </c>
    </row>
    <row r="22">
      <c r="A22" s="10" t="inlineStr">
        <is>
          <t>NG</t>
        </is>
      </c>
      <c r="B22" s="10">
        <f>COUNTIF(観点表!$N$5:$N$109,"NG")</f>
        <v/>
      </c>
    </row>
    <row r="23">
      <c r="A23" s="10" t="inlineStr">
        <is>
          <t>保留</t>
        </is>
      </c>
      <c r="B23" s="10">
        <f>COUNTIF(観点表!$N$5:$N$109,"保留")</f>
        <v/>
      </c>
    </row>
    <row r="24">
      <c r="A24" s="10" t="inlineStr">
        <is>
          <t>対象外</t>
        </is>
      </c>
      <c r="B24" s="10">
        <f>COUNTIF(観点表!$N$5:$N$109,"対象外")</f>
        <v/>
      </c>
    </row>
    <row r="25">
      <c r="A25" s="10" t="inlineStr">
        <is>
          <t>消化率（未実施以外 / 総数）</t>
        </is>
      </c>
      <c r="B25" s="11">
        <f>IF(B5=0,0,(B5-B20)/B5)</f>
        <v/>
      </c>
    </row>
    <row r="26">
      <c r="A26" s="10" t="inlineStr">
        <is>
          <t>合格率（OK / (総数-対象外)）</t>
        </is>
      </c>
      <c r="B26" s="11">
        <f>IF(B5-B24=0,0,B21/(B5-B24))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TC-NOUS42_DEV-01</t>
        </is>
      </c>
      <c r="B5" s="13" t="inlineStr">
        <is>
          <t>shared の vitest と zod が動く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TC-NOUS46_DEV-01</t>
        </is>
      </c>
      <c r="B6" s="13" t="inlineStr">
        <is>
          <t>正しい入力を受け付け、bio の既定値を '' にする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TC-NOUS46_DEV-02</t>
        </is>
      </c>
      <c r="B7" s="13" t="inlineStr">
        <is>
          <t>handle は 3〜20 字の半角英数字と _ だけ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TC-NOUS46_DEV-03</t>
        </is>
      </c>
      <c r="B8" s="13" t="inlineStr">
        <is>
          <t>文字列は前後の空白を除いてから字数を数える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TC-NOUS46_DEV-04</t>
        </is>
      </c>
      <c r="B9" s="13" t="inlineStr">
        <is>
          <t>属性は 100 字まで、bio は 200 字まで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TC-NOUS46_DEV-05</t>
        </is>
      </c>
      <c r="B10" s="13" t="inlineStr">
        <is>
          <t>activityLevel は 1〜5 の整数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TC-NOUS46_DEV-06</t>
        </is>
      </c>
      <c r="B11" s="13" t="inlineStr">
        <is>
          <t>noRealPersonConfirmed は true だけを受け付ける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TC-NOUS46_DEV-07</t>
        </is>
      </c>
      <c r="B12" s="13" t="inlineStr">
        <is>
          <t>既定の設定を受け付ける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TC-NOUS46_DEV-08</t>
        </is>
      </c>
      <c r="B13" s="13" t="inlineStr">
        <is>
          <t>各項目の範囲の境界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TC-NOUS46_DEV-09</t>
        </is>
      </c>
      <c r="B14" s="13" t="inlineStr">
        <is>
          <t>modelId は 2 つの候補のどちらか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TC-NOUS46_DEV-10</t>
        </is>
      </c>
      <c r="B15" s="13" t="inlineStr">
        <is>
          <t>password は 12〜128 字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TC-NOUS46_DEV-11</t>
        </is>
      </c>
      <c r="B16" s="13" t="inlineStr">
        <is>
          <t>招待の label は前後の空白を除いて 1〜30 字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TC-NOUS46_DEV-12</t>
        </is>
      </c>
      <c r="B17" s="13" t="inlineStr">
        <is>
          <t>非表示の理由は任意で 200 字まで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TC-NOUS46_DEV-13</t>
        </is>
      </c>
      <c r="B18" s="13" t="inlineStr">
        <is>
          <t>投稿の検索は q が 1〜50 字、limit は既定 50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TC-NOUS46_DEV-14</t>
        </is>
      </c>
      <c r="B19" s="13" t="inlineStr">
        <is>
          <t>生成ログの一覧は from ≦ to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TC-NOUS46_DEV-15</t>
        </is>
      </c>
      <c r="B20" s="13" t="inlineStr">
        <is>
          <t>指標の期間は from ≦ to で 90 日まで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TC-NOUS46_DEV-16</t>
        </is>
      </c>
      <c r="B21" s="13" t="inlineStr">
        <is>
          <t>timeline の limit は文字列から変換し、1〜50、既定 30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TC-NOUS46_DEV-17</t>
        </is>
      </c>
      <c r="B22" s="13" t="inlineStr">
        <is>
          <t>thread の depth は 1〜10、既定 5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TC-NOUS46_DEV-18</t>
        </is>
      </c>
      <c r="B23" s="13" t="inlineStr">
        <is>
          <t>follows の type は following・followers のどちらか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TC-NOUS46_DEV-19</t>
        </is>
      </c>
      <c r="B24" s="13" t="inlineStr">
        <is>
          <t>招待トークンは 43 字の Base64URL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TC-NOUS46_DEV-20</t>
        </is>
      </c>
      <c r="B25" s="13" t="inlineStr">
        <is>
          <t>管理操作の種類は 18 種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TC-NOUS46_DEV-21</t>
        </is>
      </c>
      <c r="B26" s="13" t="inlineStr">
        <is>
          <t>実行設定の既定値は範囲の中にあり、SettingsSchema を通る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TC-NOUS46_DEV-22</t>
        </is>
      </c>
      <c r="B27" s="13" t="inlineStr">
        <is>
          <t>エラーコードに重複がない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TC-UT_SHR-001</t>
        </is>
      </c>
      <c r="B28" s="13" t="inlineStr">
        <is>
          <t>IdSchema は 26 字だけを受け付ける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TC-UT_SHR-002</t>
        </is>
      </c>
      <c r="B29" s="13" t="inlineStr">
        <is>
          <t>TokenSchema は 43 字の Base64URL だけを受け付ける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TC-UT_SHR-003</t>
        </is>
      </c>
      <c r="B30" s="13" t="inlineStr">
        <is>
          <t>CursorSchema は 1〜200 字の Base64URL だけを受け付ける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TC-UT_SHR-004</t>
        </is>
      </c>
      <c r="B31" s="13" t="inlineStr">
        <is>
          <t>ObserverLimitSchema は下限 1 の整数だけを受け付け、文字列も数値にする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TC-UT_SHR-005</t>
        </is>
      </c>
      <c r="B32" s="13" t="inlineStr">
        <is>
          <t>AdminLimitSchema は 1〜100 を受け付け、省略時は 50 にする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TC-UT_SHR-006</t>
        </is>
      </c>
      <c r="B33" s="13" t="inlineStr">
        <is>
          <t>AdminLimitSchema は 0 を受け付けない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TC-UT_SHR-007</t>
        </is>
      </c>
      <c r="B34" s="13" t="inlineStr">
        <is>
          <t>UsageDateSchema は実在する YYYY-MM-DD だけを受け付ける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TC-UT_SHR-008</t>
        </is>
      </c>
      <c r="B35" s="13" t="inlineStr">
        <is>
          <t>IsoDateTimeSchema は時差のついた ISO 8601 の日時だけを受け付ける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TC-UT_SHR-009</t>
        </is>
      </c>
      <c r="B36" s="13" t="inlineStr">
        <is>
          <t>ログインのパスワードは前後の空白を除かずに字数を数える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TC-UT_SHR-010</t>
        </is>
      </c>
      <c r="B37" s="13" t="inlineStr">
        <is>
          <t>招待の label は前後の空白を除いた値にし、1 字を受け付ける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TC-UT_SHR-011</t>
        </is>
      </c>
      <c r="B38" s="13" t="inlineStr">
        <is>
          <t>管理操作の履歴の絞り込みは 18 種の操作とカーソルを検証する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TC-UT_SHR-012</t>
        </is>
      </c>
      <c r="B39" s="13" t="inlineStr">
        <is>
          <t>世界のリセットの確認の名前は 1 字以上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TC-UT_SHR-013</t>
        </is>
      </c>
      <c r="B40" s="13" t="inlineStr">
        <is>
          <t>生成ログの期間は時刻として from ≦ to を比べる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TC-UT_SHR-014</t>
        </is>
      </c>
      <c r="B41" s="13" t="inlineStr">
        <is>
          <t>生成ログの期間が逆のとき、エラーは to の項目に付く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TC-UT_SHR-015</t>
        </is>
      </c>
      <c r="B42" s="13" t="inlineStr">
        <is>
          <t>投稿の検索の q・agentId・visibility の境界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TC-UT_SHR-016</t>
        </is>
      </c>
      <c r="B43" s="13" t="inlineStr">
        <is>
          <t>非表示の理由は空の文字列でもよい</t>
        </is>
      </c>
      <c r="C43" s="13" t="inlineStr">
        <is>
          <t>未作成</t>
        </is>
      </c>
      <c r="D43" s="13" t="inlineStr"/>
      <c r="E43" s="13" t="inlineStr"/>
      <c r="F43" s="13" t="inlineStr"/>
    </row>
    <row r="44">
      <c r="A44" s="13" t="inlineStr">
        <is>
          <t>TC-UT_SHR-017</t>
        </is>
      </c>
      <c r="B44" s="13" t="inlineStr">
        <is>
          <t>指標の期間は 1 日から受け付け、日付の形を検証する</t>
        </is>
      </c>
      <c r="C44" s="13" t="inlineStr">
        <is>
          <t>未作成</t>
        </is>
      </c>
      <c r="D44" s="13" t="inlineStr"/>
      <c r="E44" s="13" t="inlineStr"/>
      <c r="F44" s="13" t="inlineStr"/>
    </row>
    <row r="45">
      <c r="A45" s="13" t="inlineStr">
        <is>
          <t>TC-UT_SHR-018</t>
        </is>
      </c>
      <c r="B45" s="13" t="inlineStr">
        <is>
          <t>指標の期間が 90 日を超えるとき、エラーの文言に 90 日が入る</t>
        </is>
      </c>
      <c r="C45" s="13" t="inlineStr">
        <is>
          <t>未作成</t>
        </is>
      </c>
      <c r="D45" s="13" t="inlineStr"/>
      <c r="E45" s="13" t="inlineStr"/>
      <c r="F45" s="13" t="inlineStr"/>
    </row>
    <row r="46">
      <c r="A46" s="13" t="inlineStr">
        <is>
          <t>TC-UT_SHR-019</t>
        </is>
      </c>
      <c r="B46" s="13" t="inlineStr">
        <is>
          <t>パスのパラメータは 26 字の ID だけを受け付ける</t>
        </is>
      </c>
      <c r="C46" s="13" t="inlineStr">
        <is>
          <t>未作成</t>
        </is>
      </c>
      <c r="D46" s="13" t="inlineStr"/>
      <c r="E46" s="13" t="inlineStr"/>
      <c r="F46" s="13" t="inlineStr"/>
    </row>
    <row r="47">
      <c r="A47" s="13" t="inlineStr">
        <is>
          <t>TC-UT_SHR-020</t>
        </is>
      </c>
      <c r="B47" s="13" t="inlineStr">
        <is>
          <t>handle は前後の空白を除いてから形を確かめる</t>
        </is>
      </c>
      <c r="C47" s="13" t="inlineStr">
        <is>
          <t>未作成</t>
        </is>
      </c>
      <c r="D47" s="13" t="inlineStr"/>
      <c r="E47" s="13" t="inlineStr"/>
      <c r="F47" s="13" t="inlineStr"/>
    </row>
    <row r="48">
      <c r="A48" s="13" t="inlineStr">
        <is>
          <t>TC-UT_SHR-021</t>
        </is>
      </c>
      <c r="B48" s="13" t="inlineStr">
        <is>
          <t>handle に日本語を含めば受け付けない</t>
        </is>
      </c>
      <c r="C48" s="13" t="inlineStr">
        <is>
          <t>未作成</t>
        </is>
      </c>
      <c r="D48" s="13" t="inlineStr"/>
      <c r="E48" s="13" t="inlineStr"/>
      <c r="F48" s="13" t="inlineStr"/>
    </row>
    <row r="49">
      <c r="A49" s="13" t="inlineStr">
        <is>
          <t>TC-UT_SHR-022</t>
        </is>
      </c>
      <c r="B49" s="13" t="inlineStr">
        <is>
          <t>displayName は 1〜30 字</t>
        </is>
      </c>
      <c r="C49" s="13" t="inlineStr">
        <is>
          <t>未作成</t>
        </is>
      </c>
      <c r="D49" s="13" t="inlineStr"/>
      <c r="E49" s="13" t="inlineStr"/>
      <c r="F49" s="13" t="inlineStr"/>
    </row>
    <row r="50">
      <c r="A50" s="13" t="inlineStr">
        <is>
          <t>TC-UT_SHR-023</t>
        </is>
      </c>
      <c r="B50" s="13" t="inlineStr">
        <is>
          <t>bio が空白だけなら空の文字列にする</t>
        </is>
      </c>
      <c r="C50" s="13" t="inlineStr">
        <is>
          <t>未作成</t>
        </is>
      </c>
      <c r="D50" s="13" t="inlineStr"/>
      <c r="E50" s="13" t="inlineStr"/>
      <c r="F50" s="13" t="inlineStr"/>
    </row>
    <row r="51">
      <c r="A51" s="13" t="inlineStr">
        <is>
          <t>TC-UT_SHR-024</t>
        </is>
      </c>
      <c r="B51" s="13" t="inlineStr">
        <is>
          <t>activityLevel は文字列の数字を受け付けない（JSON の本文は変換しない）</t>
        </is>
      </c>
      <c r="C51" s="13" t="inlineStr">
        <is>
          <t>未作成</t>
        </is>
      </c>
      <c r="D51" s="13" t="inlineStr"/>
      <c r="E51" s="13" t="inlineStr"/>
      <c r="F51" s="13" t="inlineStr"/>
    </row>
    <row r="52">
      <c r="A52" s="13" t="inlineStr">
        <is>
          <t>TC-UT_SHR-025</t>
        </is>
      </c>
      <c r="B52" s="13" t="inlineStr">
        <is>
          <t>必須の属性（valuesText）がなければ受け付けない</t>
        </is>
      </c>
      <c r="C52" s="13" t="inlineStr">
        <is>
          <t>未作成</t>
        </is>
      </c>
      <c r="D52" s="13" t="inlineStr"/>
      <c r="E52" s="13" t="inlineStr"/>
      <c r="F52" s="13" t="inlineStr"/>
    </row>
    <row r="53">
      <c r="A53" s="13" t="inlineStr">
        <is>
          <t>TC-UT_SHR-026</t>
        </is>
      </c>
      <c r="B53" s="13" t="inlineStr">
        <is>
          <t>エージェントの一覧の state は active・stopped だけ</t>
        </is>
      </c>
      <c r="C53" s="13" t="inlineStr">
        <is>
          <t>未作成</t>
        </is>
      </c>
      <c r="D53" s="13" t="inlineStr"/>
      <c r="E53" s="13" t="inlineStr"/>
      <c r="F53" s="13" t="inlineStr"/>
    </row>
    <row r="54">
      <c r="A54" s="13" t="inlineStr">
        <is>
          <t>TC-UT_SHR-027</t>
        </is>
      </c>
      <c r="B54" s="13" t="inlineStr">
        <is>
          <t>数値の項目は下限・上限を受け付け、その外側を受け付けない</t>
        </is>
      </c>
      <c r="C54" s="13" t="inlineStr">
        <is>
          <t>未作成</t>
        </is>
      </c>
      <c r="D54" s="13" t="inlineStr"/>
      <c r="E54" s="13" t="inlineStr"/>
      <c r="F54" s="13" t="inlineStr"/>
    </row>
    <row r="55">
      <c r="A55" s="13" t="inlineStr">
        <is>
          <t>TC-UT_SHR-028</t>
        </is>
      </c>
      <c r="B55" s="13" t="inlineStr">
        <is>
          <t>数値の項目は整数の数値だけを受け付ける</t>
        </is>
      </c>
      <c r="C55" s="13" t="inlineStr">
        <is>
          <t>未作成</t>
        </is>
      </c>
      <c r="D55" s="13" t="inlineStr"/>
      <c r="E55" s="13" t="inlineStr"/>
      <c r="F55" s="13" t="inlineStr"/>
    </row>
    <row r="56">
      <c r="A56" s="13" t="inlineStr">
        <is>
          <t>TC-UT_SHR-029</t>
        </is>
      </c>
      <c r="B56" s="13" t="inlineStr">
        <is>
          <t>promptVersion は 1〜20 字</t>
        </is>
      </c>
      <c r="C56" s="13" t="inlineStr">
        <is>
          <t>未作成</t>
        </is>
      </c>
      <c r="D56" s="13" t="inlineStr"/>
      <c r="E56" s="13" t="inlineStr"/>
      <c r="F56" s="13" t="inlineStr"/>
    </row>
    <row r="57">
      <c r="A57" s="13" t="inlineStr">
        <is>
          <t>TC-UT_SHR-030</t>
        </is>
      </c>
      <c r="B57" s="13" t="inlineStr">
        <is>
          <t>管理操作の種類が基本設計書 7章の 18 種と同じ並びである</t>
        </is>
      </c>
      <c r="C57" s="13" t="inlineStr">
        <is>
          <t>未作成</t>
        </is>
      </c>
      <c r="D57" s="13" t="inlineStr"/>
      <c r="E57" s="13" t="inlineStr"/>
      <c r="F57" s="13" t="inlineStr"/>
    </row>
    <row r="58">
      <c r="A58" s="13" t="inlineStr">
        <is>
          <t>TC-UT_SHR-031</t>
        </is>
      </c>
      <c r="B58" s="13" t="inlineStr">
        <is>
          <t>実行設定の既定値が DB 物理設計書（world_settings の DEFAULT）と同じである</t>
        </is>
      </c>
      <c r="C58" s="13" t="inlineStr">
        <is>
          <t>未作成</t>
        </is>
      </c>
      <c r="D58" s="13" t="inlineStr"/>
      <c r="E58" s="13" t="inlineStr"/>
      <c r="F58" s="13" t="inlineStr"/>
    </row>
    <row r="59">
      <c r="A59" s="13" t="inlineStr">
        <is>
          <t>TC-UT_SHR-032</t>
        </is>
      </c>
      <c r="B59" s="13" t="inlineStr">
        <is>
          <t>既定のポートは観察 8080・管理 8081、トークンは 43 字</t>
        </is>
      </c>
      <c r="C59" s="13" t="inlineStr">
        <is>
          <t>未作成</t>
        </is>
      </c>
      <c r="D59" s="13" t="inlineStr"/>
      <c r="E59" s="13" t="inlineStr"/>
      <c r="F59" s="13" t="inlineStr"/>
    </row>
  </sheetData>
  <autoFilter ref="A4:F59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共有のスキーマと定数（packages/shared/src）</t>
        </is>
      </c>
    </row>
    <row r="4">
      <c r="A4" s="14" t="inlineStr">
        <is>
          <t>対象ファイル</t>
        </is>
      </c>
      <c r="B4" s="15" t="inlineStr">
        <is>
          <t>packages/shared/src/schemas/common.ts, packages/shared/src/schemas/admin.ts, packages/shared/src/schemas/agent.ts, packages/shared/src/schemas/settings.ts, packages/shared/src/schemas/observer.ts, packages/shared/src/constants.ts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node）、Zod 3.23.8</t>
        </is>
      </c>
    </row>
    <row r="6">
      <c r="A6" s="14" t="inlineStr">
        <is>
          <t>テストファイル</t>
        </is>
      </c>
      <c r="B6" s="15" t="inlineStr">
        <is>
          <t>packages/shared/src/schemas/schemas.test.ts（実装時、NOUS-46）, packages/shared/src/constants.test.ts（実装時、NOUS-46）, packages/shared/src/index.test.ts（実装時、NOUS-42）, packages/shared/src/schemas/schemas.ut.test.ts（単体テストで追加）, packages/shared/src/constants.ut.test.ts（単体テストで追加）</t>
        </is>
      </c>
    </row>
    <row r="7">
      <c r="A7" s="14" t="inlineStr">
        <is>
          <t>外部依存</t>
        </is>
      </c>
      <c r="B7" s="15" t="inlineStr">
        <is>
          <t>なし（Zod のスキーマと定数だけ）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from と to の両方がある（GenerationListQuerySchema の refine）</t>
        </is>
      </c>
      <c r="C11" s="17" t="inlineStr">
        <is>
          <t>schemas/admin.ts:58</t>
        </is>
      </c>
    </row>
    <row r="12">
      <c r="A12" s="17" t="inlineStr">
        <is>
          <t>B2</t>
        </is>
      </c>
      <c r="B12" s="17" t="inlineStr">
        <is>
          <t>Date.parse(from) &lt;= Date.parse(to)</t>
        </is>
      </c>
      <c r="C12" s="17" t="inlineStr">
        <is>
          <t>schemas/admin.ts:58</t>
        </is>
      </c>
    </row>
    <row r="13">
      <c r="A13" s="17" t="inlineStr">
        <is>
          <t>B3</t>
        </is>
      </c>
      <c r="B13" s="17" t="inlineStr">
        <is>
          <t>from か to が無い（MetricsQuerySchema の早期 return）</t>
        </is>
      </c>
      <c r="C13" s="17" t="inlineStr">
        <is>
          <t>schemas/admin.ts:93</t>
        </is>
      </c>
    </row>
    <row r="14">
      <c r="A14" s="17" t="inlineStr">
        <is>
          <t>B4</t>
        </is>
      </c>
      <c r="B14" s="17" t="inlineStr">
        <is>
          <t>days &lt; 1（from が to より後）</t>
        </is>
      </c>
      <c r="C14" s="17" t="inlineStr">
        <is>
          <t>schemas/admin.ts:95</t>
        </is>
      </c>
    </row>
    <row r="15">
      <c r="A15" s="17" t="inlineStr">
        <is>
          <t>B5</t>
        </is>
      </c>
      <c r="B15" s="17" t="inlineStr">
        <is>
          <t>days &gt; METRICS_MAX_DAYS（90 日を超える）</t>
        </is>
      </c>
      <c r="C15" s="17" t="inlineStr">
        <is>
          <t>schemas/admin.ts:97</t>
        </is>
      </c>
    </row>
    <row r="16">
      <c r="A16" s="17" t="inlineStr">
        <is>
          <t>B6</t>
        </is>
      </c>
      <c r="B16" s="17" t="inlineStr">
        <is>
          <t>実在する日付（UsageDateSchema の refine）</t>
        </is>
      </c>
      <c r="C16" s="17" t="inlineStr">
        <is>
          <t>schemas/common.ts:37-40</t>
        </is>
      </c>
    </row>
    <row r="17">
      <c r="A17" s="17" t="inlineStr">
        <is>
          <t>B7</t>
        </is>
      </c>
      <c r="B17" s="17" t="inlineStr">
        <is>
          <t>bio を省略した（default("")）</t>
        </is>
      </c>
      <c r="C17" s="17" t="inlineStr">
        <is>
          <t>schemas/agent.ts:11</t>
        </is>
      </c>
    </row>
    <row r="19">
      <c r="A19" s="14" t="inlineStr">
        <is>
          <t>確認事項・潜在バグ</t>
        </is>
      </c>
    </row>
    <row r="20" ht="30" customHeight="1">
      <c r="A20" s="18" t="inlineStr">
        <is>
          <t>・確認事項 1：IdSchema は長さ 26 字だけを見て、ULID の字（Crockford の Base32）かは確かめない（サーバーの isUlid とは違う）。形の違う 26 字は検索で見つからず 404 になるだけで害はないが、設計書の「ULID（26 字）」をどこまで検証するかは決まっていない。</t>
        </is>
      </c>
    </row>
    <row r="21" ht="30" customHeight="1">
      <c r="A21" s="18" t="inlineStr">
        <is>
          <t>・確認事項 2：limit が空の文字列（?limit=）のとき、z.coerce で 0 になり 400 VALIDATION_ERROR になる（省略時の既定値にはならない）。画面は limit を空で送らないので、今は実害なし。</t>
        </is>
      </c>
    </row>
    <row r="22" ht="30" customHeight="1">
      <c r="A22" s="18" t="inlineStr">
        <is>
          <t>・共有の定数の列挙値・範囲と schema.sql の CHECK との一致は、DB の観点（NOUS-94）で確かめる。@nous/shared の ERROR_CODES とサーバーのエラーコードの突き合わせは lib の観点表（TC-UT_LIB-015、疑い 1）で扱う。</t>
        </is>
      </c>
    </row>
    <row r="23" ht="30" customHeight="1">
      <c r="A23" s="18" t="inlineStr">
        <is>
          <t>・types/（型だけで実行されるコードがない）は単体テストの対象にしない。型の誤りは pnpm typecheck で見る。</t>
        </is>
      </c>
    </row>
  </sheetData>
  <mergeCells count="4">
    <mergeCell ref="A23:C23"/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2026-10-23T07:25:05Z</dcterms:created>
  <dcterms:modified xsi:type="dcterms:W3CDTF">2026-10-23T07:25:05Z</dcterms:modified>
</cp:coreProperties>
</file>